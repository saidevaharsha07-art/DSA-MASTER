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  <sheet name="Kingdom Summary" sheetId="2" state="visible" r:id="rId2"/>
    <sheet name="Pattern Summary" sheetId="3" state="visible" r:id="rId3"/>
    <sheet name="Statistics" sheetId="4" state="visible" r:id="rId4"/>
    <sheet name="Metadata" sheetId="5" state="visible" r:id="rId5"/>
  </sheets>
  <definedNames>
    <definedName name="_xlnm._FilterDatabase" localSheetId="0" hidden="1">'Problems'!$A$1:$L$840</definedName>
    <definedName name="_xlnm._FilterDatabase" localSheetId="1" hidden="1">'Kingdom Summary'!$A$1:$H$26</definedName>
    <definedName name="_xlnm._FilterDatabase" localSheetId="2" hidden="1">'Pattern Summary'!$A$1:$G$115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4E13"/>
      <sz val="11"/>
    </font>
    <font>
      <name val="Calibri"/>
      <color rgb="000563C1"/>
      <sz val="11"/>
      <u val="single"/>
    </font>
    <font>
      <name val="Calibri"/>
      <sz val="11"/>
    </font>
    <font>
      <name val="Calibri"/>
      <b val="1"/>
      <color rgb="007F6000"/>
      <sz val="11"/>
    </font>
    <font>
      <name val="Calibri"/>
      <b val="1"/>
      <color rgb="00783F04"/>
      <sz val="11"/>
    </font>
    <font>
      <name val="Calibri"/>
      <b val="1"/>
      <color rgb="00660000"/>
      <sz val="11"/>
    </font>
    <font>
      <name val="Calibri"/>
      <b val="1"/>
      <color rgb="001F4E79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1" pivotButton="0" quotePrefix="0" xfId="0"/>
    <xf numFmtId="0" fontId="9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0" fontId="4" fillId="5" borderId="1" pivotButton="0" quotePrefix="0" xfId="0"/>
    <xf numFmtId="165" fontId="9" fillId="5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dechef.com/problems/FLOW001" TargetMode="External" Id="rId1" /><Relationship Type="http://schemas.openxmlformats.org/officeDocument/2006/relationships/hyperlink" Target="https://www.codechef.com/problems/FLOW002" TargetMode="External" Id="rId2" /><Relationship Type="http://schemas.openxmlformats.org/officeDocument/2006/relationships/hyperlink" Target="https://www.codechef.com/problems/FLOW004" TargetMode="External" Id="rId3" /><Relationship Type="http://schemas.openxmlformats.org/officeDocument/2006/relationships/hyperlink" Target="https://www.codechef.com/problems/FLOW006" TargetMode="External" Id="rId4" /><Relationship Type="http://schemas.openxmlformats.org/officeDocument/2006/relationships/hyperlink" Target="https://www.codechef.com/problems/FLOW007" TargetMode="External" Id="rId5" /><Relationship Type="http://schemas.openxmlformats.org/officeDocument/2006/relationships/hyperlink" Target="https://www.codechef.com/problems/START01" TargetMode="External" Id="rId6" /><Relationship Type="http://schemas.openxmlformats.org/officeDocument/2006/relationships/hyperlink" Target="https://www.codechef.com/problems/HS08TEST" TargetMode="External" Id="rId7" /><Relationship Type="http://schemas.openxmlformats.org/officeDocument/2006/relationships/hyperlink" Target="https://www.codechef.com/problems/LUCKFOUR" TargetMode="External" Id="rId8" /><Relationship Type="http://schemas.openxmlformats.org/officeDocument/2006/relationships/hyperlink" Target="https://www.codechef.com/problems/VCS" TargetMode="External" Id="rId9" /><Relationship Type="http://schemas.openxmlformats.org/officeDocument/2006/relationships/hyperlink" Target="https://www.codechef.com/problems/RAINBOWA" TargetMode="External" Id="rId10" /><Relationship Type="http://schemas.openxmlformats.org/officeDocument/2006/relationships/hyperlink" Target="https://www.codechef.com/problems/TLG" TargetMode="External" Id="rId11" /><Relationship Type="http://schemas.openxmlformats.org/officeDocument/2006/relationships/hyperlink" Target="https://www.codechef.com/problems/NOTINCOM" TargetMode="External" Id="rId12" /><Relationship Type="http://schemas.openxmlformats.org/officeDocument/2006/relationships/hyperlink" Target="https://www.codechef.com/problems/COPS" TargetMode="External" Id="rId13" /><Relationship Type="http://schemas.openxmlformats.org/officeDocument/2006/relationships/hyperlink" Target="https://www.codechef.com/problems/CHN15A" TargetMode="External" Id="rId14" /><Relationship Type="http://schemas.openxmlformats.org/officeDocument/2006/relationships/hyperlink" Target="https://www.codechef.com/problems/TEMPLE" TargetMode="External" Id="rId15" /><Relationship Type="http://schemas.openxmlformats.org/officeDocument/2006/relationships/hyperlink" Target="https://www.codechef.com/problems/ATM2" TargetMode="External" Id="rId16" /><Relationship Type="http://schemas.openxmlformats.org/officeDocument/2006/relationships/hyperlink" Target="https://www.codechef.com/problems/ZCO14001" TargetMode="External" Id="rId17" /><Relationship Type="http://schemas.openxmlformats.org/officeDocument/2006/relationships/hyperlink" Target="https://www.codechef.com/problems/FRK" TargetMode="External" Id="rId18" /><Relationship Type="http://schemas.openxmlformats.org/officeDocument/2006/relationships/hyperlink" Target="https://www.codechef.com/problems/STFOOD" TargetMode="External" Id="rId19" /><Relationship Type="http://schemas.openxmlformats.org/officeDocument/2006/relationships/hyperlink" Target="https://www.codechef.com/problems/SNAKPROC" TargetMode="External" Id="rId20" /><Relationship Type="http://schemas.openxmlformats.org/officeDocument/2006/relationships/hyperlink" Target="https://www.codechef.com/problems/CNOTE" TargetMode="External" Id="rId21" /><Relationship Type="http://schemas.openxmlformats.org/officeDocument/2006/relationships/hyperlink" Target="https://www.codechef.com/problems/ZCO14003" TargetMode="External" Id="rId22" /><Relationship Type="http://schemas.openxmlformats.org/officeDocument/2006/relationships/hyperlink" Target="https://www.codechef.com/problems/HORSES" TargetMode="External" Id="rId23" /><Relationship Type="http://schemas.openxmlformats.org/officeDocument/2006/relationships/hyperlink" Target="https://www.codechef.com/problems/CLEANUP" TargetMode="External" Id="rId24" /><Relationship Type="http://schemas.openxmlformats.org/officeDocument/2006/relationships/hyperlink" Target="https://www.codechef.com/problems/CIELAB" TargetMode="External" Id="rId25" /><Relationship Type="http://schemas.openxmlformats.org/officeDocument/2006/relationships/hyperlink" Target="https://www.codechef.com/problems/MAXDIFF" TargetMode="External" Id="rId26" /><Relationship Type="http://schemas.openxmlformats.org/officeDocument/2006/relationships/hyperlink" Target="https://www.codechef.com/problems/CHEFA" TargetMode="External" Id="rId27" /><Relationship Type="http://schemas.openxmlformats.org/officeDocument/2006/relationships/hyperlink" Target="https://www.codechef.com/problems/TACHSTN" TargetMode="External" Id="rId28" /><Relationship Type="http://schemas.openxmlformats.org/officeDocument/2006/relationships/hyperlink" Target="https://www.codechef.com/problems/ZCO15004" TargetMode="External" Id="rId29" /><Relationship Type="http://schemas.openxmlformats.org/officeDocument/2006/relationships/hyperlink" Target="https://www.codechef.com/problems/CHEFPRMS" TargetMode="External" Id="rId30" /><Relationship Type="http://schemas.openxmlformats.org/officeDocument/2006/relationships/hyperlink" Target="https://www.codechef.com/problems/MOVIEWKN" TargetMode="External" Id="rId31" /><Relationship Type="http://schemas.openxmlformats.org/officeDocument/2006/relationships/hyperlink" Target="https://www.codechef.com/problems/ARRAYTRM" TargetMode="External" Id="rId32" /><Relationship Type="http://schemas.openxmlformats.org/officeDocument/2006/relationships/hyperlink" Target="https://www.codechef.com/problems/ALTARAY" TargetMode="External" Id="rId33" /><Relationship Type="http://schemas.openxmlformats.org/officeDocument/2006/relationships/hyperlink" Target="https://www.codechef.com/problems/SUBINC" TargetMode="External" Id="rId34" /><Relationship Type="http://schemas.openxmlformats.org/officeDocument/2006/relationships/hyperlink" Target="https://www.codechef.com/problems/CHEFSUM" TargetMode="External" Id="rId35" /><Relationship Type="http://schemas.openxmlformats.org/officeDocument/2006/relationships/hyperlink" Target="https://www.codechef.com/problems/CHEFRUN" TargetMode="External" Id="rId36" /><Relationship Type="http://schemas.openxmlformats.org/officeDocument/2006/relationships/hyperlink" Target="https://www.codechef.com/problems/PERMUT2" TargetMode="External" Id="rId37" /><Relationship Type="http://schemas.openxmlformats.org/officeDocument/2006/relationships/hyperlink" Target="https://www.codechef.com/problems/COCONUT" TargetMode="External" Id="rId38" /><Relationship Type="http://schemas.openxmlformats.org/officeDocument/2006/relationships/hyperlink" Target="https://www.codechef.com/problems/SUPW" TargetMode="External" Id="rId39" /><Relationship Type="http://schemas.openxmlformats.org/officeDocument/2006/relationships/hyperlink" Target="https://www.codechef.com/problems/IPLTRC" TargetMode="External" Id="rId40" /><Relationship Type="http://schemas.openxmlformats.org/officeDocument/2006/relationships/hyperlink" Target="https://www.codechef.com/problems/GCDQ" TargetMode="External" Id="rId41" /><Relationship Type="http://schemas.openxmlformats.org/officeDocument/2006/relationships/hyperlink" Target="https://www.codechef.com/problems/CSUB" TargetMode="External" Id="rId42" /><Relationship Type="http://schemas.openxmlformats.org/officeDocument/2006/relationships/hyperlink" Target="https://www.codechef.com/problems/ANUWTP" TargetMode="External" Id="rId43" /><Relationship Type="http://schemas.openxmlformats.org/officeDocument/2006/relationships/hyperlink" Target="https://www.codechef.com/problems/CHEFDET" TargetMode="External" Id="rId44" /><Relationship Type="http://schemas.openxmlformats.org/officeDocument/2006/relationships/hyperlink" Target="https://www.codechef.com/problems/COEX" TargetMode="External" Id="rId45" /><Relationship Type="http://schemas.openxmlformats.org/officeDocument/2006/relationships/hyperlink" Target="https://www.codechef.com/problems/PRESUM1" TargetMode="External" Id="rId46" /><Relationship Type="http://schemas.openxmlformats.org/officeDocument/2006/relationships/hyperlink" Target="https://www.codechef.com/problems/PRESUM2" TargetMode="External" Id="rId47" /><Relationship Type="http://schemas.openxmlformats.org/officeDocument/2006/relationships/hyperlink" Target="https://www.codechef.com/problems/PRESUM3" TargetMode="External" Id="rId48" /><Relationship Type="http://schemas.openxmlformats.org/officeDocument/2006/relationships/hyperlink" Target="https://www.codechef.com/problems/SEGM01" TargetMode="External" Id="rId49" /><Relationship Type="http://schemas.openxmlformats.org/officeDocument/2006/relationships/hyperlink" Target="https://www.codechef.com/problems/FRGTNL" TargetMode="External" Id="rId50" /><Relationship Type="http://schemas.openxmlformats.org/officeDocument/2006/relationships/hyperlink" Target="https://www.codechef.com/problems/BLKWHT" TargetMode="External" Id="rId51" /><Relationship Type="http://schemas.openxmlformats.org/officeDocument/2006/relationships/hyperlink" Target="https://www.codechef.com/problems/BRLADD" TargetMode="External" Id="rId52" /><Relationship Type="http://schemas.openxmlformats.org/officeDocument/2006/relationships/hyperlink" Target="https://www.codechef.com/problems/PREFREQ1" TargetMode="External" Id="rId53" /><Relationship Type="http://schemas.openxmlformats.org/officeDocument/2006/relationships/hyperlink" Target="https://www.codechef.com/problems/PREFREQ2" TargetMode="External" Id="rId54" /><Relationship Type="http://schemas.openxmlformats.org/officeDocument/2006/relationships/hyperlink" Target="https://www.codechef.com/problems/PREFREQ3" TargetMode="External" Id="rId55" /><Relationship Type="http://schemas.openxmlformats.org/officeDocument/2006/relationships/hyperlink" Target="https://www.codechef.com/problems/MANYSUMS" TargetMode="External" Id="rId56" /><Relationship Type="http://schemas.openxmlformats.org/officeDocument/2006/relationships/hyperlink" Target="https://www.codechef.com/problems/STKSTR" TargetMode="External" Id="rId57" /><Relationship Type="http://schemas.openxmlformats.org/officeDocument/2006/relationships/hyperlink" Target="https://www.codechef.com/problems/SHUFFLE" TargetMode="External" Id="rId58" /><Relationship Type="http://schemas.openxmlformats.org/officeDocument/2006/relationships/hyperlink" Target="https://www.codechef.com/problems/VACCINE1" TargetMode="External" Id="rId59" /><Relationship Type="http://schemas.openxmlformats.org/officeDocument/2006/relationships/hyperlink" Target="https://www.codechef.com/problems/DIFFARR1" TargetMode="External" Id="rId60" /><Relationship Type="http://schemas.openxmlformats.org/officeDocument/2006/relationships/hyperlink" Target="https://www.codechef.com/problems/DIFFARR2" TargetMode="External" Id="rId61" /><Relationship Type="http://schemas.openxmlformats.org/officeDocument/2006/relationships/hyperlink" Target="https://www.codechef.com/problems/DIFFARR3" TargetMode="External" Id="rId62" /><Relationship Type="http://schemas.openxmlformats.org/officeDocument/2006/relationships/hyperlink" Target="https://www.codechef.com/problems/CHEFXOR" TargetMode="External" Id="rId63" /><Relationship Type="http://schemas.openxmlformats.org/officeDocument/2006/relationships/hyperlink" Target="https://www.codechef.com/problems/XORPAL" TargetMode="External" Id="rId64" /><Relationship Type="http://schemas.openxmlformats.org/officeDocument/2006/relationships/hyperlink" Target="https://www.codechef.com/problems/XORMAX" TargetMode="External" Id="rId65" /><Relationship Type="http://schemas.openxmlformats.org/officeDocument/2006/relationships/hyperlink" Target="https://www.codechef.com/problems/XORPROD" TargetMode="External" Id="rId66" /><Relationship Type="http://schemas.openxmlformats.org/officeDocument/2006/relationships/hyperlink" Target="https://www.codechef.com/problems/PREXOR1" TargetMode="External" Id="rId67" /><Relationship Type="http://schemas.openxmlformats.org/officeDocument/2006/relationships/hyperlink" Target="https://www.codechef.com/problems/PREXOR2" TargetMode="External" Id="rId68" /><Relationship Type="http://schemas.openxmlformats.org/officeDocument/2006/relationships/hyperlink" Target="https://www.codechef.com/problems/PREXOR3" TargetMode="External" Id="rId69" /><Relationship Type="http://schemas.openxmlformats.org/officeDocument/2006/relationships/hyperlink" Target="https://www.codechef.com/problems/PREXOR4" TargetMode="External" Id="rId70" /><Relationship Type="http://schemas.openxmlformats.org/officeDocument/2006/relationships/hyperlink" Target="https://www.codechef.com/problems/CHEFST" TargetMode="External" Id="rId71" /><Relationship Type="http://schemas.openxmlformats.org/officeDocument/2006/relationships/hyperlink" Target="https://www.codechef.com/problems/ZCO13001" TargetMode="External" Id="rId72" /><Relationship Type="http://schemas.openxmlformats.org/officeDocument/2006/relationships/hyperlink" Target="https://www.codechef.com/problems/ZCO13003" TargetMode="External" Id="rId73" /><Relationship Type="http://schemas.openxmlformats.org/officeDocument/2006/relationships/hyperlink" Target="https://www.codechef.com/problems/PAIRING" TargetMode="External" Id="rId74" /><Relationship Type="http://schemas.openxmlformats.org/officeDocument/2006/relationships/hyperlink" Target="https://www.codechef.com/problems/RECTSQ" TargetMode="External" Id="rId75" /><Relationship Type="http://schemas.openxmlformats.org/officeDocument/2006/relationships/hyperlink" Target="https://www.codechef.com/problems/TWOPTR1" TargetMode="External" Id="rId76" /><Relationship Type="http://schemas.openxmlformats.org/officeDocument/2006/relationships/hyperlink" Target="https://www.codechef.com/problems/TWOPTR2" TargetMode="External" Id="rId77" /><Relationship Type="http://schemas.openxmlformats.org/officeDocument/2006/relationships/hyperlink" Target="https://www.codechef.com/problems/TWOPTR3" TargetMode="External" Id="rId78" /><Relationship Type="http://schemas.openxmlformats.org/officeDocument/2006/relationships/hyperlink" Target="https://www.codechef.com/problems/TWOPTR4" TargetMode="External" Id="rId79" /><Relationship Type="http://schemas.openxmlformats.org/officeDocument/2006/relationships/hyperlink" Target="https://www.codechef.com/problems/TWOPTR5" TargetMode="External" Id="rId80" /><Relationship Type="http://schemas.openxmlformats.org/officeDocument/2006/relationships/hyperlink" Target="https://www.codechef.com/problems/TWOPTR6" TargetMode="External" Id="rId81" /><Relationship Type="http://schemas.openxmlformats.org/officeDocument/2006/relationships/hyperlink" Target="https://www.codechef.com/problems/TWOPTR7" TargetMode="External" Id="rId82" /><Relationship Type="http://schemas.openxmlformats.org/officeDocument/2006/relationships/hyperlink" Target="https://www.codechef.com/problems/TWOPTR8" TargetMode="External" Id="rId83" /><Relationship Type="http://schemas.openxmlformats.org/officeDocument/2006/relationships/hyperlink" Target="https://www.codechef.com/problems/TWOPTR9" TargetMode="External" Id="rId84" /><Relationship Type="http://schemas.openxmlformats.org/officeDocument/2006/relationships/hyperlink" Target="https://www.codechef.com/problems/TWOPTR10" TargetMode="External" Id="rId85" /><Relationship Type="http://schemas.openxmlformats.org/officeDocument/2006/relationships/hyperlink" Target="https://www.codechef.com/problems/ZCO12002" TargetMode="External" Id="rId86" /><Relationship Type="http://schemas.openxmlformats.org/officeDocument/2006/relationships/hyperlink" Target="https://www.codechef.com/problems/WORMHOLE" TargetMode="External" Id="rId87" /><Relationship Type="http://schemas.openxmlformats.org/officeDocument/2006/relationships/hyperlink" Target="https://www.codechef.com/problems/SALARY" TargetMode="External" Id="rId88" /><Relationship Type="http://schemas.openxmlformats.org/officeDocument/2006/relationships/hyperlink" Target="https://www.codechef.com/problems/CARVANS" TargetMode="External" Id="rId89" /><Relationship Type="http://schemas.openxmlformats.org/officeDocument/2006/relationships/hyperlink" Target="https://www.codechef.com/problems/OPPPTR1" TargetMode="External" Id="rId90" /><Relationship Type="http://schemas.openxmlformats.org/officeDocument/2006/relationships/hyperlink" Target="https://www.codechef.com/problems/OPPPTR2" TargetMode="External" Id="rId91" /><Relationship Type="http://schemas.openxmlformats.org/officeDocument/2006/relationships/hyperlink" Target="https://www.codechef.com/problems/OPPPTR3" TargetMode="External" Id="rId92" /><Relationship Type="http://schemas.openxmlformats.org/officeDocument/2006/relationships/hyperlink" Target="https://www.codechef.com/problems/OPPPTR4" TargetMode="External" Id="rId93" /><Relationship Type="http://schemas.openxmlformats.org/officeDocument/2006/relationships/hyperlink" Target="https://www.codechef.com/problems/RECNDNOS" TargetMode="External" Id="rId94" /><Relationship Type="http://schemas.openxmlformats.org/officeDocument/2006/relationships/hyperlink" Target="https://www.codechef.com/problems/SPLST" TargetMode="External" Id="rId95" /><Relationship Type="http://schemas.openxmlformats.org/officeDocument/2006/relationships/hyperlink" Target="https://www.codechef.com/problems/SWAP10HG" TargetMode="External" Id="rId96" /><Relationship Type="http://schemas.openxmlformats.org/officeDocument/2006/relationships/hyperlink" Target="https://www.codechef.com/problems/SLIDE1" TargetMode="External" Id="rId97" /><Relationship Type="http://schemas.openxmlformats.org/officeDocument/2006/relationships/hyperlink" Target="https://www.codechef.com/problems/SLIDE2" TargetMode="External" Id="rId98" /><Relationship Type="http://schemas.openxmlformats.org/officeDocument/2006/relationships/hyperlink" Target="https://www.codechef.com/problems/SLIDE3" TargetMode="External" Id="rId99" /><Relationship Type="http://schemas.openxmlformats.org/officeDocument/2006/relationships/hyperlink" Target="https://www.codechef.com/problems/SLIDE4" TargetMode="External" Id="rId100" /><Relationship Type="http://schemas.openxmlformats.org/officeDocument/2006/relationships/hyperlink" Target="https://www.codechef.com/problems/SLIDE5" TargetMode="External" Id="rId101" /><Relationship Type="http://schemas.openxmlformats.org/officeDocument/2006/relationships/hyperlink" Target="https://www.codechef.com/problems/SLIDE6" TargetMode="External" Id="rId102" /><Relationship Type="http://schemas.openxmlformats.org/officeDocument/2006/relationships/hyperlink" Target="https://www.codechef.com/problems/SLIDE7" TargetMode="External" Id="rId103" /><Relationship Type="http://schemas.openxmlformats.org/officeDocument/2006/relationships/hyperlink" Target="https://www.codechef.com/problems/SLIDE8" TargetMode="External" Id="rId104" /><Relationship Type="http://schemas.openxmlformats.org/officeDocument/2006/relationships/hyperlink" Target="https://www.codechef.com/problems/SLIDE9" TargetMode="External" Id="rId105" /><Relationship Type="http://schemas.openxmlformats.org/officeDocument/2006/relationships/hyperlink" Target="https://www.codechef.com/problems/SLIDE10" TargetMode="External" Id="rId106" /><Relationship Type="http://schemas.openxmlformats.org/officeDocument/2006/relationships/hyperlink" Target="https://www.codechef.com/problems/SLIDE11" TargetMode="External" Id="rId107" /><Relationship Type="http://schemas.openxmlformats.org/officeDocument/2006/relationships/hyperlink" Target="https://www.codechef.com/problems/SLIDE12" TargetMode="External" Id="rId108" /><Relationship Type="http://schemas.openxmlformats.org/officeDocument/2006/relationships/hyperlink" Target="https://www.codechef.com/problems/SLIDE13" TargetMode="External" Id="rId109" /><Relationship Type="http://schemas.openxmlformats.org/officeDocument/2006/relationships/hyperlink" Target="https://www.codechef.com/problems/SLIDE14" TargetMode="External" Id="rId110" /><Relationship Type="http://schemas.openxmlformats.org/officeDocument/2006/relationships/hyperlink" Target="https://www.codechef.com/problems/SLIDE15" TargetMode="External" Id="rId111" /><Relationship Type="http://schemas.openxmlformats.org/officeDocument/2006/relationships/hyperlink" Target="https://www.codechef.com/problems/MITM1" TargetMode="External" Id="rId112" /><Relationship Type="http://schemas.openxmlformats.org/officeDocument/2006/relationships/hyperlink" Target="https://www.codechef.com/problems/MITM2" TargetMode="External" Id="rId113" /><Relationship Type="http://schemas.openxmlformats.org/officeDocument/2006/relationships/hyperlink" Target="https://www.codechef.com/problems/MITM3" TargetMode="External" Id="rId114" /><Relationship Type="http://schemas.openxmlformats.org/officeDocument/2006/relationships/hyperlink" Target="https://www.codechef.com/problems/MITM4" TargetMode="External" Id="rId115" /><Relationship Type="http://schemas.openxmlformats.org/officeDocument/2006/relationships/hyperlink" Target="https://www.codechef.com/problems/MITM5" TargetMode="External" Id="rId116" /><Relationship Type="http://schemas.openxmlformats.org/officeDocument/2006/relationships/hyperlink" Target="https://www.codechef.com/problems/MITM6" TargetMode="External" Id="rId117" /><Relationship Type="http://schemas.openxmlformats.org/officeDocument/2006/relationships/hyperlink" Target="https://www.codechef.com/problems/MITM7" TargetMode="External" Id="rId118" /><Relationship Type="http://schemas.openxmlformats.org/officeDocument/2006/relationships/hyperlink" Target="https://www.codechef.com/problems/MITM8" TargetMode="External" Id="rId119" /><Relationship Type="http://schemas.openxmlformats.org/officeDocument/2006/relationships/hyperlink" Target="https://www.codechef.com/problems/MITM9" TargetMode="External" Id="rId120" /><Relationship Type="http://schemas.openxmlformats.org/officeDocument/2006/relationships/hyperlink" Target="https://www.codechef.com/problems/MITM10" TargetMode="External" Id="rId121" /><Relationship Type="http://schemas.openxmlformats.org/officeDocument/2006/relationships/hyperlink" Target="https://www.codechef.com/problems/MITM11" TargetMode="External" Id="rId122" /><Relationship Type="http://schemas.openxmlformats.org/officeDocument/2006/relationships/hyperlink" Target="https://www.codechef.com/problems/MITM12" TargetMode="External" Id="rId123" /><Relationship Type="http://schemas.openxmlformats.org/officeDocument/2006/relationships/hyperlink" Target="https://www.codechef.com/problems/MITM13" TargetMode="External" Id="rId124" /><Relationship Type="http://schemas.openxmlformats.org/officeDocument/2006/relationships/hyperlink" Target="https://www.codechef.com/problems/MITM14" TargetMode="External" Id="rId125" /><Relationship Type="http://schemas.openxmlformats.org/officeDocument/2006/relationships/hyperlink" Target="https://www.codechef.com/problems/MITM15" TargetMode="External" Id="rId126" /><Relationship Type="http://schemas.openxmlformats.org/officeDocument/2006/relationships/hyperlink" Target="https://www.codechef.com/problems/MITM16" TargetMode="External" Id="rId127" /><Relationship Type="http://schemas.openxmlformats.org/officeDocument/2006/relationships/hyperlink" Target="https://www.codechef.com/problems/MITM17" TargetMode="External" Id="rId128" /><Relationship Type="http://schemas.openxmlformats.org/officeDocument/2006/relationships/hyperlink" Target="https://www.codechef.com/problems/LOWSUM" TargetMode="External" Id="rId129" /><Relationship Type="http://schemas.openxmlformats.org/officeDocument/2006/relationships/hyperlink" Target="https://www.codechef.com/problems/SMRSTR" TargetMode="External" Id="rId130" /><Relationship Type="http://schemas.openxmlformats.org/officeDocument/2006/relationships/hyperlink" Target="https://www.codechef.com/problems/STACKS" TargetMode="External" Id="rId131" /><Relationship Type="http://schemas.openxmlformats.org/officeDocument/2006/relationships/hyperlink" Target="https://www.codechef.com/problems/STRPAIRS" TargetMode="External" Id="rId132" /><Relationship Type="http://schemas.openxmlformats.org/officeDocument/2006/relationships/hyperlink" Target="https://www.codechef.com/problems/BS101" TargetMode="External" Id="rId133" /><Relationship Type="http://schemas.openxmlformats.org/officeDocument/2006/relationships/hyperlink" Target="https://www.codechef.com/problems/BS102" TargetMode="External" Id="rId134" /><Relationship Type="http://schemas.openxmlformats.org/officeDocument/2006/relationships/hyperlink" Target="https://www.codechef.com/problems/BS103" TargetMode="External" Id="rId135" /><Relationship Type="http://schemas.openxmlformats.org/officeDocument/2006/relationships/hyperlink" Target="https://www.codechef.com/problems/BS104" TargetMode="External" Id="rId136" /><Relationship Type="http://schemas.openxmlformats.org/officeDocument/2006/relationships/hyperlink" Target="https://www.codechef.com/problems/BS105" TargetMode="External" Id="rId137" /><Relationship Type="http://schemas.openxmlformats.org/officeDocument/2006/relationships/hyperlink" Target="https://www.codechef.com/problems/BS106" TargetMode="External" Id="rId138" /><Relationship Type="http://schemas.openxmlformats.org/officeDocument/2006/relationships/hyperlink" Target="https://www.codechef.com/problems/SHEOKAND" TargetMode="External" Id="rId139" /><Relationship Type="http://schemas.openxmlformats.org/officeDocument/2006/relationships/hyperlink" Target="https://www.codechef.com/problems/BSFIT" TargetMode="External" Id="rId140" /><Relationship Type="http://schemas.openxmlformats.org/officeDocument/2006/relationships/hyperlink" Target="https://www.codechef.com/problems/TRIP" TargetMode="External" Id="rId141" /><Relationship Type="http://schemas.openxmlformats.org/officeDocument/2006/relationships/hyperlink" Target="https://www.codechef.com/problems/CHEFSET" TargetMode="External" Id="rId142" /><Relationship Type="http://schemas.openxmlformats.org/officeDocument/2006/relationships/hyperlink" Target="https://www.codechef.com/problems/BSANS1" TargetMode="External" Id="rId143" /><Relationship Type="http://schemas.openxmlformats.org/officeDocument/2006/relationships/hyperlink" Target="https://www.codechef.com/problems/BSANS2" TargetMode="External" Id="rId144" /><Relationship Type="http://schemas.openxmlformats.org/officeDocument/2006/relationships/hyperlink" Target="https://www.codechef.com/problems/BSANS3" TargetMode="External" Id="rId145" /><Relationship Type="http://schemas.openxmlformats.org/officeDocument/2006/relationships/hyperlink" Target="https://www.codechef.com/problems/BSANS4" TargetMode="External" Id="rId146" /><Relationship Type="http://schemas.openxmlformats.org/officeDocument/2006/relationships/hyperlink" Target="https://www.codechef.com/problems/BSANS5" TargetMode="External" Id="rId147" /><Relationship Type="http://schemas.openxmlformats.org/officeDocument/2006/relationships/hyperlink" Target="https://www.codechef.com/problems/BSANS6" TargetMode="External" Id="rId148" /><Relationship Type="http://schemas.openxmlformats.org/officeDocument/2006/relationships/hyperlink" Target="https://www.codechef.com/problems/BSANS7" TargetMode="External" Id="rId149" /><Relationship Type="http://schemas.openxmlformats.org/officeDocument/2006/relationships/hyperlink" Target="https://www.codechef.com/problems/BSANS8" TargetMode="External" Id="rId150" /><Relationship Type="http://schemas.openxmlformats.org/officeDocument/2006/relationships/hyperlink" Target="https://www.codechef.com/problems/BSANS9" TargetMode="External" Id="rId151" /><Relationship Type="http://schemas.openxmlformats.org/officeDocument/2006/relationships/hyperlink" Target="https://www.codechef.com/problems/BSANS10" TargetMode="External" Id="rId152" /><Relationship Type="http://schemas.openxmlformats.org/officeDocument/2006/relationships/hyperlink" Target="https://www.codechef.com/problems/PIPES" TargetMode="External" Id="rId153" /><Relationship Type="http://schemas.openxmlformats.org/officeDocument/2006/relationships/hyperlink" Target="https://www.codechef.com/problems/PARAM1" TargetMode="External" Id="rId154" /><Relationship Type="http://schemas.openxmlformats.org/officeDocument/2006/relationships/hyperlink" Target="https://www.codechef.com/problems/PARAM2" TargetMode="External" Id="rId155" /><Relationship Type="http://schemas.openxmlformats.org/officeDocument/2006/relationships/hyperlink" Target="https://www.codechef.com/problems/PARAM3" TargetMode="External" Id="rId156" /><Relationship Type="http://schemas.openxmlformats.org/officeDocument/2006/relationships/hyperlink" Target="https://www.codechef.com/problems/PARAM4" TargetMode="External" Id="rId157" /><Relationship Type="http://schemas.openxmlformats.org/officeDocument/2006/relationships/hyperlink" Target="https://www.codechef.com/problems/PARAM5" TargetMode="External" Id="rId158" /><Relationship Type="http://schemas.openxmlformats.org/officeDocument/2006/relationships/hyperlink" Target="https://www.codechef.com/problems/PARAM6" TargetMode="External" Id="rId159" /><Relationship Type="http://schemas.openxmlformats.org/officeDocument/2006/relationships/hyperlink" Target="https://www.codechef.com/problems/PARAM7" TargetMode="External" Id="rId160" /><Relationship Type="http://schemas.openxmlformats.org/officeDocument/2006/relationships/hyperlink" Target="https://www.codechef.com/problems/EXPENSE" TargetMode="External" Id="rId161" /><Relationship Type="http://schemas.openxmlformats.org/officeDocument/2006/relationships/hyperlink" Target="https://www.codechef.com/problems/OPTIM" TargetMode="External" Id="rId162" /><Relationship Type="http://schemas.openxmlformats.org/officeDocument/2006/relationships/hyperlink" Target="https://www.codechef.com/problems/DISTANCE" TargetMode="External" Id="rId163" /><Relationship Type="http://schemas.openxmlformats.org/officeDocument/2006/relationships/hyperlink" Target="https://www.codechef.com/problems/CONTBS1" TargetMode="External" Id="rId164" /><Relationship Type="http://schemas.openxmlformats.org/officeDocument/2006/relationships/hyperlink" Target="https://www.codechef.com/problems/CONTBS2" TargetMode="External" Id="rId165" /><Relationship Type="http://schemas.openxmlformats.org/officeDocument/2006/relationships/hyperlink" Target="https://www.codechef.com/problems/CONTBS3" TargetMode="External" Id="rId166" /><Relationship Type="http://schemas.openxmlformats.org/officeDocument/2006/relationships/hyperlink" Target="https://www.codechef.com/problems/CONTBS4" TargetMode="External" Id="rId167" /><Relationship Type="http://schemas.openxmlformats.org/officeDocument/2006/relationships/hyperlink" Target="https://www.codechef.com/problems/CONTBS5" TargetMode="External" Id="rId168" /><Relationship Type="http://schemas.openxmlformats.org/officeDocument/2006/relationships/hyperlink" Target="https://www.codechef.com/problems/CONTBS6" TargetMode="External" Id="rId169" /><Relationship Type="http://schemas.openxmlformats.org/officeDocument/2006/relationships/hyperlink" Target="https://www.codechef.com/problems/GREE1" TargetMode="External" Id="rId170" /><Relationship Type="http://schemas.openxmlformats.org/officeDocument/2006/relationships/hyperlink" Target="https://www.codechef.com/problems/GREE2" TargetMode="External" Id="rId171" /><Relationship Type="http://schemas.openxmlformats.org/officeDocument/2006/relationships/hyperlink" Target="https://www.codechef.com/problems/GREE3" TargetMode="External" Id="rId172" /><Relationship Type="http://schemas.openxmlformats.org/officeDocument/2006/relationships/hyperlink" Target="https://www.codechef.com/problems/GREE4" TargetMode="External" Id="rId173" /><Relationship Type="http://schemas.openxmlformats.org/officeDocument/2006/relationships/hyperlink" Target="https://www.codechef.com/problems/GREE5" TargetMode="External" Id="rId174" /><Relationship Type="http://schemas.openxmlformats.org/officeDocument/2006/relationships/hyperlink" Target="https://www.codechef.com/problems/GREE6" TargetMode="External" Id="rId175" /><Relationship Type="http://schemas.openxmlformats.org/officeDocument/2006/relationships/hyperlink" Target="https://www.codechef.com/problems/GREE7" TargetMode="External" Id="rId176" /><Relationship Type="http://schemas.openxmlformats.org/officeDocument/2006/relationships/hyperlink" Target="https://www.codechef.com/problems/GREE8" TargetMode="External" Id="rId177" /><Relationship Type="http://schemas.openxmlformats.org/officeDocument/2006/relationships/hyperlink" Target="https://www.codechef.com/problems/INOI1201" TargetMode="External" Id="rId178" /><Relationship Type="http://schemas.openxmlformats.org/officeDocument/2006/relationships/hyperlink" Target="https://www.codechef.com/problems/GREESORT1" TargetMode="External" Id="rId179" /><Relationship Type="http://schemas.openxmlformats.org/officeDocument/2006/relationships/hyperlink" Target="https://www.codechef.com/problems/GREESORT2" TargetMode="External" Id="rId180" /><Relationship Type="http://schemas.openxmlformats.org/officeDocument/2006/relationships/hyperlink" Target="https://www.codechef.com/problems/GREESORT3" TargetMode="External" Id="rId181" /><Relationship Type="http://schemas.openxmlformats.org/officeDocument/2006/relationships/hyperlink" Target="https://www.codechef.com/problems/GREESORT4" TargetMode="External" Id="rId182" /><Relationship Type="http://schemas.openxmlformats.org/officeDocument/2006/relationships/hyperlink" Target="https://www.codechef.com/problems/GREESORT5" TargetMode="External" Id="rId183" /><Relationship Type="http://schemas.openxmlformats.org/officeDocument/2006/relationships/hyperlink" Target="https://www.codechef.com/problems/GREESORT6" TargetMode="External" Id="rId184" /><Relationship Type="http://schemas.openxmlformats.org/officeDocument/2006/relationships/hyperlink" Target="https://www.codechef.com/problems/GREESORT7" TargetMode="External" Id="rId185" /><Relationship Type="http://schemas.openxmlformats.org/officeDocument/2006/relationships/hyperlink" Target="https://www.codechef.com/problems/MAXSUM" TargetMode="External" Id="rId186" /><Relationship Type="http://schemas.openxmlformats.org/officeDocument/2006/relationships/hyperlink" Target="https://www.codechef.com/problems/INTERVAL" TargetMode="External" Id="rId187" /><Relationship Type="http://schemas.openxmlformats.org/officeDocument/2006/relationships/hyperlink" Target="https://www.codechef.com/problems/BUSS" TargetMode="External" Id="rId188" /><Relationship Type="http://schemas.openxmlformats.org/officeDocument/2006/relationships/hyperlink" Target="https://www.codechef.com/problems/MEET" TargetMode="External" Id="rId189" /><Relationship Type="http://schemas.openxmlformats.org/officeDocument/2006/relationships/hyperlink" Target="https://www.codechef.com/problems/INTGREE1" TargetMode="External" Id="rId190" /><Relationship Type="http://schemas.openxmlformats.org/officeDocument/2006/relationships/hyperlink" Target="https://www.codechef.com/problems/INTGREE2" TargetMode="External" Id="rId191" /><Relationship Type="http://schemas.openxmlformats.org/officeDocument/2006/relationships/hyperlink" Target="https://www.codechef.com/problems/INTGREE3" TargetMode="External" Id="rId192" /><Relationship Type="http://schemas.openxmlformats.org/officeDocument/2006/relationships/hyperlink" Target="https://www.codechef.com/problems/INTGREE4" TargetMode="External" Id="rId193" /><Relationship Type="http://schemas.openxmlformats.org/officeDocument/2006/relationships/hyperlink" Target="https://www.codechef.com/problems/SAVKONO" TargetMode="External" Id="rId194" /><Relationship Type="http://schemas.openxmlformats.org/officeDocument/2006/relationships/hyperlink" Target="https://www.codechef.com/problems/POTIONS" TargetMode="External" Id="rId195" /><Relationship Type="http://schemas.openxmlformats.org/officeDocument/2006/relationships/hyperlink" Target="https://www.codechef.com/problems/CHEFBOOK" TargetMode="External" Id="rId196" /><Relationship Type="http://schemas.openxmlformats.org/officeDocument/2006/relationships/hyperlink" Target="https://www.codechef.com/problems/GREEPQ1" TargetMode="External" Id="rId197" /><Relationship Type="http://schemas.openxmlformats.org/officeDocument/2006/relationships/hyperlink" Target="https://www.codechef.com/problems/GREEPQ2" TargetMode="External" Id="rId198" /><Relationship Type="http://schemas.openxmlformats.org/officeDocument/2006/relationships/hyperlink" Target="https://www.codechef.com/problems/GREEPQ3" TargetMode="External" Id="rId199" /><Relationship Type="http://schemas.openxmlformats.org/officeDocument/2006/relationships/hyperlink" Target="https://www.codechef.com/problems/GREEPQ4" TargetMode="External" Id="rId200" /><Relationship Type="http://schemas.openxmlformats.org/officeDocument/2006/relationships/hyperlink" Target="https://www.codechef.com/problems/GREEPQ5" TargetMode="External" Id="rId201" /><Relationship Type="http://schemas.openxmlformats.org/officeDocument/2006/relationships/hyperlink" Target="https://www.codechef.com/problems/CHEFSTUD" TargetMode="External" Id="rId202" /><Relationship Type="http://schemas.openxmlformats.org/officeDocument/2006/relationships/hyperlink" Target="https://www.codechef.com/problems/CONSTGREE1" TargetMode="External" Id="rId203" /><Relationship Type="http://schemas.openxmlformats.org/officeDocument/2006/relationships/hyperlink" Target="https://www.codechef.com/problems/CONSTGREE2" TargetMode="External" Id="rId204" /><Relationship Type="http://schemas.openxmlformats.org/officeDocument/2006/relationships/hyperlink" Target="https://www.codechef.com/problems/CONSTGREE3" TargetMode="External" Id="rId205" /><Relationship Type="http://schemas.openxmlformats.org/officeDocument/2006/relationships/hyperlink" Target="https://www.codechef.com/problems/CONSTGREE4" TargetMode="External" Id="rId206" /><Relationship Type="http://schemas.openxmlformats.org/officeDocument/2006/relationships/hyperlink" Target="https://www.codechef.com/problems/CONSTGREE5" TargetMode="External" Id="rId207" /><Relationship Type="http://schemas.openxmlformats.org/officeDocument/2006/relationships/hyperlink" Target="https://www.codechef.com/problems/CONSTGREE6" TargetMode="External" Id="rId208" /><Relationship Type="http://schemas.openxmlformats.org/officeDocument/2006/relationships/hyperlink" Target="https://www.codechef.com/problems/CONSTGREE7" TargetMode="External" Id="rId209" /><Relationship Type="http://schemas.openxmlformats.org/officeDocument/2006/relationships/hyperlink" Target="https://www.codechef.com/problems/LAPIN" TargetMode="External" Id="rId210" /><Relationship Type="http://schemas.openxmlformats.org/officeDocument/2006/relationships/hyperlink" Target="https://www.codechef.com/problems/STRPAL" TargetMode="External" Id="rId211" /><Relationship Type="http://schemas.openxmlformats.org/officeDocument/2006/relationships/hyperlink" Target="https://www.codechef.com/problems/ALPHABET" TargetMode="External" Id="rId212" /><Relationship Type="http://schemas.openxmlformats.org/officeDocument/2006/relationships/hyperlink" Target="https://www.codechef.com/problems/TWOSTR" TargetMode="External" Id="rId213" /><Relationship Type="http://schemas.openxmlformats.org/officeDocument/2006/relationships/hyperlink" Target="https://www.codechef.com/problems/CHEFROUT" TargetMode="External" Id="rId214" /><Relationship Type="http://schemas.openxmlformats.org/officeDocument/2006/relationships/hyperlink" Target="https://www.codechef.com/problems/STR101" TargetMode="External" Id="rId215" /><Relationship Type="http://schemas.openxmlformats.org/officeDocument/2006/relationships/hyperlink" Target="https://www.codechef.com/problems/STR102" TargetMode="External" Id="rId216" /><Relationship Type="http://schemas.openxmlformats.org/officeDocument/2006/relationships/hyperlink" Target="https://www.codechef.com/problems/STR103" TargetMode="External" Id="rId217" /><Relationship Type="http://schemas.openxmlformats.org/officeDocument/2006/relationships/hyperlink" Target="https://www.codechef.com/problems/MAGICHF" TargetMode="External" Id="rId218" /><Relationship Type="http://schemas.openxmlformats.org/officeDocument/2006/relationships/hyperlink" Target="https://www.codechef.com/problems/ERROR" TargetMode="External" Id="rId219" /><Relationship Type="http://schemas.openxmlformats.org/officeDocument/2006/relationships/hyperlink" Target="https://www.codechef.com/problems/CHARFREQ1" TargetMode="External" Id="rId220" /><Relationship Type="http://schemas.openxmlformats.org/officeDocument/2006/relationships/hyperlink" Target="https://www.codechef.com/problems/CHARFREQ2" TargetMode="External" Id="rId221" /><Relationship Type="http://schemas.openxmlformats.org/officeDocument/2006/relationships/hyperlink" Target="https://www.codechef.com/problems/CHARFREQ3" TargetMode="External" Id="rId222" /><Relationship Type="http://schemas.openxmlformats.org/officeDocument/2006/relationships/hyperlink" Target="https://www.codechef.com/problems/CHARFREQ4" TargetMode="External" Id="rId223" /><Relationship Type="http://schemas.openxmlformats.org/officeDocument/2006/relationships/hyperlink" Target="https://www.codechef.com/problems/STRGREE1" TargetMode="External" Id="rId224" /><Relationship Type="http://schemas.openxmlformats.org/officeDocument/2006/relationships/hyperlink" Target="https://www.codechef.com/problems/STRGREE2" TargetMode="External" Id="rId225" /><Relationship Type="http://schemas.openxmlformats.org/officeDocument/2006/relationships/hyperlink" Target="https://www.codechef.com/problems/STRGREE3" TargetMode="External" Id="rId226" /><Relationship Type="http://schemas.openxmlformats.org/officeDocument/2006/relationships/hyperlink" Target="https://www.codechef.com/problems/STRGREE4" TargetMode="External" Id="rId227" /><Relationship Type="http://schemas.openxmlformats.org/officeDocument/2006/relationships/hyperlink" Target="https://www.codechef.com/problems/STRGREE5" TargetMode="External" Id="rId228" /><Relationship Type="http://schemas.openxmlformats.org/officeDocument/2006/relationships/hyperlink" Target="https://www.codechef.com/problems/STRGREE6" TargetMode="External" Id="rId229" /><Relationship Type="http://schemas.openxmlformats.org/officeDocument/2006/relationships/hyperlink" Target="https://www.codechef.com/problems/STRMATCH" TargetMode="External" Id="rId230" /><Relationship Type="http://schemas.openxmlformats.org/officeDocument/2006/relationships/hyperlink" Target="https://www.codechef.com/problems/KMPCC" TargetMode="External" Id="rId231" /><Relationship Type="http://schemas.openxmlformats.org/officeDocument/2006/relationships/hyperlink" Target="https://www.codechef.com/problems/PATTERN1" TargetMode="External" Id="rId232" /><Relationship Type="http://schemas.openxmlformats.org/officeDocument/2006/relationships/hyperlink" Target="https://www.codechef.com/problems/KMP101" TargetMode="External" Id="rId233" /><Relationship Type="http://schemas.openxmlformats.org/officeDocument/2006/relationships/hyperlink" Target="https://www.codechef.com/problems/KMP102" TargetMode="External" Id="rId234" /><Relationship Type="http://schemas.openxmlformats.org/officeDocument/2006/relationships/hyperlink" Target="https://www.codechef.com/problems/KMP103" TargetMode="External" Id="rId235" /><Relationship Type="http://schemas.openxmlformats.org/officeDocument/2006/relationships/hyperlink" Target="https://www.codechef.com/problems/ZALG01" TargetMode="External" Id="rId236" /><Relationship Type="http://schemas.openxmlformats.org/officeDocument/2006/relationships/hyperlink" Target="https://www.codechef.com/problems/STRZCC" TargetMode="External" Id="rId237" /><Relationship Type="http://schemas.openxmlformats.org/officeDocument/2006/relationships/hyperlink" Target="https://www.codechef.com/problems/ZALG101" TargetMode="External" Id="rId238" /><Relationship Type="http://schemas.openxmlformats.org/officeDocument/2006/relationships/hyperlink" Target="https://www.codechef.com/problems/ZALG102" TargetMode="External" Id="rId239" /><Relationship Type="http://schemas.openxmlformats.org/officeDocument/2006/relationships/hyperlink" Target="https://www.codechef.com/problems/ZALG103" TargetMode="External" Id="rId240" /><Relationship Type="http://schemas.openxmlformats.org/officeDocument/2006/relationships/hyperlink" Target="https://www.codechef.com/problems/STRHASH" TargetMode="External" Id="rId241" /><Relationship Type="http://schemas.openxmlformats.org/officeDocument/2006/relationships/hyperlink" Target="https://www.codechef.com/problems/CHEFHASH" TargetMode="External" Id="rId242" /><Relationship Type="http://schemas.openxmlformats.org/officeDocument/2006/relationships/hyperlink" Target="https://www.codechef.com/problems/SUBSTRHASH" TargetMode="External" Id="rId243" /><Relationship Type="http://schemas.openxmlformats.org/officeDocument/2006/relationships/hyperlink" Target="https://www.codechef.com/problems/HASH101" TargetMode="External" Id="rId244" /><Relationship Type="http://schemas.openxmlformats.org/officeDocument/2006/relationships/hyperlink" Target="https://www.codechef.com/problems/HASH102" TargetMode="External" Id="rId245" /><Relationship Type="http://schemas.openxmlformats.org/officeDocument/2006/relationships/hyperlink" Target="https://www.codechef.com/problems/HASH103" TargetMode="External" Id="rId246" /><Relationship Type="http://schemas.openxmlformats.org/officeDocument/2006/relationships/hyperlink" Target="https://www.codechef.com/problems/FLOW016" TargetMode="External" Id="rId247" /><Relationship Type="http://schemas.openxmlformats.org/officeDocument/2006/relationships/hyperlink" Target="https://www.codechef.com/problems/FLOW017" TargetMode="External" Id="rId248" /><Relationship Type="http://schemas.openxmlformats.org/officeDocument/2006/relationships/hyperlink" Target="https://www.codechef.com/problems/FLOW018" TargetMode="External" Id="rId249" /><Relationship Type="http://schemas.openxmlformats.org/officeDocument/2006/relationships/hyperlink" Target="https://www.codechef.com/problems/FCTRL2" TargetMode="External" Id="rId250" /><Relationship Type="http://schemas.openxmlformats.org/officeDocument/2006/relationships/hyperlink" Target="https://www.codechef.com/problems/FCTRL" TargetMode="External" Id="rId251" /><Relationship Type="http://schemas.openxmlformats.org/officeDocument/2006/relationships/hyperlink" Target="https://www.codechef.com/problems/MARBLES" TargetMode="External" Id="rId252" /><Relationship Type="http://schemas.openxmlformats.org/officeDocument/2006/relationships/hyperlink" Target="https://www.codechef.com/problems/BIT101" TargetMode="External" Id="rId253" /><Relationship Type="http://schemas.openxmlformats.org/officeDocument/2006/relationships/hyperlink" Target="https://www.codechef.com/problems/BIT102" TargetMode="External" Id="rId254" /><Relationship Type="http://schemas.openxmlformats.org/officeDocument/2006/relationships/hyperlink" Target="https://www.codechef.com/problems/BIT103" TargetMode="External" Id="rId255" /><Relationship Type="http://schemas.openxmlformats.org/officeDocument/2006/relationships/hyperlink" Target="https://www.codechef.com/problems/BIT104" TargetMode="External" Id="rId256" /><Relationship Type="http://schemas.openxmlformats.org/officeDocument/2006/relationships/hyperlink" Target="https://www.codechef.com/problems/XORAGAIN" TargetMode="External" Id="rId257" /><Relationship Type="http://schemas.openxmlformats.org/officeDocument/2006/relationships/hyperlink" Target="https://www.codechef.com/problems/XOR101" TargetMode="External" Id="rId258" /><Relationship Type="http://schemas.openxmlformats.org/officeDocument/2006/relationships/hyperlink" Target="https://www.codechef.com/problems/XOR102" TargetMode="External" Id="rId259" /><Relationship Type="http://schemas.openxmlformats.org/officeDocument/2006/relationships/hyperlink" Target="https://www.codechef.com/problems/XOR103" TargetMode="External" Id="rId260" /><Relationship Type="http://schemas.openxmlformats.org/officeDocument/2006/relationships/hyperlink" Target="https://www.codechef.com/problems/XOR104" TargetMode="External" Id="rId261" /><Relationship Type="http://schemas.openxmlformats.org/officeDocument/2006/relationships/hyperlink" Target="https://www.codechef.com/problems/XOR105" TargetMode="External" Id="rId262" /><Relationship Type="http://schemas.openxmlformats.org/officeDocument/2006/relationships/hyperlink" Target="https://www.codechef.com/problems/XOR106" TargetMode="External" Id="rId263" /><Relationship Type="http://schemas.openxmlformats.org/officeDocument/2006/relationships/hyperlink" Target="https://www.codechef.com/problems/XOR107" TargetMode="External" Id="rId264" /><Relationship Type="http://schemas.openxmlformats.org/officeDocument/2006/relationships/hyperlink" Target="https://www.codechef.com/problems/XOR108" TargetMode="External" Id="rId265" /><Relationship Type="http://schemas.openxmlformats.org/officeDocument/2006/relationships/hyperlink" Target="https://www.codechef.com/problems/BITMASK1" TargetMode="External" Id="rId266" /><Relationship Type="http://schemas.openxmlformats.org/officeDocument/2006/relationships/hyperlink" Target="https://www.codechef.com/problems/SUBSETBIT" TargetMode="External" Id="rId267" /><Relationship Type="http://schemas.openxmlformats.org/officeDocument/2006/relationships/hyperlink" Target="https://www.codechef.com/problems/CHEFBIT" TargetMode="External" Id="rId268" /><Relationship Type="http://schemas.openxmlformats.org/officeDocument/2006/relationships/hyperlink" Target="https://www.codechef.com/problems/MASK101" TargetMode="External" Id="rId269" /><Relationship Type="http://schemas.openxmlformats.org/officeDocument/2006/relationships/hyperlink" Target="https://www.codechef.com/problems/MASK102" TargetMode="External" Id="rId270" /><Relationship Type="http://schemas.openxmlformats.org/officeDocument/2006/relationships/hyperlink" Target="https://www.codechef.com/problems/MASK103" TargetMode="External" Id="rId271" /><Relationship Type="http://schemas.openxmlformats.org/officeDocument/2006/relationships/hyperlink" Target="https://www.codechef.com/problems/MASK104" TargetMode="External" Id="rId272" /><Relationship Type="http://schemas.openxmlformats.org/officeDocument/2006/relationships/hyperlink" Target="https://www.codechef.com/problems/MASK105" TargetMode="External" Id="rId273" /><Relationship Type="http://schemas.openxmlformats.org/officeDocument/2006/relationships/hyperlink" Target="https://www.codechef.com/problems/XORPAIR" TargetMode="External" Id="rId274" /><Relationship Type="http://schemas.openxmlformats.org/officeDocument/2006/relationships/hyperlink" Target="https://www.codechef.com/problems/TRIEXOR" TargetMode="External" Id="rId275" /><Relationship Type="http://schemas.openxmlformats.org/officeDocument/2006/relationships/hyperlink" Target="https://www.codechef.com/problems/TRIEXOR101" TargetMode="External" Id="rId276" /><Relationship Type="http://schemas.openxmlformats.org/officeDocument/2006/relationships/hyperlink" Target="https://www.codechef.com/problems/TRIEXOR102" TargetMode="External" Id="rId277" /><Relationship Type="http://schemas.openxmlformats.org/officeDocument/2006/relationships/hyperlink" Target="https://www.codechef.com/problems/TRIEXOR103" TargetMode="External" Id="rId278" /><Relationship Type="http://schemas.openxmlformats.org/officeDocument/2006/relationships/hyperlink" Target="https://www.codechef.com/problems/TRIEXOR104" TargetMode="External" Id="rId279" /><Relationship Type="http://schemas.openxmlformats.org/officeDocument/2006/relationships/hyperlink" Target="https://www.codechef.com/problems/TRIEXOR105" TargetMode="External" Id="rId280" /><Relationship Type="http://schemas.openxmlformats.org/officeDocument/2006/relationships/hyperlink" Target="https://www.codechef.com/problems/TRIEXOR106" TargetMode="External" Id="rId281" /><Relationship Type="http://schemas.openxmlformats.org/officeDocument/2006/relationships/hyperlink" Target="https://www.codechef.com/problems/FLOW009" TargetMode="External" Id="rId282" /><Relationship Type="http://schemas.openxmlformats.org/officeDocument/2006/relationships/hyperlink" Target="https://www.codechef.com/problems/FLOW010" TargetMode="External" Id="rId283" /><Relationship Type="http://schemas.openxmlformats.org/officeDocument/2006/relationships/hyperlink" Target="https://www.codechef.com/problems/FLOW011" TargetMode="External" Id="rId284" /><Relationship Type="http://schemas.openxmlformats.org/officeDocument/2006/relationships/hyperlink" Target="https://www.codechef.com/problems/FLOW013" TargetMode="External" Id="rId285" /><Relationship Type="http://schemas.openxmlformats.org/officeDocument/2006/relationships/hyperlink" Target="https://www.codechef.com/problems/FLOW014" TargetMode="External" Id="rId286" /><Relationship Type="http://schemas.openxmlformats.org/officeDocument/2006/relationships/hyperlink" Target="https://www.codechef.com/problems/FSQRT" TargetMode="External" Id="rId287" /><Relationship Type="http://schemas.openxmlformats.org/officeDocument/2006/relationships/hyperlink" Target="https://www.codechef.com/problems/MATH101" TargetMode="External" Id="rId288" /><Relationship Type="http://schemas.openxmlformats.org/officeDocument/2006/relationships/hyperlink" Target="https://www.codechef.com/problems/MATH102" TargetMode="External" Id="rId289" /><Relationship Type="http://schemas.openxmlformats.org/officeDocument/2006/relationships/hyperlink" Target="https://www.codechef.com/problems/GCD2" TargetMode="External" Id="rId290" /><Relationship Type="http://schemas.openxmlformats.org/officeDocument/2006/relationships/hyperlink" Target="https://www.codechef.com/problems/CHEFGCD" TargetMode="External" Id="rId291" /><Relationship Type="http://schemas.openxmlformats.org/officeDocument/2006/relationships/hyperlink" Target="https://www.codechef.com/problems/LCMGCD" TargetMode="External" Id="rId292" /><Relationship Type="http://schemas.openxmlformats.org/officeDocument/2006/relationships/hyperlink" Target="https://www.codechef.com/problems/GCD101" TargetMode="External" Id="rId293" /><Relationship Type="http://schemas.openxmlformats.org/officeDocument/2006/relationships/hyperlink" Target="https://www.codechef.com/problems/GCD102" TargetMode="External" Id="rId294" /><Relationship Type="http://schemas.openxmlformats.org/officeDocument/2006/relationships/hyperlink" Target="https://www.codechef.com/problems/GCD103" TargetMode="External" Id="rId295" /><Relationship Type="http://schemas.openxmlformats.org/officeDocument/2006/relationships/hyperlink" Target="https://www.codechef.com/problems/GCD104" TargetMode="External" Id="rId296" /><Relationship Type="http://schemas.openxmlformats.org/officeDocument/2006/relationships/hyperlink" Target="https://www.codechef.com/problems/PRB01" TargetMode="External" Id="rId297" /><Relationship Type="http://schemas.openxmlformats.org/officeDocument/2006/relationships/hyperlink" Target="https://www.codechef.com/problems/SEIVE1" TargetMode="External" Id="rId298" /><Relationship Type="http://schemas.openxmlformats.org/officeDocument/2006/relationships/hyperlink" Target="https://www.codechef.com/problems/PRIMES2" TargetMode="External" Id="rId299" /><Relationship Type="http://schemas.openxmlformats.org/officeDocument/2006/relationships/hyperlink" Target="https://www.codechef.com/problems/PRIME1" TargetMode="External" Id="rId300" /><Relationship Type="http://schemas.openxmlformats.org/officeDocument/2006/relationships/hyperlink" Target="https://www.codechef.com/problems/PRIME101" TargetMode="External" Id="rId301" /><Relationship Type="http://schemas.openxmlformats.org/officeDocument/2006/relationships/hyperlink" Target="https://www.codechef.com/problems/PRIME102" TargetMode="External" Id="rId302" /><Relationship Type="http://schemas.openxmlformats.org/officeDocument/2006/relationships/hyperlink" Target="https://www.codechef.com/problems/MODEX" TargetMode="External" Id="rId303" /><Relationship Type="http://schemas.openxmlformats.org/officeDocument/2006/relationships/hyperlink" Target="https://www.codechef.com/problems/POWMOD" TargetMode="External" Id="rId304" /><Relationship Type="http://schemas.openxmlformats.org/officeDocument/2006/relationships/hyperlink" Target="https://www.codechef.com/problems/MODINV1" TargetMode="External" Id="rId305" /><Relationship Type="http://schemas.openxmlformats.org/officeDocument/2006/relationships/hyperlink" Target="https://www.codechef.com/problems/MODINV2" TargetMode="External" Id="rId306" /><Relationship Type="http://schemas.openxmlformats.org/officeDocument/2006/relationships/hyperlink" Target="https://www.codechef.com/problems/CRT1" TargetMode="External" Id="rId307" /><Relationship Type="http://schemas.openxmlformats.org/officeDocument/2006/relationships/hyperlink" Target="https://www.codechef.com/problems/MOD101" TargetMode="External" Id="rId308" /><Relationship Type="http://schemas.openxmlformats.org/officeDocument/2006/relationships/hyperlink" Target="https://www.codechef.com/problems/COMB1" TargetMode="External" Id="rId309" /><Relationship Type="http://schemas.openxmlformats.org/officeDocument/2006/relationships/hyperlink" Target="https://www.codechef.com/problems/CHEFCOMB" TargetMode="External" Id="rId310" /><Relationship Type="http://schemas.openxmlformats.org/officeDocument/2006/relationships/hyperlink" Target="https://www.codechef.com/problems/PASCTRI" TargetMode="External" Id="rId311" /><Relationship Type="http://schemas.openxmlformats.org/officeDocument/2006/relationships/hyperlink" Target="https://www.codechef.com/problems/COMB101" TargetMode="External" Id="rId312" /><Relationship Type="http://schemas.openxmlformats.org/officeDocument/2006/relationships/hyperlink" Target="https://www.codechef.com/problems/COMB102" TargetMode="External" Id="rId313" /><Relationship Type="http://schemas.openxmlformats.org/officeDocument/2006/relationships/hyperlink" Target="https://www.codechef.com/problems/COMB103" TargetMode="External" Id="rId314" /><Relationship Type="http://schemas.openxmlformats.org/officeDocument/2006/relationships/hyperlink" Target="https://www.codechef.com/problems/COMB104" TargetMode="External" Id="rId315" /><Relationship Type="http://schemas.openxmlformats.org/officeDocument/2006/relationships/hyperlink" Target="https://www.codechef.com/problems/NUMTH1" TargetMode="External" Id="rId316" /><Relationship Type="http://schemas.openxmlformats.org/officeDocument/2006/relationships/hyperlink" Target="https://www.codechef.com/problems/INCEXC" TargetMode="External" Id="rId317" /><Relationship Type="http://schemas.openxmlformats.org/officeDocument/2006/relationships/hyperlink" Target="https://www.codechef.com/problems/EULER1" TargetMode="External" Id="rId318" /><Relationship Type="http://schemas.openxmlformats.org/officeDocument/2006/relationships/hyperlink" Target="https://www.codechef.com/problems/MOBIUS1" TargetMode="External" Id="rId319" /><Relationship Type="http://schemas.openxmlformats.org/officeDocument/2006/relationships/hyperlink" Target="https://www.codechef.com/problems/INCEXC101" TargetMode="External" Id="rId320" /><Relationship Type="http://schemas.openxmlformats.org/officeDocument/2006/relationships/hyperlink" Target="https://www.codechef.com/problems/INCEXC102" TargetMode="External" Id="rId321" /><Relationship Type="http://schemas.openxmlformats.org/officeDocument/2006/relationships/hyperlink" Target="https://www.codechef.com/problems/INCEXC103" TargetMode="External" Id="rId322" /><Relationship Type="http://schemas.openxmlformats.org/officeDocument/2006/relationships/hyperlink" Target="https://www.codechef.com/problems/INCEXC104" TargetMode="External" Id="rId323" /><Relationship Type="http://schemas.openxmlformats.org/officeDocument/2006/relationships/hyperlink" Target="https://www.codechef.com/problems/TRISQ" TargetMode="External" Id="rId324" /><Relationship Type="http://schemas.openxmlformats.org/officeDocument/2006/relationships/hyperlink" Target="https://www.codechef.com/problems/FIBO1" TargetMode="External" Id="rId325" /><Relationship Type="http://schemas.openxmlformats.org/officeDocument/2006/relationships/hyperlink" Target="https://www.codechef.com/problems/REC101" TargetMode="External" Id="rId326" /><Relationship Type="http://schemas.openxmlformats.org/officeDocument/2006/relationships/hyperlink" Target="https://www.codechef.com/problems/REC102" TargetMode="External" Id="rId327" /><Relationship Type="http://schemas.openxmlformats.org/officeDocument/2006/relationships/hyperlink" Target="https://www.codechef.com/problems/REC103" TargetMode="External" Id="rId328" /><Relationship Type="http://schemas.openxmlformats.org/officeDocument/2006/relationships/hyperlink" Target="https://www.codechef.com/problems/REC104" TargetMode="External" Id="rId329" /><Relationship Type="http://schemas.openxmlformats.org/officeDocument/2006/relationships/hyperlink" Target="https://www.codechef.com/problems/NQUEENS" TargetMode="External" Id="rId330" /><Relationship Type="http://schemas.openxmlformats.org/officeDocument/2006/relationships/hyperlink" Target="https://www.codechef.com/problems/SUDOKU" TargetMode="External" Id="rId331" /><Relationship Type="http://schemas.openxmlformats.org/officeDocument/2006/relationships/hyperlink" Target="https://www.codechef.com/problems/PERMUT1" TargetMode="External" Id="rId332" /><Relationship Type="http://schemas.openxmlformats.org/officeDocument/2006/relationships/hyperlink" Target="https://www.codechef.com/problems/BACK101" TargetMode="External" Id="rId333" /><Relationship Type="http://schemas.openxmlformats.org/officeDocument/2006/relationships/hyperlink" Target="https://www.codechef.com/problems/BACK102" TargetMode="External" Id="rId334" /><Relationship Type="http://schemas.openxmlformats.org/officeDocument/2006/relationships/hyperlink" Target="https://www.codechef.com/problems/BACK103" TargetMode="External" Id="rId335" /><Relationship Type="http://schemas.openxmlformats.org/officeDocument/2006/relationships/hyperlink" Target="https://www.codechef.com/problems/SUBSETS" TargetMode="External" Id="rId336" /><Relationship Type="http://schemas.openxmlformats.org/officeDocument/2006/relationships/hyperlink" Target="https://www.codechef.com/problems/ALLPERM" TargetMode="External" Id="rId337" /><Relationship Type="http://schemas.openxmlformats.org/officeDocument/2006/relationships/hyperlink" Target="https://www.codechef.com/problems/BACKTRK1" TargetMode="External" Id="rId338" /><Relationship Type="http://schemas.openxmlformats.org/officeDocument/2006/relationships/hyperlink" Target="https://www.codechef.com/problems/GEN101" TargetMode="External" Id="rId339" /><Relationship Type="http://schemas.openxmlformats.org/officeDocument/2006/relationships/hyperlink" Target="https://www.codechef.com/problems/GEN102" TargetMode="External" Id="rId340" /><Relationship Type="http://schemas.openxmlformats.org/officeDocument/2006/relationships/hyperlink" Target="https://www.codechef.com/problems/GEN103" TargetMode="External" Id="rId341" /><Relationship Type="http://schemas.openxmlformats.org/officeDocument/2006/relationships/hyperlink" Target="https://www.codechef.com/problems/DIVREC1" TargetMode="External" Id="rId342" /><Relationship Type="http://schemas.openxmlformats.org/officeDocument/2006/relationships/hyperlink" Target="https://www.codechef.com/problems/HANOI1" TargetMode="External" Id="rId343" /><Relationship Type="http://schemas.openxmlformats.org/officeDocument/2006/relationships/hyperlink" Target="https://www.codechef.com/problems/DIVREC101" TargetMode="External" Id="rId344" /><Relationship Type="http://schemas.openxmlformats.org/officeDocument/2006/relationships/hyperlink" Target="https://www.codechef.com/problems/DIVREC102" TargetMode="External" Id="rId345" /><Relationship Type="http://schemas.openxmlformats.org/officeDocument/2006/relationships/hyperlink" Target="https://www.codechef.com/problems/DIVREC103" TargetMode="External" Id="rId346" /><Relationship Type="http://schemas.openxmlformats.org/officeDocument/2006/relationships/hyperlink" Target="https://www.codechef.com/problems/DIVREC104" TargetMode="External" Id="rId347" /><Relationship Type="http://schemas.openxmlformats.org/officeDocument/2006/relationships/hyperlink" Target="https://www.codechef.com/problems/DIVREC105" TargetMode="External" Id="rId348" /><Relationship Type="http://schemas.openxmlformats.org/officeDocument/2006/relationships/hyperlink" Target="https://www.codechef.com/problems/COMPILER" TargetMode="External" Id="rId349" /><Relationship Type="http://schemas.openxmlformats.org/officeDocument/2006/relationships/hyperlink" Target="https://www.codechef.com/problems/STACK1" TargetMode="External" Id="rId350" /><Relationship Type="http://schemas.openxmlformats.org/officeDocument/2006/relationships/hyperlink" Target="https://www.codechef.com/problems/PAREN1" TargetMode="External" Id="rId351" /><Relationship Type="http://schemas.openxmlformats.org/officeDocument/2006/relationships/hyperlink" Target="https://www.codechef.com/problems/BSTACK101" TargetMode="External" Id="rId352" /><Relationship Type="http://schemas.openxmlformats.org/officeDocument/2006/relationships/hyperlink" Target="https://www.codechef.com/problems/BSTACK102" TargetMode="External" Id="rId353" /><Relationship Type="http://schemas.openxmlformats.org/officeDocument/2006/relationships/hyperlink" Target="https://www.codechef.com/problems/BSTACK103" TargetMode="External" Id="rId354" /><Relationship Type="http://schemas.openxmlformats.org/officeDocument/2006/relationships/hyperlink" Target="https://www.codechef.com/problems/BSTACK104" TargetMode="External" Id="rId355" /><Relationship Type="http://schemas.openxmlformats.org/officeDocument/2006/relationships/hyperlink" Target="https://www.codechef.com/problems/BSTACK105" TargetMode="External" Id="rId356" /><Relationship Type="http://schemas.openxmlformats.org/officeDocument/2006/relationships/hyperlink" Target="https://www.codechef.com/problems/ZCO12001" TargetMode="External" Id="rId357" /><Relationship Type="http://schemas.openxmlformats.org/officeDocument/2006/relationships/hyperlink" Target="https://www.codechef.com/problems/MATCHING" TargetMode="External" Id="rId358" /><Relationship Type="http://schemas.openxmlformats.org/officeDocument/2006/relationships/hyperlink" Target="https://www.codechef.com/problems/BRACKETS" TargetMode="External" Id="rId359" /><Relationship Type="http://schemas.openxmlformats.org/officeDocument/2006/relationships/hyperlink" Target="https://www.codechef.com/problems/PAR101" TargetMode="External" Id="rId360" /><Relationship Type="http://schemas.openxmlformats.org/officeDocument/2006/relationships/hyperlink" Target="https://www.codechef.com/problems/PAR102" TargetMode="External" Id="rId361" /><Relationship Type="http://schemas.openxmlformats.org/officeDocument/2006/relationships/hyperlink" Target="https://www.codechef.com/problems/PAR103" TargetMode="External" Id="rId362" /><Relationship Type="http://schemas.openxmlformats.org/officeDocument/2006/relationships/hyperlink" Target="https://www.codechef.com/problems/PAR104" TargetMode="External" Id="rId363" /><Relationship Type="http://schemas.openxmlformats.org/officeDocument/2006/relationships/hyperlink" Target="https://www.codechef.com/problems/ZCO14002" TargetMode="External" Id="rId364" /><Relationship Type="http://schemas.openxmlformats.org/officeDocument/2006/relationships/hyperlink" Target="https://www.codechef.com/problems/INOI1301" TargetMode="External" Id="rId365" /><Relationship Type="http://schemas.openxmlformats.org/officeDocument/2006/relationships/hyperlink" Target="https://www.codechef.com/problems/MAXRECT" TargetMode="External" Id="rId366" /><Relationship Type="http://schemas.openxmlformats.org/officeDocument/2006/relationships/hyperlink" Target="https://www.codechef.com/problems/HISTOG" TargetMode="External" Id="rId367" /><Relationship Type="http://schemas.openxmlformats.org/officeDocument/2006/relationships/hyperlink" Target="https://www.codechef.com/problems/MONOSTACK1" TargetMode="External" Id="rId368" /><Relationship Type="http://schemas.openxmlformats.org/officeDocument/2006/relationships/hyperlink" Target="https://www.codechef.com/problems/MONOSTACK2" TargetMode="External" Id="rId369" /><Relationship Type="http://schemas.openxmlformats.org/officeDocument/2006/relationships/hyperlink" Target="https://www.codechef.com/problems/MONOSTACK3" TargetMode="External" Id="rId370" /><Relationship Type="http://schemas.openxmlformats.org/officeDocument/2006/relationships/hyperlink" Target="https://www.codechef.com/problems/MONOSTACK4" TargetMode="External" Id="rId371" /><Relationship Type="http://schemas.openxmlformats.org/officeDocument/2006/relationships/hyperlink" Target="https://www.codechef.com/problems/MONOSTACK5" TargetMode="External" Id="rId372" /><Relationship Type="http://schemas.openxmlformats.org/officeDocument/2006/relationships/hyperlink" Target="https://www.codechef.com/problems/MONOSTACK6" TargetMode="External" Id="rId373" /><Relationship Type="http://schemas.openxmlformats.org/officeDocument/2006/relationships/hyperlink" Target="https://www.codechef.com/problems/MONOSTACK7" TargetMode="External" Id="rId374" /><Relationship Type="http://schemas.openxmlformats.org/officeDocument/2006/relationships/hyperlink" Target="https://www.codechef.com/problems/MONOSTACK8" TargetMode="External" Id="rId375" /><Relationship Type="http://schemas.openxmlformats.org/officeDocument/2006/relationships/hyperlink" Target="https://www.codechef.com/problems/STKGREEDY" TargetMode="External" Id="rId376" /><Relationship Type="http://schemas.openxmlformats.org/officeDocument/2006/relationships/hyperlink" Target="https://www.codechef.com/problems/EVALEXPR" TargetMode="External" Id="rId377" /><Relationship Type="http://schemas.openxmlformats.org/officeDocument/2006/relationships/hyperlink" Target="https://www.codechef.com/problems/STKGREE1" TargetMode="External" Id="rId378" /><Relationship Type="http://schemas.openxmlformats.org/officeDocument/2006/relationships/hyperlink" Target="https://www.codechef.com/problems/STKGREE2" TargetMode="External" Id="rId379" /><Relationship Type="http://schemas.openxmlformats.org/officeDocument/2006/relationships/hyperlink" Target="https://www.codechef.com/problems/STKGREE3" TargetMode="External" Id="rId380" /><Relationship Type="http://schemas.openxmlformats.org/officeDocument/2006/relationships/hyperlink" Target="https://www.codechef.com/problems/STKGREE4" TargetMode="External" Id="rId381" /><Relationship Type="http://schemas.openxmlformats.org/officeDocument/2006/relationships/hyperlink" Target="https://www.codechef.com/problems/STKGREE5" TargetMode="External" Id="rId382" /><Relationship Type="http://schemas.openxmlformats.org/officeDocument/2006/relationships/hyperlink" Target="https://www.codechef.com/problems/QUEUE1" TargetMode="External" Id="rId383" /><Relationship Type="http://schemas.openxmlformats.org/officeDocument/2006/relationships/hyperlink" Target="https://www.codechef.com/problems/SLIDING1" TargetMode="External" Id="rId384" /><Relationship Type="http://schemas.openxmlformats.org/officeDocument/2006/relationships/hyperlink" Target="https://www.codechef.com/problems/BREADTH1" TargetMode="External" Id="rId385" /><Relationship Type="http://schemas.openxmlformats.org/officeDocument/2006/relationships/hyperlink" Target="https://www.codechef.com/problems/QSIM101" TargetMode="External" Id="rId386" /><Relationship Type="http://schemas.openxmlformats.org/officeDocument/2006/relationships/hyperlink" Target="https://www.codechef.com/problems/QSIM102" TargetMode="External" Id="rId387" /><Relationship Type="http://schemas.openxmlformats.org/officeDocument/2006/relationships/hyperlink" Target="https://www.codechef.com/problems/DEQUE1" TargetMode="External" Id="rId388" /><Relationship Type="http://schemas.openxmlformats.org/officeDocument/2006/relationships/hyperlink" Target="https://www.codechef.com/problems/SLIDINGMAX" TargetMode="External" Id="rId389" /><Relationship Type="http://schemas.openxmlformats.org/officeDocument/2006/relationships/hyperlink" Target="https://www.codechef.com/problems/MAXDEQUE" TargetMode="External" Id="rId390" /><Relationship Type="http://schemas.openxmlformats.org/officeDocument/2006/relationships/hyperlink" Target="https://www.codechef.com/problems/DEQ101" TargetMode="External" Id="rId391" /><Relationship Type="http://schemas.openxmlformats.org/officeDocument/2006/relationships/hyperlink" Target="https://www.codechef.com/problems/DEQ102" TargetMode="External" Id="rId392" /><Relationship Type="http://schemas.openxmlformats.org/officeDocument/2006/relationships/hyperlink" Target="https://www.codechef.com/problems/SLIDINGWINDOW" TargetMode="External" Id="rId393" /><Relationship Type="http://schemas.openxmlformats.org/officeDocument/2006/relationships/hyperlink" Target="https://www.codechef.com/problems/MONOQUEUE" TargetMode="External" Id="rId394" /><Relationship Type="http://schemas.openxmlformats.org/officeDocument/2006/relationships/hyperlink" Target="https://www.codechef.com/problems/MONOQ101" TargetMode="External" Id="rId395" /><Relationship Type="http://schemas.openxmlformats.org/officeDocument/2006/relationships/hyperlink" Target="https://www.codechef.com/problems/MONOQ102" TargetMode="External" Id="rId396" /><Relationship Type="http://schemas.openxmlformats.org/officeDocument/2006/relationships/hyperlink" Target="https://www.codechef.com/problems/BFSQUEUE" TargetMode="External" Id="rId397" /><Relationship Type="http://schemas.openxmlformats.org/officeDocument/2006/relationships/hyperlink" Target="https://www.codechef.com/problems/SHORTQ" TargetMode="External" Id="rId398" /><Relationship Type="http://schemas.openxmlformats.org/officeDocument/2006/relationships/hyperlink" Target="https://www.codechef.com/problems/QBFS101" TargetMode="External" Id="rId399" /><Relationship Type="http://schemas.openxmlformats.org/officeDocument/2006/relationships/hyperlink" Target="https://www.codechef.com/problems/QBFS102" TargetMode="External" Id="rId400" /><Relationship Type="http://schemas.openxmlformats.org/officeDocument/2006/relationships/hyperlink" Target="https://www.codechef.com/problems/QBFS103" TargetMode="External" Id="rId401" /><Relationship Type="http://schemas.openxmlformats.org/officeDocument/2006/relationships/hyperlink" Target="https://www.codechef.com/problems/QBFS104" TargetMode="External" Id="rId402" /><Relationship Type="http://schemas.openxmlformats.org/officeDocument/2006/relationships/hyperlink" Target="https://www.codechef.com/problems/SIM101" TargetMode="External" Id="rId403" /><Relationship Type="http://schemas.openxmlformats.org/officeDocument/2006/relationships/hyperlink" Target="https://www.codechef.com/problems/SIM102" TargetMode="External" Id="rId404" /><Relationship Type="http://schemas.openxmlformats.org/officeDocument/2006/relationships/hyperlink" Target="https://www.codechef.com/problems/SIM103" TargetMode="External" Id="rId405" /><Relationship Type="http://schemas.openxmlformats.org/officeDocument/2006/relationships/hyperlink" Target="https://www.codechef.com/problems/SIM104" TargetMode="External" Id="rId406" /><Relationship Type="http://schemas.openxmlformats.org/officeDocument/2006/relationships/hyperlink" Target="https://www.codechef.com/problems/SIM105" TargetMode="External" Id="rId407" /><Relationship Type="http://schemas.openxmlformats.org/officeDocument/2006/relationships/hyperlink" Target="https://www.codechef.com/problems/JOSEPHUS" TargetMode="External" Id="rId408" /><Relationship Type="http://schemas.openxmlformats.org/officeDocument/2006/relationships/hyperlink" Target="https://www.codechef.com/problems/CIRCSIM" TargetMode="External" Id="rId409" /><Relationship Type="http://schemas.openxmlformats.org/officeDocument/2006/relationships/hyperlink" Target="https://www.codechef.com/problems/CIRCLIST101" TargetMode="External" Id="rId410" /><Relationship Type="http://schemas.openxmlformats.org/officeDocument/2006/relationships/hyperlink" Target="https://www.codechef.com/problems/CIRCLIST102" TargetMode="External" Id="rId411" /><Relationship Type="http://schemas.openxmlformats.org/officeDocument/2006/relationships/hyperlink" Target="https://www.codechef.com/problems/CIRCLIST103" TargetMode="External" Id="rId412" /><Relationship Type="http://schemas.openxmlformats.org/officeDocument/2006/relationships/hyperlink" Target="https://www.codechef.com/problems/SIMDATA" TargetMode="External" Id="rId413" /><Relationship Type="http://schemas.openxmlformats.org/officeDocument/2006/relationships/hyperlink" Target="https://www.codechef.com/problems/GRIDWALK" TargetMode="External" Id="rId414" /><Relationship Type="http://schemas.openxmlformats.org/officeDocument/2006/relationships/hyperlink" Target="https://www.codechef.com/problems/SIMDS101" TargetMode="External" Id="rId415" /><Relationship Type="http://schemas.openxmlformats.org/officeDocument/2006/relationships/hyperlink" Target="https://www.codechef.com/problems/SIMDS102" TargetMode="External" Id="rId416" /><Relationship Type="http://schemas.openxmlformats.org/officeDocument/2006/relationships/hyperlink" Target="https://www.codechef.com/problems/SIMDS103" TargetMode="External" Id="rId417" /><Relationship Type="http://schemas.openxmlformats.org/officeDocument/2006/relationships/hyperlink" Target="https://www.codechef.com/problems/ORDERSET" TargetMode="External" Id="rId418" /><Relationship Type="http://schemas.openxmlformats.org/officeDocument/2006/relationships/hyperlink" Target="https://www.codechef.com/problems/MEDIAN1" TargetMode="External" Id="rId419" /><Relationship Type="http://schemas.openxmlformats.org/officeDocument/2006/relationships/hyperlink" Target="https://www.codechef.com/problems/ORDSET101" TargetMode="External" Id="rId420" /><Relationship Type="http://schemas.openxmlformats.org/officeDocument/2006/relationships/hyperlink" Target="https://www.codechef.com/problems/ORDSET102" TargetMode="External" Id="rId421" /><Relationship Type="http://schemas.openxmlformats.org/officeDocument/2006/relationships/hyperlink" Target="https://www.codechef.com/problems/ORDSET103" TargetMode="External" Id="rId422" /><Relationship Type="http://schemas.openxmlformats.org/officeDocument/2006/relationships/hyperlink" Target="https://www.codechef.com/problems/TREE1" TargetMode="External" Id="rId423" /><Relationship Type="http://schemas.openxmlformats.org/officeDocument/2006/relationships/hyperlink" Target="https://www.codechef.com/problems/TREEDFS" TargetMode="External" Id="rId424" /><Relationship Type="http://schemas.openxmlformats.org/officeDocument/2006/relationships/hyperlink" Target="https://www.codechef.com/problems/SUBTREE1" TargetMode="External" Id="rId425" /><Relationship Type="http://schemas.openxmlformats.org/officeDocument/2006/relationships/hyperlink" Target="https://www.codechef.com/problems/TREE101" TargetMode="External" Id="rId426" /><Relationship Type="http://schemas.openxmlformats.org/officeDocument/2006/relationships/hyperlink" Target="https://www.codechef.com/problems/TREE102" TargetMode="External" Id="rId427" /><Relationship Type="http://schemas.openxmlformats.org/officeDocument/2006/relationships/hyperlink" Target="https://www.codechef.com/problems/TREE103" TargetMode="External" Id="rId428" /><Relationship Type="http://schemas.openxmlformats.org/officeDocument/2006/relationships/hyperlink" Target="https://www.codechef.com/problems/TREE104" TargetMode="External" Id="rId429" /><Relationship Type="http://schemas.openxmlformats.org/officeDocument/2006/relationships/hyperlink" Target="https://www.codechef.com/problems/TREE105" TargetMode="External" Id="rId430" /><Relationship Type="http://schemas.openxmlformats.org/officeDocument/2006/relationships/hyperlink" Target="https://www.codechef.com/problems/TREE106" TargetMode="External" Id="rId431" /><Relationship Type="http://schemas.openxmlformats.org/officeDocument/2006/relationships/hyperlink" Target="https://www.codechef.com/problems/TRAVERSE1" TargetMode="External" Id="rId432" /><Relationship Type="http://schemas.openxmlformats.org/officeDocument/2006/relationships/hyperlink" Target="https://www.codechef.com/problems/TREELEAF" TargetMode="External" Id="rId433" /><Relationship Type="http://schemas.openxmlformats.org/officeDocument/2006/relationships/hyperlink" Target="https://www.codechef.com/problems/HEIGHT1" TargetMode="External" Id="rId434" /><Relationship Type="http://schemas.openxmlformats.org/officeDocument/2006/relationships/hyperlink" Target="https://www.codechef.com/problems/TTRAV101" TargetMode="External" Id="rId435" /><Relationship Type="http://schemas.openxmlformats.org/officeDocument/2006/relationships/hyperlink" Target="https://www.codechef.com/problems/TTRAV102" TargetMode="External" Id="rId436" /><Relationship Type="http://schemas.openxmlformats.org/officeDocument/2006/relationships/hyperlink" Target="https://www.codechef.com/problems/TTRAV103" TargetMode="External" Id="rId437" /><Relationship Type="http://schemas.openxmlformats.org/officeDocument/2006/relationships/hyperlink" Target="https://www.codechef.com/problems/TTRAV104" TargetMode="External" Id="rId438" /><Relationship Type="http://schemas.openxmlformats.org/officeDocument/2006/relationships/hyperlink" Target="https://www.codechef.com/problems/TTRAV105" TargetMode="External" Id="rId439" /><Relationship Type="http://schemas.openxmlformats.org/officeDocument/2006/relationships/hyperlink" Target="https://www.codechef.com/problems/TTRAV106" TargetMode="External" Id="rId440" /><Relationship Type="http://schemas.openxmlformats.org/officeDocument/2006/relationships/hyperlink" Target="https://www.codechef.com/problems/INOI1402" TargetMode="External" Id="rId441" /><Relationship Type="http://schemas.openxmlformats.org/officeDocument/2006/relationships/hyperlink" Target="https://www.codechef.com/problems/TREEDP1" TargetMode="External" Id="rId442" /><Relationship Type="http://schemas.openxmlformats.org/officeDocument/2006/relationships/hyperlink" Target="https://www.codechef.com/problems/INDEPENDENT" TargetMode="External" Id="rId443" /><Relationship Type="http://schemas.openxmlformats.org/officeDocument/2006/relationships/hyperlink" Target="https://www.codechef.com/problems/MAXWEIGHT" TargetMode="External" Id="rId444" /><Relationship Type="http://schemas.openxmlformats.org/officeDocument/2006/relationships/hyperlink" Target="https://www.codechef.com/problems/TDP101" TargetMode="External" Id="rId445" /><Relationship Type="http://schemas.openxmlformats.org/officeDocument/2006/relationships/hyperlink" Target="https://www.codechef.com/problems/TDP102" TargetMode="External" Id="rId446" /><Relationship Type="http://schemas.openxmlformats.org/officeDocument/2006/relationships/hyperlink" Target="https://www.codechef.com/problems/TDP103" TargetMode="External" Id="rId447" /><Relationship Type="http://schemas.openxmlformats.org/officeDocument/2006/relationships/hyperlink" Target="https://www.codechef.com/problems/TDP104" TargetMode="External" Id="rId448" /><Relationship Type="http://schemas.openxmlformats.org/officeDocument/2006/relationships/hyperlink" Target="https://www.codechef.com/problems/TDP105" TargetMode="External" Id="rId449" /><Relationship Type="http://schemas.openxmlformats.org/officeDocument/2006/relationships/hyperlink" Target="https://www.codechef.com/problems/TALCA" TargetMode="External" Id="rId450" /><Relationship Type="http://schemas.openxmlformats.org/officeDocument/2006/relationships/hyperlink" Target="https://www.codechef.com/problems/LCA1" TargetMode="External" Id="rId451" /><Relationship Type="http://schemas.openxmlformats.org/officeDocument/2006/relationships/hyperlink" Target="https://www.codechef.com/problems/ANCESTOR1" TargetMode="External" Id="rId452" /><Relationship Type="http://schemas.openxmlformats.org/officeDocument/2006/relationships/hyperlink" Target="https://www.codechef.com/problems/LCA101" TargetMode="External" Id="rId453" /><Relationship Type="http://schemas.openxmlformats.org/officeDocument/2006/relationships/hyperlink" Target="https://www.codechef.com/problems/LCA102" TargetMode="External" Id="rId454" /><Relationship Type="http://schemas.openxmlformats.org/officeDocument/2006/relationships/hyperlink" Target="https://www.codechef.com/problems/LCA103" TargetMode="External" Id="rId455" /><Relationship Type="http://schemas.openxmlformats.org/officeDocument/2006/relationships/hyperlink" Target="https://www.codechef.com/problems/LCA104" TargetMode="External" Id="rId456" /><Relationship Type="http://schemas.openxmlformats.org/officeDocument/2006/relationships/hyperlink" Target="https://www.codechef.com/problems/LCA105" TargetMode="External" Id="rId457" /><Relationship Type="http://schemas.openxmlformats.org/officeDocument/2006/relationships/hyperlink" Target="https://www.codechef.com/problems/REROOT1" TargetMode="External" Id="rId458" /><Relationship Type="http://schemas.openxmlformats.org/officeDocument/2006/relationships/hyperlink" Target="https://www.codechef.com/problems/TREECENTROID" TargetMode="External" Id="rId459" /><Relationship Type="http://schemas.openxmlformats.org/officeDocument/2006/relationships/hyperlink" Target="https://www.codechef.com/problems/REROOT101" TargetMode="External" Id="rId460" /><Relationship Type="http://schemas.openxmlformats.org/officeDocument/2006/relationships/hyperlink" Target="https://www.codechef.com/problems/REROOT102" TargetMode="External" Id="rId461" /><Relationship Type="http://schemas.openxmlformats.org/officeDocument/2006/relationships/hyperlink" Target="https://www.codechef.com/problems/REROOT103" TargetMode="External" Id="rId462" /><Relationship Type="http://schemas.openxmlformats.org/officeDocument/2006/relationships/hyperlink" Target="https://www.codechef.com/problems/REROOT104" TargetMode="External" Id="rId463" /><Relationship Type="http://schemas.openxmlformats.org/officeDocument/2006/relationships/hyperlink" Target="https://www.codechef.com/problems/REROOT105" TargetMode="External" Id="rId464" /><Relationship Type="http://schemas.openxmlformats.org/officeDocument/2006/relationships/hyperlink" Target="https://www.codechef.com/problems/EULERTOUR1" TargetMode="External" Id="rId465" /><Relationship Type="http://schemas.openxmlformats.org/officeDocument/2006/relationships/hyperlink" Target="https://www.codechef.com/problems/SUBTREEQUERY" TargetMode="External" Id="rId466" /><Relationship Type="http://schemas.openxmlformats.org/officeDocument/2006/relationships/hyperlink" Target="https://www.codechef.com/problems/ETOUR101" TargetMode="External" Id="rId467" /><Relationship Type="http://schemas.openxmlformats.org/officeDocument/2006/relationships/hyperlink" Target="https://www.codechef.com/problems/ETOUR102" TargetMode="External" Id="rId468" /><Relationship Type="http://schemas.openxmlformats.org/officeDocument/2006/relationships/hyperlink" Target="https://www.codechef.com/problems/ETOUR103" TargetMode="External" Id="rId469" /><Relationship Type="http://schemas.openxmlformats.org/officeDocument/2006/relationships/hyperlink" Target="https://www.codechef.com/problems/ETOUR104" TargetMode="External" Id="rId470" /><Relationship Type="http://schemas.openxmlformats.org/officeDocument/2006/relationships/hyperlink" Target="https://www.codechef.com/problems/ETOUR105" TargetMode="External" Id="rId471" /><Relationship Type="http://schemas.openxmlformats.org/officeDocument/2006/relationships/hyperlink" Target="https://www.codechef.com/problems/ETOUR106" TargetMode="External" Id="rId472" /><Relationship Type="http://schemas.openxmlformats.org/officeDocument/2006/relationships/hyperlink" Target="https://www.codechef.com/problems/FIRESC" TargetMode="External" Id="rId473" /><Relationship Type="http://schemas.openxmlformats.org/officeDocument/2006/relationships/hyperlink" Target="https://www.codechef.com/problems/DISHOWN" TargetMode="External" Id="rId474" /><Relationship Type="http://schemas.openxmlformats.org/officeDocument/2006/relationships/hyperlink" Target="https://www.codechef.com/problems/CONNECT1" TargetMode="External" Id="rId475" /><Relationship Type="http://schemas.openxmlformats.org/officeDocument/2006/relationships/hyperlink" Target="https://www.codechef.com/problems/CONN101" TargetMode="External" Id="rId476" /><Relationship Type="http://schemas.openxmlformats.org/officeDocument/2006/relationships/hyperlink" Target="https://www.codechef.com/problems/CONN102" TargetMode="External" Id="rId477" /><Relationship Type="http://schemas.openxmlformats.org/officeDocument/2006/relationships/hyperlink" Target="https://www.codechef.com/problems/CONN103" TargetMode="External" Id="rId478" /><Relationship Type="http://schemas.openxmlformats.org/officeDocument/2006/relationships/hyperlink" Target="https://www.codechef.com/problems/CONN104" TargetMode="External" Id="rId479" /><Relationship Type="http://schemas.openxmlformats.org/officeDocument/2006/relationships/hyperlink" Target="https://www.codechef.com/problems/CONN105" TargetMode="External" Id="rId480" /><Relationship Type="http://schemas.openxmlformats.org/officeDocument/2006/relationships/hyperlink" Target="https://www.codechef.com/problems/CONN106" TargetMode="External" Id="rId481" /><Relationship Type="http://schemas.openxmlformats.org/officeDocument/2006/relationships/hyperlink" Target="https://www.codechef.com/problems/CONN107" TargetMode="External" Id="rId482" /><Relationship Type="http://schemas.openxmlformats.org/officeDocument/2006/relationships/hyperlink" Target="https://www.codechef.com/problems/DFS1" TargetMode="External" Id="rId483" /><Relationship Type="http://schemas.openxmlformats.org/officeDocument/2006/relationships/hyperlink" Target="https://www.codechef.com/problems/GRAPHDFS" TargetMode="External" Id="rId484" /><Relationship Type="http://schemas.openxmlformats.org/officeDocument/2006/relationships/hyperlink" Target="https://www.codechef.com/problems/PATHFIND" TargetMode="External" Id="rId485" /><Relationship Type="http://schemas.openxmlformats.org/officeDocument/2006/relationships/hyperlink" Target="https://www.codechef.com/problems/DFS101" TargetMode="External" Id="rId486" /><Relationship Type="http://schemas.openxmlformats.org/officeDocument/2006/relationships/hyperlink" Target="https://www.codechef.com/problems/DFS102" TargetMode="External" Id="rId487" /><Relationship Type="http://schemas.openxmlformats.org/officeDocument/2006/relationships/hyperlink" Target="https://www.codechef.com/problems/DFS103" TargetMode="External" Id="rId488" /><Relationship Type="http://schemas.openxmlformats.org/officeDocument/2006/relationships/hyperlink" Target="https://www.codechef.com/problems/DFS104" TargetMode="External" Id="rId489" /><Relationship Type="http://schemas.openxmlformats.org/officeDocument/2006/relationships/hyperlink" Target="https://www.codechef.com/problems/DFS105" TargetMode="External" Id="rId490" /><Relationship Type="http://schemas.openxmlformats.org/officeDocument/2006/relationships/hyperlink" Target="https://www.codechef.com/problems/DFS106" TargetMode="External" Id="rId491" /><Relationship Type="http://schemas.openxmlformats.org/officeDocument/2006/relationships/hyperlink" Target="https://www.codechef.com/problems/DFS107" TargetMode="External" Id="rId492" /><Relationship Type="http://schemas.openxmlformats.org/officeDocument/2006/relationships/hyperlink" Target="https://www.codechef.com/problems/TOPSORT1" TargetMode="External" Id="rId493" /><Relationship Type="http://schemas.openxmlformats.org/officeDocument/2006/relationships/hyperlink" Target="https://www.codechef.com/problems/DEPENDENCY" TargetMode="External" Id="rId494" /><Relationship Type="http://schemas.openxmlformats.org/officeDocument/2006/relationships/hyperlink" Target="https://www.codechef.com/problems/TOP101" TargetMode="External" Id="rId495" /><Relationship Type="http://schemas.openxmlformats.org/officeDocument/2006/relationships/hyperlink" Target="https://www.codechef.com/problems/TOP102" TargetMode="External" Id="rId496" /><Relationship Type="http://schemas.openxmlformats.org/officeDocument/2006/relationships/hyperlink" Target="https://www.codechef.com/problems/TOP103" TargetMode="External" Id="rId497" /><Relationship Type="http://schemas.openxmlformats.org/officeDocument/2006/relationships/hyperlink" Target="https://www.codechef.com/problems/TOP104" TargetMode="External" Id="rId498" /><Relationship Type="http://schemas.openxmlformats.org/officeDocument/2006/relationships/hyperlink" Target="https://www.codechef.com/problems/TOP105" TargetMode="External" Id="rId499" /><Relationship Type="http://schemas.openxmlformats.org/officeDocument/2006/relationships/hyperlink" Target="https://www.codechef.com/problems/TOP106" TargetMode="External" Id="rId500" /><Relationship Type="http://schemas.openxmlformats.org/officeDocument/2006/relationships/hyperlink" Target="https://www.codechef.com/problems/TOP107" TargetMode="External" Id="rId501" /><Relationship Type="http://schemas.openxmlformats.org/officeDocument/2006/relationships/hyperlink" Target="https://www.codechef.com/problems/CYCLEDET" TargetMode="External" Id="rId502" /><Relationship Type="http://schemas.openxmlformats.org/officeDocument/2006/relationships/hyperlink" Target="https://www.codechef.com/problems/DIRECTEDCYC" TargetMode="External" Id="rId503" /><Relationship Type="http://schemas.openxmlformats.org/officeDocument/2006/relationships/hyperlink" Target="https://www.codechef.com/problems/CYC101" TargetMode="External" Id="rId504" /><Relationship Type="http://schemas.openxmlformats.org/officeDocument/2006/relationships/hyperlink" Target="https://www.codechef.com/problems/CYC102" TargetMode="External" Id="rId505" /><Relationship Type="http://schemas.openxmlformats.org/officeDocument/2006/relationships/hyperlink" Target="https://www.codechef.com/problems/CYC103" TargetMode="External" Id="rId506" /><Relationship Type="http://schemas.openxmlformats.org/officeDocument/2006/relationships/hyperlink" Target="https://www.codechef.com/problems/CYC104" TargetMode="External" Id="rId507" /><Relationship Type="http://schemas.openxmlformats.org/officeDocument/2006/relationships/hyperlink" Target="https://www.codechef.com/problems/CYC105" TargetMode="External" Id="rId508" /><Relationship Type="http://schemas.openxmlformats.org/officeDocument/2006/relationships/hyperlink" Target="https://www.codechef.com/problems/CYC106" TargetMode="External" Id="rId509" /><Relationship Type="http://schemas.openxmlformats.org/officeDocument/2006/relationships/hyperlink" Target="https://www.codechef.com/problems/CYC107" TargetMode="External" Id="rId510" /><Relationship Type="http://schemas.openxmlformats.org/officeDocument/2006/relationships/hyperlink" Target="https://www.codechef.com/problems/BIPARTITE1" TargetMode="External" Id="rId511" /><Relationship Type="http://schemas.openxmlformats.org/officeDocument/2006/relationships/hyperlink" Target="https://www.codechef.com/problems/TWOCOLOR" TargetMode="External" Id="rId512" /><Relationship Type="http://schemas.openxmlformats.org/officeDocument/2006/relationships/hyperlink" Target="https://www.codechef.com/problems/BIP101" TargetMode="External" Id="rId513" /><Relationship Type="http://schemas.openxmlformats.org/officeDocument/2006/relationships/hyperlink" Target="https://www.codechef.com/problems/BIP102" TargetMode="External" Id="rId514" /><Relationship Type="http://schemas.openxmlformats.org/officeDocument/2006/relationships/hyperlink" Target="https://www.codechef.com/problems/BIP103" TargetMode="External" Id="rId515" /><Relationship Type="http://schemas.openxmlformats.org/officeDocument/2006/relationships/hyperlink" Target="https://www.codechef.com/problems/BIP104" TargetMode="External" Id="rId516" /><Relationship Type="http://schemas.openxmlformats.org/officeDocument/2006/relationships/hyperlink" Target="https://www.codechef.com/problems/BIP105" TargetMode="External" Id="rId517" /><Relationship Type="http://schemas.openxmlformats.org/officeDocument/2006/relationships/hyperlink" Target="https://www.codechef.com/problems/BIP106" TargetMode="External" Id="rId518" /><Relationship Type="http://schemas.openxmlformats.org/officeDocument/2006/relationships/hyperlink" Target="https://www.codechef.com/problems/BIP107" TargetMode="External" Id="rId519" /><Relationship Type="http://schemas.openxmlformats.org/officeDocument/2006/relationships/hyperlink" Target="https://www.codechef.com/problems/BIP108" TargetMode="External" Id="rId520" /><Relationship Type="http://schemas.openxmlformats.org/officeDocument/2006/relationships/hyperlink" Target="https://www.codechef.com/problems/DIJKSTRA1" TargetMode="External" Id="rId521" /><Relationship Type="http://schemas.openxmlformats.org/officeDocument/2006/relationships/hyperlink" Target="https://www.codechef.com/problems/SHORTPATH" TargetMode="External" Id="rId522" /><Relationship Type="http://schemas.openxmlformats.org/officeDocument/2006/relationships/hyperlink" Target="https://www.codechef.com/problems/DIJ101" TargetMode="External" Id="rId523" /><Relationship Type="http://schemas.openxmlformats.org/officeDocument/2006/relationships/hyperlink" Target="https://www.codechef.com/problems/DIJ102" TargetMode="External" Id="rId524" /><Relationship Type="http://schemas.openxmlformats.org/officeDocument/2006/relationships/hyperlink" Target="https://www.codechef.com/problems/DIJ103" TargetMode="External" Id="rId525" /><Relationship Type="http://schemas.openxmlformats.org/officeDocument/2006/relationships/hyperlink" Target="https://www.codechef.com/problems/DIJ104" TargetMode="External" Id="rId526" /><Relationship Type="http://schemas.openxmlformats.org/officeDocument/2006/relationships/hyperlink" Target="https://www.codechef.com/problems/DIJ105" TargetMode="External" Id="rId527" /><Relationship Type="http://schemas.openxmlformats.org/officeDocument/2006/relationships/hyperlink" Target="https://www.codechef.com/problems/DIJ106" TargetMode="External" Id="rId528" /><Relationship Type="http://schemas.openxmlformats.org/officeDocument/2006/relationships/hyperlink" Target="https://www.codechef.com/problems/DIJ107" TargetMode="External" Id="rId529" /><Relationship Type="http://schemas.openxmlformats.org/officeDocument/2006/relationships/hyperlink" Target="https://www.codechef.com/problems/DIJ108" TargetMode="External" Id="rId530" /><Relationship Type="http://schemas.openxmlformats.org/officeDocument/2006/relationships/hyperlink" Target="https://www.codechef.com/problems/BFS01" TargetMode="External" Id="rId531" /><Relationship Type="http://schemas.openxmlformats.org/officeDocument/2006/relationships/hyperlink" Target="https://www.codechef.com/problems/CHEAPEST1" TargetMode="External" Id="rId532" /><Relationship Type="http://schemas.openxmlformats.org/officeDocument/2006/relationships/hyperlink" Target="https://www.codechef.com/problems/Z1BFS101" TargetMode="External" Id="rId533" /><Relationship Type="http://schemas.openxmlformats.org/officeDocument/2006/relationships/hyperlink" Target="https://www.codechef.com/problems/Z1BFS102" TargetMode="External" Id="rId534" /><Relationship Type="http://schemas.openxmlformats.org/officeDocument/2006/relationships/hyperlink" Target="https://www.codechef.com/problems/Z1BFS103" TargetMode="External" Id="rId535" /><Relationship Type="http://schemas.openxmlformats.org/officeDocument/2006/relationships/hyperlink" Target="https://www.codechef.com/problems/Z1BFS104" TargetMode="External" Id="rId536" /><Relationship Type="http://schemas.openxmlformats.org/officeDocument/2006/relationships/hyperlink" Target="https://www.codechef.com/problems/Z1BFS105" TargetMode="External" Id="rId537" /><Relationship Type="http://schemas.openxmlformats.org/officeDocument/2006/relationships/hyperlink" Target="https://www.codechef.com/problems/Z1BFS106" TargetMode="External" Id="rId538" /><Relationship Type="http://schemas.openxmlformats.org/officeDocument/2006/relationships/hyperlink" Target="https://www.codechef.com/problems/BELLMAN1" TargetMode="External" Id="rId539" /><Relationship Type="http://schemas.openxmlformats.org/officeDocument/2006/relationships/hyperlink" Target="https://www.codechef.com/problems/NEGATIVE1" TargetMode="External" Id="rId540" /><Relationship Type="http://schemas.openxmlformats.org/officeDocument/2006/relationships/hyperlink" Target="https://www.codechef.com/problems/BF101" TargetMode="External" Id="rId541" /><Relationship Type="http://schemas.openxmlformats.org/officeDocument/2006/relationships/hyperlink" Target="https://www.codechef.com/problems/BF102" TargetMode="External" Id="rId542" /><Relationship Type="http://schemas.openxmlformats.org/officeDocument/2006/relationships/hyperlink" Target="https://www.codechef.com/problems/BF103" TargetMode="External" Id="rId543" /><Relationship Type="http://schemas.openxmlformats.org/officeDocument/2006/relationships/hyperlink" Target="https://www.codechef.com/problems/BF104" TargetMode="External" Id="rId544" /><Relationship Type="http://schemas.openxmlformats.org/officeDocument/2006/relationships/hyperlink" Target="https://www.codechef.com/problems/BF105" TargetMode="External" Id="rId545" /><Relationship Type="http://schemas.openxmlformats.org/officeDocument/2006/relationships/hyperlink" Target="https://www.codechef.com/problems/BF106" TargetMode="External" Id="rId546" /><Relationship Type="http://schemas.openxmlformats.org/officeDocument/2006/relationships/hyperlink" Target="https://www.codechef.com/problems/BF107" TargetMode="External" Id="rId547" /><Relationship Type="http://schemas.openxmlformats.org/officeDocument/2006/relationships/hyperlink" Target="https://www.codechef.com/problems/FLOYD1" TargetMode="External" Id="rId548" /><Relationship Type="http://schemas.openxmlformats.org/officeDocument/2006/relationships/hyperlink" Target="https://www.codechef.com/problems/ALLPAIRS" TargetMode="External" Id="rId549" /><Relationship Type="http://schemas.openxmlformats.org/officeDocument/2006/relationships/hyperlink" Target="https://www.codechef.com/problems/FW101" TargetMode="External" Id="rId550" /><Relationship Type="http://schemas.openxmlformats.org/officeDocument/2006/relationships/hyperlink" Target="https://www.codechef.com/problems/FW102" TargetMode="External" Id="rId551" /><Relationship Type="http://schemas.openxmlformats.org/officeDocument/2006/relationships/hyperlink" Target="https://www.codechef.com/problems/FW103" TargetMode="External" Id="rId552" /><Relationship Type="http://schemas.openxmlformats.org/officeDocument/2006/relationships/hyperlink" Target="https://www.codechef.com/problems/FW104" TargetMode="External" Id="rId553" /><Relationship Type="http://schemas.openxmlformats.org/officeDocument/2006/relationships/hyperlink" Target="https://www.codechef.com/problems/FW105" TargetMode="External" Id="rId554" /><Relationship Type="http://schemas.openxmlformats.org/officeDocument/2006/relationships/hyperlink" Target="https://www.codechef.com/problems/FW106" TargetMode="External" Id="rId555" /><Relationship Type="http://schemas.openxmlformats.org/officeDocument/2006/relationships/hyperlink" Target="https://www.codechef.com/problems/FW107" TargetMode="External" Id="rId556" /><Relationship Type="http://schemas.openxmlformats.org/officeDocument/2006/relationships/hyperlink" Target="https://www.codechef.com/problems/FW108" TargetMode="External" Id="rId557" /><Relationship Type="http://schemas.openxmlformats.org/officeDocument/2006/relationships/hyperlink" Target="https://www.codechef.com/problems/DSU1" TargetMode="External" Id="rId558" /><Relationship Type="http://schemas.openxmlformats.org/officeDocument/2006/relationships/hyperlink" Target="https://www.codechef.com/problems/DSU101" TargetMode="External" Id="rId559" /><Relationship Type="http://schemas.openxmlformats.org/officeDocument/2006/relationships/hyperlink" Target="https://www.codechef.com/problems/DSU102" TargetMode="External" Id="rId560" /><Relationship Type="http://schemas.openxmlformats.org/officeDocument/2006/relationships/hyperlink" Target="https://www.codechef.com/problems/DSU103" TargetMode="External" Id="rId561" /><Relationship Type="http://schemas.openxmlformats.org/officeDocument/2006/relationships/hyperlink" Target="https://www.codechef.com/problems/DSU104" TargetMode="External" Id="rId562" /><Relationship Type="http://schemas.openxmlformats.org/officeDocument/2006/relationships/hyperlink" Target="https://www.codechef.com/problems/DSU105" TargetMode="External" Id="rId563" /><Relationship Type="http://schemas.openxmlformats.org/officeDocument/2006/relationships/hyperlink" Target="https://www.codechef.com/problems/UNIONFIND1" TargetMode="External" Id="rId564" /><Relationship Type="http://schemas.openxmlformats.org/officeDocument/2006/relationships/hyperlink" Target="https://www.codechef.com/problems/CONNECTED2" TargetMode="External" Id="rId565" /><Relationship Type="http://schemas.openxmlformats.org/officeDocument/2006/relationships/hyperlink" Target="https://www.codechef.com/problems/UFA101" TargetMode="External" Id="rId566" /><Relationship Type="http://schemas.openxmlformats.org/officeDocument/2006/relationships/hyperlink" Target="https://www.codechef.com/problems/UFA102" TargetMode="External" Id="rId567" /><Relationship Type="http://schemas.openxmlformats.org/officeDocument/2006/relationships/hyperlink" Target="https://www.codechef.com/problems/UFA103" TargetMode="External" Id="rId568" /><Relationship Type="http://schemas.openxmlformats.org/officeDocument/2006/relationships/hyperlink" Target="https://www.codechef.com/problems/UFA104" TargetMode="External" Id="rId569" /><Relationship Type="http://schemas.openxmlformats.org/officeDocument/2006/relationships/hyperlink" Target="https://www.codechef.com/problems/UFA105" TargetMode="External" Id="rId570" /><Relationship Type="http://schemas.openxmlformats.org/officeDocument/2006/relationships/hyperlink" Target="https://www.codechef.com/problems/MST1" TargetMode="External" Id="rId571" /><Relationship Type="http://schemas.openxmlformats.org/officeDocument/2006/relationships/hyperlink" Target="https://www.codechef.com/problems/KRUSKAL1" TargetMode="External" Id="rId572" /><Relationship Type="http://schemas.openxmlformats.org/officeDocument/2006/relationships/hyperlink" Target="https://www.codechef.com/problems/MINSPAN" TargetMode="External" Id="rId573" /><Relationship Type="http://schemas.openxmlformats.org/officeDocument/2006/relationships/hyperlink" Target="https://www.codechef.com/problems/KMST101" TargetMode="External" Id="rId574" /><Relationship Type="http://schemas.openxmlformats.org/officeDocument/2006/relationships/hyperlink" Target="https://www.codechef.com/problems/KMST102" TargetMode="External" Id="rId575" /><Relationship Type="http://schemas.openxmlformats.org/officeDocument/2006/relationships/hyperlink" Target="https://www.codechef.com/problems/KMST103" TargetMode="External" Id="rId576" /><Relationship Type="http://schemas.openxmlformats.org/officeDocument/2006/relationships/hyperlink" Target="https://www.codechef.com/problems/KMST104" TargetMode="External" Id="rId577" /><Relationship Type="http://schemas.openxmlformats.org/officeDocument/2006/relationships/hyperlink" Target="https://www.codechef.com/problems/OFFLINEDSU" TargetMode="External" Id="rId578" /><Relationship Type="http://schemas.openxmlformats.org/officeDocument/2006/relationships/hyperlink" Target="https://www.codechef.com/problems/DYNAMICCONN" TargetMode="External" Id="rId579" /><Relationship Type="http://schemas.openxmlformats.org/officeDocument/2006/relationships/hyperlink" Target="https://www.codechef.com/problems/OFFDSU101" TargetMode="External" Id="rId580" /><Relationship Type="http://schemas.openxmlformats.org/officeDocument/2006/relationships/hyperlink" Target="https://www.codechef.com/problems/OFFDSU102" TargetMode="External" Id="rId581" /><Relationship Type="http://schemas.openxmlformats.org/officeDocument/2006/relationships/hyperlink" Target="https://www.codechef.com/problems/OFFDSU103" TargetMode="External" Id="rId582" /><Relationship Type="http://schemas.openxmlformats.org/officeDocument/2006/relationships/hyperlink" Target="https://www.codechef.com/problems/DP1D101" TargetMode="External" Id="rId583" /><Relationship Type="http://schemas.openxmlformats.org/officeDocument/2006/relationships/hyperlink" Target="https://www.codechef.com/problems/DP1D102" TargetMode="External" Id="rId584" /><Relationship Type="http://schemas.openxmlformats.org/officeDocument/2006/relationships/hyperlink" Target="https://www.codechef.com/problems/DP1D103" TargetMode="External" Id="rId585" /><Relationship Type="http://schemas.openxmlformats.org/officeDocument/2006/relationships/hyperlink" Target="https://www.codechef.com/problems/DP1D104" TargetMode="External" Id="rId586" /><Relationship Type="http://schemas.openxmlformats.org/officeDocument/2006/relationships/hyperlink" Target="https://www.codechef.com/problems/DP1D105" TargetMode="External" Id="rId587" /><Relationship Type="http://schemas.openxmlformats.org/officeDocument/2006/relationships/hyperlink" Target="https://www.codechef.com/problems/DP1D106" TargetMode="External" Id="rId588" /><Relationship Type="http://schemas.openxmlformats.org/officeDocument/2006/relationships/hyperlink" Target="https://www.codechef.com/problems/DP1D107" TargetMode="External" Id="rId589" /><Relationship Type="http://schemas.openxmlformats.org/officeDocument/2006/relationships/hyperlink" Target="https://www.codechef.com/problems/DP1D108" TargetMode="External" Id="rId590" /><Relationship Type="http://schemas.openxmlformats.org/officeDocument/2006/relationships/hyperlink" Target="https://www.codechef.com/problems/KNAPSACK1" TargetMode="External" Id="rId591" /><Relationship Type="http://schemas.openxmlformats.org/officeDocument/2006/relationships/hyperlink" Target="https://www.codechef.com/problems/SUBSETSUM" TargetMode="External" Id="rId592" /><Relationship Type="http://schemas.openxmlformats.org/officeDocument/2006/relationships/hyperlink" Target="https://www.codechef.com/problems/RATIONAL" TargetMode="External" Id="rId593" /><Relationship Type="http://schemas.openxmlformats.org/officeDocument/2006/relationships/hyperlink" Target="https://www.codechef.com/problems/KNAP101" TargetMode="External" Id="rId594" /><Relationship Type="http://schemas.openxmlformats.org/officeDocument/2006/relationships/hyperlink" Target="https://www.codechef.com/problems/KNAP102" TargetMode="External" Id="rId595" /><Relationship Type="http://schemas.openxmlformats.org/officeDocument/2006/relationships/hyperlink" Target="https://www.codechef.com/problems/KNAP103" TargetMode="External" Id="rId596" /><Relationship Type="http://schemas.openxmlformats.org/officeDocument/2006/relationships/hyperlink" Target="https://www.codechef.com/problems/KNAP104" TargetMode="External" Id="rId597" /><Relationship Type="http://schemas.openxmlformats.org/officeDocument/2006/relationships/hyperlink" Target="https://www.codechef.com/problems/KNAP105" TargetMode="External" Id="rId598" /><Relationship Type="http://schemas.openxmlformats.org/officeDocument/2006/relationships/hyperlink" Target="https://www.codechef.com/problems/GRIDDP1" TargetMode="External" Id="rId599" /><Relationship Type="http://schemas.openxmlformats.org/officeDocument/2006/relationships/hyperlink" Target="https://www.codechef.com/problems/MAXPATH" TargetMode="External" Id="rId600" /><Relationship Type="http://schemas.openxmlformats.org/officeDocument/2006/relationships/hyperlink" Target="https://www.codechef.com/problems/CHEFGRID" TargetMode="External" Id="rId601" /><Relationship Type="http://schemas.openxmlformats.org/officeDocument/2006/relationships/hyperlink" Target="https://www.codechef.com/problems/GDP101" TargetMode="External" Id="rId602" /><Relationship Type="http://schemas.openxmlformats.org/officeDocument/2006/relationships/hyperlink" Target="https://www.codechef.com/problems/GDP102" TargetMode="External" Id="rId603" /><Relationship Type="http://schemas.openxmlformats.org/officeDocument/2006/relationships/hyperlink" Target="https://www.codechef.com/problems/GDP103" TargetMode="External" Id="rId604" /><Relationship Type="http://schemas.openxmlformats.org/officeDocument/2006/relationships/hyperlink" Target="https://www.codechef.com/problems/GDP104" TargetMode="External" Id="rId605" /><Relationship Type="http://schemas.openxmlformats.org/officeDocument/2006/relationships/hyperlink" Target="https://www.codechef.com/problems/INTERVALDP" TargetMode="External" Id="rId606" /><Relationship Type="http://schemas.openxmlformats.org/officeDocument/2006/relationships/hyperlink" Target="https://www.codechef.com/problems/MATRIXMULT" TargetMode="External" Id="rId607" /><Relationship Type="http://schemas.openxmlformats.org/officeDocument/2006/relationships/hyperlink" Target="https://www.codechef.com/problems/PALINDP" TargetMode="External" Id="rId608" /><Relationship Type="http://schemas.openxmlformats.org/officeDocument/2006/relationships/hyperlink" Target="https://www.codechef.com/problems/INDP101" TargetMode="External" Id="rId609" /><Relationship Type="http://schemas.openxmlformats.org/officeDocument/2006/relationships/hyperlink" Target="https://www.codechef.com/problems/INDP102" TargetMode="External" Id="rId610" /><Relationship Type="http://schemas.openxmlformats.org/officeDocument/2006/relationships/hyperlink" Target="https://www.codechef.com/problems/INDP103" TargetMode="External" Id="rId611" /><Relationship Type="http://schemas.openxmlformats.org/officeDocument/2006/relationships/hyperlink" Target="https://www.codechef.com/problems/INDP104" TargetMode="External" Id="rId612" /><Relationship Type="http://schemas.openxmlformats.org/officeDocument/2006/relationships/hyperlink" Target="https://www.codechef.com/problems/DIGITDP1" TargetMode="External" Id="rId613" /><Relationship Type="http://schemas.openxmlformats.org/officeDocument/2006/relationships/hyperlink" Target="https://www.codechef.com/problems/COUNTDIGIT" TargetMode="External" Id="rId614" /><Relationship Type="http://schemas.openxmlformats.org/officeDocument/2006/relationships/hyperlink" Target="https://www.codechef.com/problems/DIG101" TargetMode="External" Id="rId615" /><Relationship Type="http://schemas.openxmlformats.org/officeDocument/2006/relationships/hyperlink" Target="https://www.codechef.com/problems/DIG102" TargetMode="External" Id="rId616" /><Relationship Type="http://schemas.openxmlformats.org/officeDocument/2006/relationships/hyperlink" Target="https://www.codechef.com/problems/DIG103" TargetMode="External" Id="rId617" /><Relationship Type="http://schemas.openxmlformats.org/officeDocument/2006/relationships/hyperlink" Target="https://www.codechef.com/problems/DIG104" TargetMode="External" Id="rId618" /><Relationship Type="http://schemas.openxmlformats.org/officeDocument/2006/relationships/hyperlink" Target="https://www.codechef.com/problems/DIG105" TargetMode="External" Id="rId619" /><Relationship Type="http://schemas.openxmlformats.org/officeDocument/2006/relationships/hyperlink" Target="https://www.codechef.com/problems/BITMASKDP" TargetMode="External" Id="rId620" /><Relationship Type="http://schemas.openxmlformats.org/officeDocument/2006/relationships/hyperlink" Target="https://www.codechef.com/problems/ASSIGN1" TargetMode="External" Id="rId621" /><Relationship Type="http://schemas.openxmlformats.org/officeDocument/2006/relationships/hyperlink" Target="https://www.codechef.com/problems/TSP1" TargetMode="External" Id="rId622" /><Relationship Type="http://schemas.openxmlformats.org/officeDocument/2006/relationships/hyperlink" Target="https://www.codechef.com/problems/BMDP101" TargetMode="External" Id="rId623" /><Relationship Type="http://schemas.openxmlformats.org/officeDocument/2006/relationships/hyperlink" Target="https://www.codechef.com/problems/BMDP102" TargetMode="External" Id="rId624" /><Relationship Type="http://schemas.openxmlformats.org/officeDocument/2006/relationships/hyperlink" Target="https://www.codechef.com/problems/BMDP103" TargetMode="External" Id="rId625" /><Relationship Type="http://schemas.openxmlformats.org/officeDocument/2006/relationships/hyperlink" Target="https://www.codechef.com/problems/BMDP104" TargetMode="External" Id="rId626" /><Relationship Type="http://schemas.openxmlformats.org/officeDocument/2006/relationships/hyperlink" Target="https://www.codechef.com/problems/DAGDP1" TargetMode="External" Id="rId627" /><Relationship Type="http://schemas.openxmlformats.org/officeDocument/2006/relationships/hyperlink" Target="https://www.codechef.com/problems/LONGESTPATH" TargetMode="External" Id="rId628" /><Relationship Type="http://schemas.openxmlformats.org/officeDocument/2006/relationships/hyperlink" Target="https://www.codechef.com/problems/DAG101" TargetMode="External" Id="rId629" /><Relationship Type="http://schemas.openxmlformats.org/officeDocument/2006/relationships/hyperlink" Target="https://www.codechef.com/problems/DAG102" TargetMode="External" Id="rId630" /><Relationship Type="http://schemas.openxmlformats.org/officeDocument/2006/relationships/hyperlink" Target="https://www.codechef.com/problems/DAG103" TargetMode="External" Id="rId631" /><Relationship Type="http://schemas.openxmlformats.org/officeDocument/2006/relationships/hyperlink" Target="https://www.codechef.com/problems/DAG104" TargetMode="External" Id="rId632" /><Relationship Type="http://schemas.openxmlformats.org/officeDocument/2006/relationships/hyperlink" Target="https://www.codechef.com/problems/PROBDP1" TargetMode="External" Id="rId633" /><Relationship Type="http://schemas.openxmlformats.org/officeDocument/2006/relationships/hyperlink" Target="https://www.codechef.com/problems/DICE1" TargetMode="External" Id="rId634" /><Relationship Type="http://schemas.openxmlformats.org/officeDocument/2006/relationships/hyperlink" Target="https://www.codechef.com/problems/PRBDP101" TargetMode="External" Id="rId635" /><Relationship Type="http://schemas.openxmlformats.org/officeDocument/2006/relationships/hyperlink" Target="https://www.codechef.com/problems/PRBDP102" TargetMode="External" Id="rId636" /><Relationship Type="http://schemas.openxmlformats.org/officeDocument/2006/relationships/hyperlink" Target="https://www.codechef.com/problems/PRBDP103" TargetMode="External" Id="rId637" /><Relationship Type="http://schemas.openxmlformats.org/officeDocument/2006/relationships/hyperlink" Target="https://www.codechef.com/problems/PRBDP104" TargetMode="External" Id="rId638" /><Relationship Type="http://schemas.openxmlformats.org/officeDocument/2006/relationships/hyperlink" Target="https://www.codechef.com/problems/PREFIXDP" TargetMode="External" Id="rId639" /><Relationship Type="http://schemas.openxmlformats.org/officeDocument/2006/relationships/hyperlink" Target="https://www.codechef.com/problems/SUFFIXDP" TargetMode="External" Id="rId640" /><Relationship Type="http://schemas.openxmlformats.org/officeDocument/2006/relationships/hyperlink" Target="https://www.codechef.com/problems/PSDP101" TargetMode="External" Id="rId641" /><Relationship Type="http://schemas.openxmlformats.org/officeDocument/2006/relationships/hyperlink" Target="https://www.codechef.com/problems/PSDP102" TargetMode="External" Id="rId642" /><Relationship Type="http://schemas.openxmlformats.org/officeDocument/2006/relationships/hyperlink" Target="https://www.codechef.com/problems/PSDP103" TargetMode="External" Id="rId643" /><Relationship Type="http://schemas.openxmlformats.org/officeDocument/2006/relationships/hyperlink" Target="https://www.codechef.com/problems/PSDP104" TargetMode="External" Id="rId644" /><Relationship Type="http://schemas.openxmlformats.org/officeDocument/2006/relationships/hyperlink" Target="https://www.codechef.com/problems/CHT1" TargetMode="External" Id="rId645" /><Relationship Type="http://schemas.openxmlformats.org/officeDocument/2006/relationships/hyperlink" Target="https://www.codechef.com/problems/MONOOPT" TargetMode="External" Id="rId646" /><Relationship Type="http://schemas.openxmlformats.org/officeDocument/2006/relationships/hyperlink" Target="https://www.codechef.com/problems/OPTDP101" TargetMode="External" Id="rId647" /><Relationship Type="http://schemas.openxmlformats.org/officeDocument/2006/relationships/hyperlink" Target="https://www.codechef.com/problems/OPTDP102" TargetMode="External" Id="rId648" /><Relationship Type="http://schemas.openxmlformats.org/officeDocument/2006/relationships/hyperlink" Target="https://www.codechef.com/problems/OPTDP103" TargetMode="External" Id="rId649" /><Relationship Type="http://schemas.openxmlformats.org/officeDocument/2006/relationships/hyperlink" Target="https://www.codechef.com/problems/OPTDP104" TargetMode="External" Id="rId650" /><Relationship Type="http://schemas.openxmlformats.org/officeDocument/2006/relationships/hyperlink" Target="https://www.codechef.com/problems/TSORT" TargetMode="External" Id="rId651" /><Relationship Type="http://schemas.openxmlformats.org/officeDocument/2006/relationships/hyperlink" Target="https://www.codechef.com/problems/MERGESORT1" TargetMode="External" Id="rId652" /><Relationship Type="http://schemas.openxmlformats.org/officeDocument/2006/relationships/hyperlink" Target="https://www.codechef.com/problems/INVERSION" TargetMode="External" Id="rId653" /><Relationship Type="http://schemas.openxmlformats.org/officeDocument/2006/relationships/hyperlink" Target="https://www.codechef.com/problems/MSAPP101" TargetMode="External" Id="rId654" /><Relationship Type="http://schemas.openxmlformats.org/officeDocument/2006/relationships/hyperlink" Target="https://www.codechef.com/problems/MSAPP102" TargetMode="External" Id="rId655" /><Relationship Type="http://schemas.openxmlformats.org/officeDocument/2006/relationships/hyperlink" Target="https://www.codechef.com/problems/MSAPP103" TargetMode="External" Id="rId656" /><Relationship Type="http://schemas.openxmlformats.org/officeDocument/2006/relationships/hyperlink" Target="https://www.codechef.com/problems/DIVARR1" TargetMode="External" Id="rId657" /><Relationship Type="http://schemas.openxmlformats.org/officeDocument/2006/relationships/hyperlink" Target="https://www.codechef.com/problems/MAXSUBARR" TargetMode="External" Id="rId658" /><Relationship Type="http://schemas.openxmlformats.org/officeDocument/2006/relationships/hyperlink" Target="https://www.codechef.com/problems/DCARR101" TargetMode="External" Id="rId659" /><Relationship Type="http://schemas.openxmlformats.org/officeDocument/2006/relationships/hyperlink" Target="https://www.codechef.com/problems/DCARR102" TargetMode="External" Id="rId660" /><Relationship Type="http://schemas.openxmlformats.org/officeDocument/2006/relationships/hyperlink" Target="https://www.codechef.com/problems/DCARR103" TargetMode="External" Id="rId661" /><Relationship Type="http://schemas.openxmlformats.org/officeDocument/2006/relationships/hyperlink" Target="https://www.codechef.com/problems/DCARR104" TargetMode="External" Id="rId662" /><Relationship Type="http://schemas.openxmlformats.org/officeDocument/2006/relationships/hyperlink" Target="https://www.codechef.com/problems/DCARR105" TargetMode="External" Id="rId663" /><Relationship Type="http://schemas.openxmlformats.org/officeDocument/2006/relationships/hyperlink" Target="https://www.codechef.com/problems/CDQ1" TargetMode="External" Id="rId664" /><Relationship Type="http://schemas.openxmlformats.org/officeDocument/2006/relationships/hyperlink" Target="https://www.codechef.com/problems/3DPOINTS" TargetMode="External" Id="rId665" /><Relationship Type="http://schemas.openxmlformats.org/officeDocument/2006/relationships/hyperlink" Target="https://www.codechef.com/problems/CDQ101" TargetMode="External" Id="rId666" /><Relationship Type="http://schemas.openxmlformats.org/officeDocument/2006/relationships/hyperlink" Target="https://www.codechef.com/problems/CDQ102" TargetMode="External" Id="rId667" /><Relationship Type="http://schemas.openxmlformats.org/officeDocument/2006/relationships/hyperlink" Target="https://www.codechef.com/problems/CDQ103" TargetMode="External" Id="rId668" /><Relationship Type="http://schemas.openxmlformats.org/officeDocument/2006/relationships/hyperlink" Target="https://www.codechef.com/problems/CDQ104" TargetMode="External" Id="rId669" /><Relationship Type="http://schemas.openxmlformats.org/officeDocument/2006/relationships/hyperlink" Target="https://www.codechef.com/problems/CDQ105" TargetMode="External" Id="rId670" /><Relationship Type="http://schemas.openxmlformats.org/officeDocument/2006/relationships/hyperlink" Target="https://www.codechef.com/problems/SEGTREE1" TargetMode="External" Id="rId671" /><Relationship Type="http://schemas.openxmlformats.org/officeDocument/2006/relationships/hyperlink" Target="https://www.codechef.com/problems/RANGEQUERY" TargetMode="External" Id="rId672" /><Relationship Type="http://schemas.openxmlformats.org/officeDocument/2006/relationships/hyperlink" Target="https://www.codechef.com/problems/BST101" TargetMode="External" Id="rId673" /><Relationship Type="http://schemas.openxmlformats.org/officeDocument/2006/relationships/hyperlink" Target="https://www.codechef.com/problems/BST102" TargetMode="External" Id="rId674" /><Relationship Type="http://schemas.openxmlformats.org/officeDocument/2006/relationships/hyperlink" Target="https://www.codechef.com/problems/BST103" TargetMode="External" Id="rId675" /><Relationship Type="http://schemas.openxmlformats.org/officeDocument/2006/relationships/hyperlink" Target="https://www.codechef.com/problems/BST104" TargetMode="External" Id="rId676" /><Relationship Type="http://schemas.openxmlformats.org/officeDocument/2006/relationships/hyperlink" Target="https://www.codechef.com/problems/POINTUPDATE" TargetMode="External" Id="rId677" /><Relationship Type="http://schemas.openxmlformats.org/officeDocument/2006/relationships/hyperlink" Target="https://www.codechef.com/problems/SUMQUERY" TargetMode="External" Id="rId678" /><Relationship Type="http://schemas.openxmlformats.org/officeDocument/2006/relationships/hyperlink" Target="https://www.codechef.com/problems/RQPU101" TargetMode="External" Id="rId679" /><Relationship Type="http://schemas.openxmlformats.org/officeDocument/2006/relationships/hyperlink" Target="https://www.codechef.com/problems/RQPU102" TargetMode="External" Id="rId680" /><Relationship Type="http://schemas.openxmlformats.org/officeDocument/2006/relationships/hyperlink" Target="https://www.codechef.com/problems/RQPU103" TargetMode="External" Id="rId681" /><Relationship Type="http://schemas.openxmlformats.org/officeDocument/2006/relationships/hyperlink" Target="https://www.codechef.com/problems/RQPU104" TargetMode="External" Id="rId682" /><Relationship Type="http://schemas.openxmlformats.org/officeDocument/2006/relationships/hyperlink" Target="https://www.codechef.com/problems/LAZYPROP" TargetMode="External" Id="rId683" /><Relationship Type="http://schemas.openxmlformats.org/officeDocument/2006/relationships/hyperlink" Target="https://www.codechef.com/problems/RANGEADD" TargetMode="External" Id="rId684" /><Relationship Type="http://schemas.openxmlformats.org/officeDocument/2006/relationships/hyperlink" Target="https://www.codechef.com/problems/LAZY101" TargetMode="External" Id="rId685" /><Relationship Type="http://schemas.openxmlformats.org/officeDocument/2006/relationships/hyperlink" Target="https://www.codechef.com/problems/LAZY102" TargetMode="External" Id="rId686" /><Relationship Type="http://schemas.openxmlformats.org/officeDocument/2006/relationships/hyperlink" Target="https://www.codechef.com/problems/LAZY103" TargetMode="External" Id="rId687" /><Relationship Type="http://schemas.openxmlformats.org/officeDocument/2006/relationships/hyperlink" Target="https://www.codechef.com/problems/LAZY104" TargetMode="External" Id="rId688" /><Relationship Type="http://schemas.openxmlformats.org/officeDocument/2006/relationships/hyperlink" Target="https://www.codechef.com/problems/MERGETREE" TargetMode="External" Id="rId689" /><Relationship Type="http://schemas.openxmlformats.org/officeDocument/2006/relationships/hyperlink" Target="https://www.codechef.com/problems/KTHMIN" TargetMode="External" Id="rId690" /><Relationship Type="http://schemas.openxmlformats.org/officeDocument/2006/relationships/hyperlink" Target="https://www.codechef.com/problems/MST101" TargetMode="External" Id="rId691" /><Relationship Type="http://schemas.openxmlformats.org/officeDocument/2006/relationships/hyperlink" Target="https://www.codechef.com/problems/MST102" TargetMode="External" Id="rId692" /><Relationship Type="http://schemas.openxmlformats.org/officeDocument/2006/relationships/hyperlink" Target="https://www.codechef.com/problems/MST103" TargetMode="External" Id="rId693" /><Relationship Type="http://schemas.openxmlformats.org/officeDocument/2006/relationships/hyperlink" Target="https://www.codechef.com/problems/MST104" TargetMode="External" Id="rId694" /><Relationship Type="http://schemas.openxmlformats.org/officeDocument/2006/relationships/hyperlink" Target="https://www.codechef.com/problems/PERSISTENT1" TargetMode="External" Id="rId695" /><Relationship Type="http://schemas.openxmlformats.org/officeDocument/2006/relationships/hyperlink" Target="https://www.codechef.com/problems/HISTORICAL" TargetMode="External" Id="rId696" /><Relationship Type="http://schemas.openxmlformats.org/officeDocument/2006/relationships/hyperlink" Target="https://www.codechef.com/problems/PST101" TargetMode="External" Id="rId697" /><Relationship Type="http://schemas.openxmlformats.org/officeDocument/2006/relationships/hyperlink" Target="https://www.codechef.com/problems/PST102" TargetMode="External" Id="rId698" /><Relationship Type="http://schemas.openxmlformats.org/officeDocument/2006/relationships/hyperlink" Target="https://www.codechef.com/problems/PST103" TargetMode="External" Id="rId699" /><Relationship Type="http://schemas.openxmlformats.org/officeDocument/2006/relationships/hyperlink" Target="https://www.codechef.com/problems/PST104" TargetMode="External" Id="rId700" /><Relationship Type="http://schemas.openxmlformats.org/officeDocument/2006/relationships/hyperlink" Target="https://www.codechef.com/problems/DYNSEGTREE" TargetMode="External" Id="rId701" /><Relationship Type="http://schemas.openxmlformats.org/officeDocument/2006/relationships/hyperlink" Target="https://www.codechef.com/problems/SPARSEST" TargetMode="External" Id="rId702" /><Relationship Type="http://schemas.openxmlformats.org/officeDocument/2006/relationships/hyperlink" Target="https://www.codechef.com/problems/DST101" TargetMode="External" Id="rId703" /><Relationship Type="http://schemas.openxmlformats.org/officeDocument/2006/relationships/hyperlink" Target="https://www.codechef.com/problems/DST102" TargetMode="External" Id="rId704" /><Relationship Type="http://schemas.openxmlformats.org/officeDocument/2006/relationships/hyperlink" Target="https://www.codechef.com/problems/DST103" TargetMode="External" Id="rId705" /><Relationship Type="http://schemas.openxmlformats.org/officeDocument/2006/relationships/hyperlink" Target="https://www.codechef.com/problems/DST104" TargetMode="External" Id="rId706" /><Relationship Type="http://schemas.openxmlformats.org/officeDocument/2006/relationships/hyperlink" Target="https://www.codechef.com/problems/BIT1" TargetMode="External" Id="rId707" /><Relationship Type="http://schemas.openxmlformats.org/officeDocument/2006/relationships/hyperlink" Target="https://www.codechef.com/problems/FENWICK1" TargetMode="External" Id="rId708" /><Relationship Type="http://schemas.openxmlformats.org/officeDocument/2006/relationships/hyperlink" Target="https://www.codechef.com/problems/BBIT101" TargetMode="External" Id="rId709" /><Relationship Type="http://schemas.openxmlformats.org/officeDocument/2006/relationships/hyperlink" Target="https://www.codechef.com/problems/BBIT102" TargetMode="External" Id="rId710" /><Relationship Type="http://schemas.openxmlformats.org/officeDocument/2006/relationships/hyperlink" Target="https://www.codechef.com/problems/BBIT103" TargetMode="External" Id="rId711" /><Relationship Type="http://schemas.openxmlformats.org/officeDocument/2006/relationships/hyperlink" Target="https://www.codechef.com/problems/BITPREFIX" TargetMode="External" Id="rId712" /><Relationship Type="http://schemas.openxmlformats.org/officeDocument/2006/relationships/hyperlink" Target="https://www.codechef.com/problems/RANGEBIT" TargetMode="External" Id="rId713" /><Relationship Type="http://schemas.openxmlformats.org/officeDocument/2006/relationships/hyperlink" Target="https://www.codechef.com/problems/PSBIT101" TargetMode="External" Id="rId714" /><Relationship Type="http://schemas.openxmlformats.org/officeDocument/2006/relationships/hyperlink" Target="https://www.codechef.com/problems/PSBIT102" TargetMode="External" Id="rId715" /><Relationship Type="http://schemas.openxmlformats.org/officeDocument/2006/relationships/hyperlink" Target="https://www.codechef.com/problems/PSBIT103" TargetMode="External" Id="rId716" /><Relationship Type="http://schemas.openxmlformats.org/officeDocument/2006/relationships/hyperlink" Target="https://www.codechef.com/problems/BITCOMPRESS" TargetMode="External" Id="rId717" /><Relationship Type="http://schemas.openxmlformats.org/officeDocument/2006/relationships/hyperlink" Target="https://www.codechef.com/problems/BITCC101" TargetMode="External" Id="rId718" /><Relationship Type="http://schemas.openxmlformats.org/officeDocument/2006/relationships/hyperlink" Target="https://www.codechef.com/problems/BITCC102" TargetMode="External" Id="rId719" /><Relationship Type="http://schemas.openxmlformats.org/officeDocument/2006/relationships/hyperlink" Target="https://www.codechef.com/problems/BITCC103" TargetMode="External" Id="rId720" /><Relationship Type="http://schemas.openxmlformats.org/officeDocument/2006/relationships/hyperlink" Target="https://www.codechef.com/problems/BITCC104" TargetMode="External" Id="rId721" /><Relationship Type="http://schemas.openxmlformats.org/officeDocument/2006/relationships/hyperlink" Target="https://www.codechef.com/problems/OFFLINEBIT" TargetMode="External" Id="rId722" /><Relationship Type="http://schemas.openxmlformats.org/officeDocument/2006/relationships/hyperlink" Target="https://www.codechef.com/problems/OFFBIT101" TargetMode="External" Id="rId723" /><Relationship Type="http://schemas.openxmlformats.org/officeDocument/2006/relationships/hyperlink" Target="https://www.codechef.com/problems/OFFBIT102" TargetMode="External" Id="rId724" /><Relationship Type="http://schemas.openxmlformats.org/officeDocument/2006/relationships/hyperlink" Target="https://www.codechef.com/problems/OFFBIT103" TargetMode="External" Id="rId725" /><Relationship Type="http://schemas.openxmlformats.org/officeDocument/2006/relationships/hyperlink" Target="https://www.codechef.com/problems/OFFBIT104" TargetMode="External" Id="rId726" /><Relationship Type="http://schemas.openxmlformats.org/officeDocument/2006/relationships/hyperlink" Target="https://www.codechef.com/problems/TRIE1" TargetMode="External" Id="rId727" /><Relationship Type="http://schemas.openxmlformats.org/officeDocument/2006/relationships/hyperlink" Target="https://www.codechef.com/problems/PREFIXSEARCH" TargetMode="External" Id="rId728" /><Relationship Type="http://schemas.openxmlformats.org/officeDocument/2006/relationships/hyperlink" Target="https://www.codechef.com/problems/BTRIE101" TargetMode="External" Id="rId729" /><Relationship Type="http://schemas.openxmlformats.org/officeDocument/2006/relationships/hyperlink" Target="https://www.codechef.com/problems/BTRIE102" TargetMode="External" Id="rId730" /><Relationship Type="http://schemas.openxmlformats.org/officeDocument/2006/relationships/hyperlink" Target="https://www.codechef.com/problems/BTRIE103" TargetMode="External" Id="rId731" /><Relationship Type="http://schemas.openxmlformats.org/officeDocument/2006/relationships/hyperlink" Target="https://www.codechef.com/problems/BTRIE104" TargetMode="External" Id="rId732" /><Relationship Type="http://schemas.openxmlformats.org/officeDocument/2006/relationships/hyperlink" Target="https://www.codechef.com/problems/XORTRIE1" TargetMode="External" Id="rId733" /><Relationship Type="http://schemas.openxmlformats.org/officeDocument/2006/relationships/hyperlink" Target="https://www.codechef.com/problems/MAXOR" TargetMode="External" Id="rId734" /><Relationship Type="http://schemas.openxmlformats.org/officeDocument/2006/relationships/hyperlink" Target="https://www.codechef.com/problems/XTRIE101" TargetMode="External" Id="rId735" /><Relationship Type="http://schemas.openxmlformats.org/officeDocument/2006/relationships/hyperlink" Target="https://www.codechef.com/problems/XTRIE102" TargetMode="External" Id="rId736" /><Relationship Type="http://schemas.openxmlformats.org/officeDocument/2006/relationships/hyperlink" Target="https://www.codechef.com/problems/XTRIE103" TargetMode="External" Id="rId737" /><Relationship Type="http://schemas.openxmlformats.org/officeDocument/2006/relationships/hyperlink" Target="https://www.codechef.com/problems/XTRIE104" TargetMode="External" Id="rId738" /><Relationship Type="http://schemas.openxmlformats.org/officeDocument/2006/relationships/hyperlink" Target="https://www.codechef.com/problems/AUTOCOMPLETE" TargetMode="External" Id="rId739" /><Relationship Type="http://schemas.openxmlformats.org/officeDocument/2006/relationships/hyperlink" Target="https://www.codechef.com/problems/DICTIONARY" TargetMode="External" Id="rId740" /><Relationship Type="http://schemas.openxmlformats.org/officeDocument/2006/relationships/hyperlink" Target="https://www.codechef.com/problems/STRIE101" TargetMode="External" Id="rId741" /><Relationship Type="http://schemas.openxmlformats.org/officeDocument/2006/relationships/hyperlink" Target="https://www.codechef.com/problems/STRIE102" TargetMode="External" Id="rId742" /><Relationship Type="http://schemas.openxmlformats.org/officeDocument/2006/relationships/hyperlink" Target="https://www.codechef.com/problems/STRIE103" TargetMode="External" Id="rId743" /><Relationship Type="http://schemas.openxmlformats.org/officeDocument/2006/relationships/hyperlink" Target="https://www.codechef.com/problems/STRIE104" TargetMode="External" Id="rId744" /><Relationship Type="http://schemas.openxmlformats.org/officeDocument/2006/relationships/hyperlink" Target="https://www.codechef.com/problems/CONVEXHULL" TargetMode="External" Id="rId745" /><Relationship Type="http://schemas.openxmlformats.org/officeDocument/2006/relationships/hyperlink" Target="https://www.codechef.com/problems/POINTINPOLY" TargetMode="External" Id="rId746" /><Relationship Type="http://schemas.openxmlformats.org/officeDocument/2006/relationships/hyperlink" Target="https://www.codechef.com/problems/CGEO101" TargetMode="External" Id="rId747" /><Relationship Type="http://schemas.openxmlformats.org/officeDocument/2006/relationships/hyperlink" Target="https://www.codechef.com/problems/CGEO102" TargetMode="External" Id="rId748" /><Relationship Type="http://schemas.openxmlformats.org/officeDocument/2006/relationships/hyperlink" Target="https://www.codechef.com/problems/CGEO103" TargetMode="External" Id="rId749" /><Relationship Type="http://schemas.openxmlformats.org/officeDocument/2006/relationships/hyperlink" Target="https://www.codechef.com/problems/CGEO104" TargetMode="External" Id="rId750" /><Relationship Type="http://schemas.openxmlformats.org/officeDocument/2006/relationships/hyperlink" Target="https://www.codechef.com/problems/CGEO105" TargetMode="External" Id="rId751" /><Relationship Type="http://schemas.openxmlformats.org/officeDocument/2006/relationships/hyperlink" Target="https://www.codechef.com/problems/DISTANCE2D" TargetMode="External" Id="rId752" /><Relationship Type="http://schemas.openxmlformats.org/officeDocument/2006/relationships/hyperlink" Target="https://www.codechef.com/problems/LINEINTERSECT" TargetMode="External" Id="rId753" /><Relationship Type="http://schemas.openxmlformats.org/officeDocument/2006/relationships/hyperlink" Target="https://www.codechef.com/problems/CGEO201" TargetMode="External" Id="rId754" /><Relationship Type="http://schemas.openxmlformats.org/officeDocument/2006/relationships/hyperlink" Target="https://www.codechef.com/problems/CGEO202" TargetMode="External" Id="rId755" /><Relationship Type="http://schemas.openxmlformats.org/officeDocument/2006/relationships/hyperlink" Target="https://www.codechef.com/problems/CGEO203" TargetMode="External" Id="rId756" /><Relationship Type="http://schemas.openxmlformats.org/officeDocument/2006/relationships/hyperlink" Target="https://www.codechef.com/problems/CGEO204" TargetMode="External" Id="rId757" /><Relationship Type="http://schemas.openxmlformats.org/officeDocument/2006/relationships/hyperlink" Target="https://www.codechef.com/problems/CGEO205" TargetMode="External" Id="rId758" /><Relationship Type="http://schemas.openxmlformats.org/officeDocument/2006/relationships/hyperlink" Target="https://www.codechef.com/problems/POLYAREA" TargetMode="External" Id="rId759" /><Relationship Type="http://schemas.openxmlformats.org/officeDocument/2006/relationships/hyperlink" Target="https://www.codechef.com/problems/TRIANGLEAREA" TargetMode="External" Id="rId760" /><Relationship Type="http://schemas.openxmlformats.org/officeDocument/2006/relationships/hyperlink" Target="https://www.codechef.com/problems/AV101" TargetMode="External" Id="rId761" /><Relationship Type="http://schemas.openxmlformats.org/officeDocument/2006/relationships/hyperlink" Target="https://www.codechef.com/problems/AV102" TargetMode="External" Id="rId762" /><Relationship Type="http://schemas.openxmlformats.org/officeDocument/2006/relationships/hyperlink" Target="https://www.codechef.com/problems/AV103" TargetMode="External" Id="rId763" /><Relationship Type="http://schemas.openxmlformats.org/officeDocument/2006/relationships/hyperlink" Target="https://www.codechef.com/problems/AV104" TargetMode="External" Id="rId764" /><Relationship Type="http://schemas.openxmlformats.org/officeDocument/2006/relationships/hyperlink" Target="https://www.codechef.com/problems/NIM1" TargetMode="External" Id="rId765" /><Relationship Type="http://schemas.openxmlformats.org/officeDocument/2006/relationships/hyperlink" Target="https://www.codechef.com/problems/STONEGAME" TargetMode="External" Id="rId766" /><Relationship Type="http://schemas.openxmlformats.org/officeDocument/2006/relationships/hyperlink" Target="https://www.codechef.com/problems/NIM101" TargetMode="External" Id="rId767" /><Relationship Type="http://schemas.openxmlformats.org/officeDocument/2006/relationships/hyperlink" Target="https://www.codechef.com/problems/NIM102" TargetMode="External" Id="rId768" /><Relationship Type="http://schemas.openxmlformats.org/officeDocument/2006/relationships/hyperlink" Target="https://www.codechef.com/problems/NIM103" TargetMode="External" Id="rId769" /><Relationship Type="http://schemas.openxmlformats.org/officeDocument/2006/relationships/hyperlink" Target="https://www.codechef.com/problems/NIM104" TargetMode="External" Id="rId770" /><Relationship Type="http://schemas.openxmlformats.org/officeDocument/2006/relationships/hyperlink" Target="https://www.codechef.com/problems/GRUNDY1" TargetMode="External" Id="rId771" /><Relationship Type="http://schemas.openxmlformats.org/officeDocument/2006/relationships/hyperlink" Target="https://www.codechef.com/problems/GAMESTATE" TargetMode="External" Id="rId772" /><Relationship Type="http://schemas.openxmlformats.org/officeDocument/2006/relationships/hyperlink" Target="https://www.codechef.com/problems/SG101" TargetMode="External" Id="rId773" /><Relationship Type="http://schemas.openxmlformats.org/officeDocument/2006/relationships/hyperlink" Target="https://www.codechef.com/problems/SG102" TargetMode="External" Id="rId774" /><Relationship Type="http://schemas.openxmlformats.org/officeDocument/2006/relationships/hyperlink" Target="https://www.codechef.com/problems/SG103" TargetMode="External" Id="rId775" /><Relationship Type="http://schemas.openxmlformats.org/officeDocument/2006/relationships/hyperlink" Target="https://www.codechef.com/problems/SG104" TargetMode="External" Id="rId776" /><Relationship Type="http://schemas.openxmlformats.org/officeDocument/2006/relationships/hyperlink" Target="https://www.codechef.com/problems/SUBGAME" TargetMode="External" Id="rId777" /><Relationship Type="http://schemas.openxmlformats.org/officeDocument/2006/relationships/hyperlink" Target="https://www.codechef.com/problems/TAKESTONES" TargetMode="External" Id="rId778" /><Relationship Type="http://schemas.openxmlformats.org/officeDocument/2006/relationships/hyperlink" Target="https://www.codechef.com/problems/SUB101" TargetMode="External" Id="rId779" /><Relationship Type="http://schemas.openxmlformats.org/officeDocument/2006/relationships/hyperlink" Target="https://www.codechef.com/problems/CONSTRUCT1" TargetMode="External" Id="rId780" /><Relationship Type="http://schemas.openxmlformats.org/officeDocument/2006/relationships/hyperlink" Target="https://www.codechef.com/problems/BUILDARR" TargetMode="External" Id="rId781" /><Relationship Type="http://schemas.openxmlformats.org/officeDocument/2006/relationships/hyperlink" Target="https://www.codechef.com/problems/GC101" TargetMode="External" Id="rId782" /><Relationship Type="http://schemas.openxmlformats.org/officeDocument/2006/relationships/hyperlink" Target="https://www.codechef.com/problems/GC102" TargetMode="External" Id="rId783" /><Relationship Type="http://schemas.openxmlformats.org/officeDocument/2006/relationships/hyperlink" Target="https://www.codechef.com/problems/GC103" TargetMode="External" Id="rId784" /><Relationship Type="http://schemas.openxmlformats.org/officeDocument/2006/relationships/hyperlink" Target="https://www.codechef.com/problems/GC104" TargetMode="External" Id="rId785" /><Relationship Type="http://schemas.openxmlformats.org/officeDocument/2006/relationships/hyperlink" Target="https://www.codechef.com/problems/GC105" TargetMode="External" Id="rId786" /><Relationship Type="http://schemas.openxmlformats.org/officeDocument/2006/relationships/hyperlink" Target="https://www.codechef.com/problems/GC106" TargetMode="External" Id="rId787" /><Relationship Type="http://schemas.openxmlformats.org/officeDocument/2006/relationships/hyperlink" Target="https://www.codechef.com/problems/GC107" TargetMode="External" Id="rId788" /><Relationship Type="http://schemas.openxmlformats.org/officeDocument/2006/relationships/hyperlink" Target="https://www.codechef.com/problems/GC108" TargetMode="External" Id="rId789" /><Relationship Type="http://schemas.openxmlformats.org/officeDocument/2006/relationships/hyperlink" Target="https://www.codechef.com/problems/MATHCONST" TargetMode="External" Id="rId790" /><Relationship Type="http://schemas.openxmlformats.org/officeDocument/2006/relationships/hyperlink" Target="https://www.codechef.com/problems/MATRIXBUILD" TargetMode="External" Id="rId791" /><Relationship Type="http://schemas.openxmlformats.org/officeDocument/2006/relationships/hyperlink" Target="https://www.codechef.com/problems/MC101" TargetMode="External" Id="rId792" /><Relationship Type="http://schemas.openxmlformats.org/officeDocument/2006/relationships/hyperlink" Target="https://www.codechef.com/problems/MC102" TargetMode="External" Id="rId793" /><Relationship Type="http://schemas.openxmlformats.org/officeDocument/2006/relationships/hyperlink" Target="https://www.codechef.com/problems/MC103" TargetMode="External" Id="rId794" /><Relationship Type="http://schemas.openxmlformats.org/officeDocument/2006/relationships/hyperlink" Target="https://www.codechef.com/problems/MC104" TargetMode="External" Id="rId795" /><Relationship Type="http://schemas.openxmlformats.org/officeDocument/2006/relationships/hyperlink" Target="https://www.codechef.com/problems/MC105" TargetMode="External" Id="rId796" /><Relationship Type="http://schemas.openxmlformats.org/officeDocument/2006/relationships/hyperlink" Target="https://www.codechef.com/problems/MC106" TargetMode="External" Id="rId797" /><Relationship Type="http://schemas.openxmlformats.org/officeDocument/2006/relationships/hyperlink" Target="https://www.codechef.com/problems/MC107" TargetMode="External" Id="rId798" /><Relationship Type="http://schemas.openxmlformats.org/officeDocument/2006/relationships/hyperlink" Target="https://www.codechef.com/problems/MC108" TargetMode="External" Id="rId799" /><Relationship Type="http://schemas.openxmlformats.org/officeDocument/2006/relationships/hyperlink" Target="https://www.codechef.com/problems/PERMCONST" TargetMode="External" Id="rId800" /><Relationship Type="http://schemas.openxmlformats.org/officeDocument/2006/relationships/hyperlink" Target="https://www.codechef.com/problems/SWAPPERM" TargetMode="External" Id="rId801" /><Relationship Type="http://schemas.openxmlformats.org/officeDocument/2006/relationships/hyperlink" Target="https://www.codechef.com/problems/PC101" TargetMode="External" Id="rId802" /><Relationship Type="http://schemas.openxmlformats.org/officeDocument/2006/relationships/hyperlink" Target="https://www.codechef.com/problems/PC102" TargetMode="External" Id="rId803" /><Relationship Type="http://schemas.openxmlformats.org/officeDocument/2006/relationships/hyperlink" Target="https://www.codechef.com/problems/PC103" TargetMode="External" Id="rId804" /><Relationship Type="http://schemas.openxmlformats.org/officeDocument/2006/relationships/hyperlink" Target="https://www.codechef.com/problems/PC104" TargetMode="External" Id="rId805" /><Relationship Type="http://schemas.openxmlformats.org/officeDocument/2006/relationships/hyperlink" Target="https://www.codechef.com/problems/PC105" TargetMode="External" Id="rId806" /><Relationship Type="http://schemas.openxmlformats.org/officeDocument/2006/relationships/hyperlink" Target="https://www.codechef.com/problems/PC106" TargetMode="External" Id="rId807" /><Relationship Type="http://schemas.openxmlformats.org/officeDocument/2006/relationships/hyperlink" Target="https://www.codechef.com/problems/PC107" TargetMode="External" Id="rId808" /><Relationship Type="http://schemas.openxmlformats.org/officeDocument/2006/relationships/hyperlink" Target="https://www.codechef.com/problems/PC108" TargetMode="External" Id="rId809" /><Relationship Type="http://schemas.openxmlformats.org/officeDocument/2006/relationships/hyperlink" Target="https://www.codechef.com/problems/GEOMADV1" TargetMode="External" Id="rId810" /><Relationship Type="http://schemas.openxmlformats.org/officeDocument/2006/relationships/hyperlink" Target="https://www.codechef.com/problems/GEOMADV2" TargetMode="External" Id="rId811" /><Relationship Type="http://schemas.openxmlformats.org/officeDocument/2006/relationships/hyperlink" Target="https://www.codechef.com/problems/MISC101" TargetMode="External" Id="rId812" /><Relationship Type="http://schemas.openxmlformats.org/officeDocument/2006/relationships/hyperlink" Target="https://www.codechef.com/problems/MISC102" TargetMode="External" Id="rId813" /><Relationship Type="http://schemas.openxmlformats.org/officeDocument/2006/relationships/hyperlink" Target="https://www.codechef.com/problems/MISC103" TargetMode="External" Id="rId814" /><Relationship Type="http://schemas.openxmlformats.org/officeDocument/2006/relationships/hyperlink" Target="https://www.codechef.com/problems/MISC104" TargetMode="External" Id="rId815" /><Relationship Type="http://schemas.openxmlformats.org/officeDocument/2006/relationships/hyperlink" Target="https://www.codechef.com/problems/GEOMADV3" TargetMode="External" Id="rId816" /><Relationship Type="http://schemas.openxmlformats.org/officeDocument/2006/relationships/hyperlink" Target="https://www.codechef.com/problems/GEOMADV4" TargetMode="External" Id="rId817" /><Relationship Type="http://schemas.openxmlformats.org/officeDocument/2006/relationships/hyperlink" Target="https://www.codechef.com/problems/MISC105" TargetMode="External" Id="rId818" /><Relationship Type="http://schemas.openxmlformats.org/officeDocument/2006/relationships/hyperlink" Target="https://www.codechef.com/problems/MISC106" TargetMode="External" Id="rId819" /><Relationship Type="http://schemas.openxmlformats.org/officeDocument/2006/relationships/hyperlink" Target="https://www.codechef.com/problems/MISC107" TargetMode="External" Id="rId820" /><Relationship Type="http://schemas.openxmlformats.org/officeDocument/2006/relationships/hyperlink" Target="https://www.codechef.com/problems/MISC108" TargetMode="External" Id="rId821" /><Relationship Type="http://schemas.openxmlformats.org/officeDocument/2006/relationships/hyperlink" Target="https://www.codechef.com/problems/INTERACT1" TargetMode="External" Id="rId822" /><Relationship Type="http://schemas.openxmlformats.org/officeDocument/2006/relationships/hyperlink" Target="https://www.codechef.com/problems/INTERACT2" TargetMode="External" Id="rId823" /><Relationship Type="http://schemas.openxmlformats.org/officeDocument/2006/relationships/hyperlink" Target="https://www.codechef.com/problems/INTER101" TargetMode="External" Id="rId824" /><Relationship Type="http://schemas.openxmlformats.org/officeDocument/2006/relationships/hyperlink" Target="https://www.codechef.com/problems/INTER102" TargetMode="External" Id="rId825" /><Relationship Type="http://schemas.openxmlformats.org/officeDocument/2006/relationships/hyperlink" Target="https://www.codechef.com/problems/INTER103" TargetMode="External" Id="rId826" /><Relationship Type="http://schemas.openxmlformats.org/officeDocument/2006/relationships/hyperlink" Target="https://www.codechef.com/problems/INTER104" TargetMode="External" Id="rId827" /><Relationship Type="http://schemas.openxmlformats.org/officeDocument/2006/relationships/hyperlink" Target="https://www.codechef.com/problems/ADHOC1" TargetMode="External" Id="rId828" /><Relationship Type="http://schemas.openxmlformats.org/officeDocument/2006/relationships/hyperlink" Target="https://www.codechef.com/problems/ADHOC2" TargetMode="External" Id="rId829" /><Relationship Type="http://schemas.openxmlformats.org/officeDocument/2006/relationships/hyperlink" Target="https://www.codechef.com/problems/ADHOC101" TargetMode="External" Id="rId830" /><Relationship Type="http://schemas.openxmlformats.org/officeDocument/2006/relationships/hyperlink" Target="https://www.codechef.com/problems/ADHOC102" TargetMode="External" Id="rId831" /><Relationship Type="http://schemas.openxmlformats.org/officeDocument/2006/relationships/hyperlink" Target="https://www.codechef.com/problems/ADHOC103" TargetMode="External" Id="rId832" /><Relationship Type="http://schemas.openxmlformats.org/officeDocument/2006/relationships/hyperlink" Target="https://www.codechef.com/problems/ADHOC104" TargetMode="External" Id="rId833" /><Relationship Type="http://schemas.openxmlformats.org/officeDocument/2006/relationships/hyperlink" Target="https://www.codechef.com/problems/EXPERT1" TargetMode="External" Id="rId834" /><Relationship Type="http://schemas.openxmlformats.org/officeDocument/2006/relationships/hyperlink" Target="https://www.codechef.com/problems/EXPERT2" TargetMode="External" Id="rId835" /><Relationship Type="http://schemas.openxmlformats.org/officeDocument/2006/relationships/hyperlink" Target="https://www.codechef.com/problems/EXPERT3" TargetMode="External" Id="rId836" /><Relationship Type="http://schemas.openxmlformats.org/officeDocument/2006/relationships/hyperlink" Target="https://www.codechef.com/problems/EXPERT4" TargetMode="External" Id="rId837" /><Relationship Type="http://schemas.openxmlformats.org/officeDocument/2006/relationships/hyperlink" Target="https://www.codechef.com/problems/EXPERT5" TargetMode="External" Id="rId838" /><Relationship Type="http://schemas.openxmlformats.org/officeDocument/2006/relationships/hyperlink" Target="https://www.codechef.com/problems/EXPERT6" TargetMode="External" Id="rId8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7" customWidth="1" min="4" max="4"/>
    <col width="50" customWidth="1" min="5" max="5"/>
    <col width="15" customWidth="1" min="6" max="6"/>
    <col width="50" customWidth="1" min="7" max="7"/>
    <col width="18" customWidth="1" min="8" max="8"/>
    <col width="12" customWidth="1" min="9" max="9"/>
    <col width="46" customWidth="1" min="10" max="10"/>
    <col width="12" customWidth="1" min="11" max="11"/>
    <col width="12" customWidth="1" min="12" max="12"/>
  </cols>
  <sheetData>
    <row r="1" ht="25" customHeight="1">
      <c r="A1" s="1" t="inlineStr">
        <is>
          <t>Status</t>
        </is>
      </c>
      <c r="B1" s="1" t="inlineStr">
        <is>
          <t>Category</t>
        </is>
      </c>
      <c r="C1" s="1" t="inlineStr">
        <is>
          <t>Subtopic</t>
        </is>
      </c>
      <c r="D1" s="1" t="inlineStr">
        <is>
          <t>Problem Code</t>
        </is>
      </c>
      <c r="E1" s="1" t="inlineStr">
        <is>
          <t>Problem Name</t>
        </is>
      </c>
      <c r="F1" s="1" t="inlineStr">
        <is>
          <t>Difficulty</t>
        </is>
      </c>
      <c r="G1" s="1" t="inlineStr">
        <is>
          <t>Topics</t>
        </is>
      </c>
      <c r="H1" s="1" t="inlineStr">
        <is>
          <t>Estimated Time</t>
        </is>
      </c>
      <c r="I1" s="1" t="inlineStr">
        <is>
          <t>XP</t>
        </is>
      </c>
      <c r="J1" s="1" t="inlineStr">
        <is>
          <t>Open Link</t>
        </is>
      </c>
      <c r="K1" s="1" t="inlineStr">
        <is>
          <t>Notes</t>
        </is>
      </c>
      <c r="L1" s="1" t="inlineStr">
        <is>
          <t>Platform</t>
        </is>
      </c>
    </row>
    <row r="2" ht="20" customHeight="1">
      <c r="A2" s="2" t="inlineStr">
        <is>
          <t>Unsolved</t>
        </is>
      </c>
      <c r="B2" s="3" t="inlineStr">
        <is>
          <t>KINGDOM 1 — THE KINGDOM OF ARRAYS</t>
        </is>
      </c>
      <c r="C2" s="3" t="inlineStr">
        <is>
          <t>Pattern 1.1 — Basic Array Traversal</t>
        </is>
      </c>
      <c r="D2" s="2" t="inlineStr">
        <is>
          <t>FLOW001</t>
        </is>
      </c>
      <c r="E2" s="3" t="inlineStr">
        <is>
          <t>Add Two Numbers</t>
        </is>
      </c>
      <c r="F2" s="4" t="inlineStr">
        <is>
          <t>Beginner</t>
        </is>
      </c>
      <c r="G2" s="3" t="inlineStr">
        <is>
          <t>basic math, arrays</t>
        </is>
      </c>
      <c r="H2" s="2" t="n">
        <v>15</v>
      </c>
      <c r="I2" s="2" t="n">
        <v>10</v>
      </c>
      <c r="J2" s="5" t="inlineStr">
        <is>
          <t>https://www.codechef.com/problems/FLOW001</t>
        </is>
      </c>
      <c r="K2" s="3" t="inlineStr"/>
      <c r="L2" s="2" t="inlineStr">
        <is>
          <t>codechef</t>
        </is>
      </c>
    </row>
    <row r="3" ht="20" customHeight="1">
      <c r="A3" s="6" t="inlineStr">
        <is>
          <t>Unsolved</t>
        </is>
      </c>
      <c r="B3" s="7" t="inlineStr">
        <is>
          <t>KINGDOM 1 — THE KINGDOM OF ARRAYS</t>
        </is>
      </c>
      <c r="C3" s="7" t="inlineStr">
        <is>
          <t>Pattern 1.1 — Basic Array Traversal</t>
        </is>
      </c>
      <c r="D3" s="6" t="inlineStr">
        <is>
          <t>FLOW002</t>
        </is>
      </c>
      <c r="E3" s="7" t="inlineStr">
        <is>
          <t>Find Remainder</t>
        </is>
      </c>
      <c r="F3" s="4" t="inlineStr">
        <is>
          <t>Beginner</t>
        </is>
      </c>
      <c r="G3" s="7" t="inlineStr">
        <is>
          <t>basic math, arrays</t>
        </is>
      </c>
      <c r="H3" s="6" t="n">
        <v>15</v>
      </c>
      <c r="I3" s="6" t="n">
        <v>10</v>
      </c>
      <c r="J3" s="8" t="inlineStr">
        <is>
          <t>https://www.codechef.com/problems/FLOW002</t>
        </is>
      </c>
      <c r="K3" s="7" t="inlineStr"/>
      <c r="L3" s="6" t="inlineStr">
        <is>
          <t>codechef</t>
        </is>
      </c>
    </row>
    <row r="4" ht="20" customHeight="1">
      <c r="A4" s="2" t="inlineStr">
        <is>
          <t>Unsolved</t>
        </is>
      </c>
      <c r="B4" s="3" t="inlineStr">
        <is>
          <t>KINGDOM 1 — THE KINGDOM OF ARRAYS</t>
        </is>
      </c>
      <c r="C4" s="3" t="inlineStr">
        <is>
          <t>Pattern 1.1 — Basic Array Traversal</t>
        </is>
      </c>
      <c r="D4" s="2" t="inlineStr">
        <is>
          <t>FLOW004</t>
        </is>
      </c>
      <c r="E4" s="3" t="inlineStr">
        <is>
          <t>First and Last Digit</t>
        </is>
      </c>
      <c r="F4" s="4" t="inlineStr">
        <is>
          <t>Beginner</t>
        </is>
      </c>
      <c r="G4" s="3" t="inlineStr">
        <is>
          <t>arrays, traversal</t>
        </is>
      </c>
      <c r="H4" s="2" t="n">
        <v>15</v>
      </c>
      <c r="I4" s="2" t="n">
        <v>10</v>
      </c>
      <c r="J4" s="5" t="inlineStr">
        <is>
          <t>https://www.codechef.com/problems/FLOW004</t>
        </is>
      </c>
      <c r="K4" s="3" t="inlineStr"/>
      <c r="L4" s="2" t="inlineStr">
        <is>
          <t>codechef</t>
        </is>
      </c>
    </row>
    <row r="5" ht="20" customHeight="1">
      <c r="A5" s="6" t="inlineStr">
        <is>
          <t>Unsolved</t>
        </is>
      </c>
      <c r="B5" s="7" t="inlineStr">
        <is>
          <t>KINGDOM 1 — THE KINGDOM OF ARRAYS</t>
        </is>
      </c>
      <c r="C5" s="7" t="inlineStr">
        <is>
          <t>Pattern 1.1 — Basic Array Traversal</t>
        </is>
      </c>
      <c r="D5" s="6" t="inlineStr">
        <is>
          <t>FLOW006</t>
        </is>
      </c>
      <c r="E5" s="7" t="inlineStr">
        <is>
          <t>Sum of Digits</t>
        </is>
      </c>
      <c r="F5" s="4" t="inlineStr">
        <is>
          <t>Beginner</t>
        </is>
      </c>
      <c r="G5" s="7" t="inlineStr">
        <is>
          <t>arrays, math</t>
        </is>
      </c>
      <c r="H5" s="6" t="n">
        <v>15</v>
      </c>
      <c r="I5" s="6" t="n">
        <v>10</v>
      </c>
      <c r="J5" s="8" t="inlineStr">
        <is>
          <t>https://www.codechef.com/problems/FLOW006</t>
        </is>
      </c>
      <c r="K5" s="7" t="inlineStr"/>
      <c r="L5" s="6" t="inlineStr">
        <is>
          <t>codechef</t>
        </is>
      </c>
    </row>
    <row r="6" ht="20" customHeight="1">
      <c r="A6" s="2" t="inlineStr">
        <is>
          <t>Unsolved</t>
        </is>
      </c>
      <c r="B6" s="3" t="inlineStr">
        <is>
          <t>KINGDOM 1 — THE KINGDOM OF ARRAYS</t>
        </is>
      </c>
      <c r="C6" s="3" t="inlineStr">
        <is>
          <t>Pattern 1.1 — Basic Array Traversal</t>
        </is>
      </c>
      <c r="D6" s="2" t="inlineStr">
        <is>
          <t>FLOW007</t>
        </is>
      </c>
      <c r="E6" s="3" t="inlineStr">
        <is>
          <t>Reverse The Number</t>
        </is>
      </c>
      <c r="F6" s="4" t="inlineStr">
        <is>
          <t>Beginner</t>
        </is>
      </c>
      <c r="G6" s="3" t="inlineStr">
        <is>
          <t>arrays, implementation</t>
        </is>
      </c>
      <c r="H6" s="2" t="n">
        <v>15</v>
      </c>
      <c r="I6" s="2" t="n">
        <v>10</v>
      </c>
      <c r="J6" s="5" t="inlineStr">
        <is>
          <t>https://www.codechef.com/problems/FLOW007</t>
        </is>
      </c>
      <c r="K6" s="3" t="inlineStr"/>
      <c r="L6" s="2" t="inlineStr">
        <is>
          <t>codechef</t>
        </is>
      </c>
    </row>
    <row r="7" ht="20" customHeight="1">
      <c r="A7" s="6" t="inlineStr">
        <is>
          <t>Unsolved</t>
        </is>
      </c>
      <c r="B7" s="7" t="inlineStr">
        <is>
          <t>KINGDOM 1 — THE KINGDOM OF ARRAYS</t>
        </is>
      </c>
      <c r="C7" s="7" t="inlineStr">
        <is>
          <t>Pattern 1.1 — Basic Array Traversal</t>
        </is>
      </c>
      <c r="D7" s="6" t="inlineStr">
        <is>
          <t>START01</t>
        </is>
      </c>
      <c r="E7" s="7" t="inlineStr">
        <is>
          <t>Number Mirror</t>
        </is>
      </c>
      <c r="F7" s="4" t="inlineStr">
        <is>
          <t>Beginner</t>
        </is>
      </c>
      <c r="G7" s="7" t="inlineStr">
        <is>
          <t>basic I/O, arrays</t>
        </is>
      </c>
      <c r="H7" s="6" t="n">
        <v>15</v>
      </c>
      <c r="I7" s="6" t="n">
        <v>10</v>
      </c>
      <c r="J7" s="8" t="inlineStr">
        <is>
          <t>https://www.codechef.com/problems/START01</t>
        </is>
      </c>
      <c r="K7" s="7" t="inlineStr"/>
      <c r="L7" s="6" t="inlineStr">
        <is>
          <t>codechef</t>
        </is>
      </c>
    </row>
    <row r="8" ht="20" customHeight="1">
      <c r="A8" s="2" t="inlineStr">
        <is>
          <t>Unsolved</t>
        </is>
      </c>
      <c r="B8" s="3" t="inlineStr">
        <is>
          <t>KINGDOM 1 — THE KINGDOM OF ARRAYS</t>
        </is>
      </c>
      <c r="C8" s="3" t="inlineStr">
        <is>
          <t>Pattern 1.1 — Basic Array Traversal</t>
        </is>
      </c>
      <c r="D8" s="2" t="inlineStr">
        <is>
          <t>HS08TEST</t>
        </is>
      </c>
      <c r="E8" s="3" t="inlineStr">
        <is>
          <t>ATM</t>
        </is>
      </c>
      <c r="F8" s="4" t="inlineStr">
        <is>
          <t>Beginner</t>
        </is>
      </c>
      <c r="G8" s="3" t="inlineStr">
        <is>
          <t>basic math, implementation</t>
        </is>
      </c>
      <c r="H8" s="2" t="n">
        <v>15</v>
      </c>
      <c r="I8" s="2" t="n">
        <v>10</v>
      </c>
      <c r="J8" s="5" t="inlineStr">
        <is>
          <t>https://www.codechef.com/problems/HS08TEST</t>
        </is>
      </c>
      <c r="K8" s="3" t="inlineStr"/>
      <c r="L8" s="2" t="inlineStr">
        <is>
          <t>codechef</t>
        </is>
      </c>
    </row>
    <row r="9" ht="20" customHeight="1">
      <c r="A9" s="6" t="inlineStr">
        <is>
          <t>Unsolved</t>
        </is>
      </c>
      <c r="B9" s="7" t="inlineStr">
        <is>
          <t>KINGDOM 1 — THE KINGDOM OF ARRAYS</t>
        </is>
      </c>
      <c r="C9" s="7" t="inlineStr">
        <is>
          <t>Pattern 1.1 — Basic Array Traversal</t>
        </is>
      </c>
      <c r="D9" s="6" t="inlineStr">
        <is>
          <t>LUCKFOUR</t>
        </is>
      </c>
      <c r="E9" s="7" t="inlineStr">
        <is>
          <t>Lucky Four</t>
        </is>
      </c>
      <c r="F9" s="4" t="inlineStr">
        <is>
          <t>Beginner</t>
        </is>
      </c>
      <c r="G9" s="7" t="inlineStr">
        <is>
          <t>traversal, counting</t>
        </is>
      </c>
      <c r="H9" s="6" t="n">
        <v>15</v>
      </c>
      <c r="I9" s="6" t="n">
        <v>10</v>
      </c>
      <c r="J9" s="8" t="inlineStr">
        <is>
          <t>https://www.codechef.com/problems/LUCKFOUR</t>
        </is>
      </c>
      <c r="K9" s="7" t="inlineStr"/>
      <c r="L9" s="6" t="inlineStr">
        <is>
          <t>codechef</t>
        </is>
      </c>
    </row>
    <row r="10" ht="20" customHeight="1">
      <c r="A10" s="2" t="inlineStr">
        <is>
          <t>Unsolved</t>
        </is>
      </c>
      <c r="B10" s="3" t="inlineStr">
        <is>
          <t>KINGDOM 1 — THE KINGDOM OF ARRAYS</t>
        </is>
      </c>
      <c r="C10" s="3" t="inlineStr">
        <is>
          <t>Pattern 1.2 — Frequency Counting</t>
        </is>
      </c>
      <c r="D10" s="2" t="inlineStr">
        <is>
          <t>VCS</t>
        </is>
      </c>
      <c r="E10" s="3" t="inlineStr">
        <is>
          <t>Version Control System</t>
        </is>
      </c>
      <c r="F10" s="4" t="inlineStr">
        <is>
          <t>Easy</t>
        </is>
      </c>
      <c r="G10" s="3" t="inlineStr">
        <is>
          <t>frequency count, arrays</t>
        </is>
      </c>
      <c r="H10" s="2" t="n">
        <v>25</v>
      </c>
      <c r="I10" s="2" t="n">
        <v>20</v>
      </c>
      <c r="J10" s="5" t="inlineStr">
        <is>
          <t>https://www.codechef.com/problems/VCS</t>
        </is>
      </c>
      <c r="K10" s="3" t="inlineStr"/>
      <c r="L10" s="2" t="inlineStr">
        <is>
          <t>codechef</t>
        </is>
      </c>
    </row>
    <row r="11" ht="20" customHeight="1">
      <c r="A11" s="6" t="inlineStr">
        <is>
          <t>Unsolved</t>
        </is>
      </c>
      <c r="B11" s="7" t="inlineStr">
        <is>
          <t>KINGDOM 1 — THE KINGDOM OF ARRAYS</t>
        </is>
      </c>
      <c r="C11" s="7" t="inlineStr">
        <is>
          <t>Pattern 1.2 — Frequency Counting</t>
        </is>
      </c>
      <c r="D11" s="6" t="inlineStr">
        <is>
          <t>RAINBOWA</t>
        </is>
      </c>
      <c r="E11" s="7" t="inlineStr">
        <is>
          <t>Rainbow Array</t>
        </is>
      </c>
      <c r="F11" s="4" t="inlineStr">
        <is>
          <t>Easy</t>
        </is>
      </c>
      <c r="G11" s="7" t="inlineStr">
        <is>
          <t>frequency, validation</t>
        </is>
      </c>
      <c r="H11" s="6" t="n">
        <v>25</v>
      </c>
      <c r="I11" s="6" t="n">
        <v>20</v>
      </c>
      <c r="J11" s="8" t="inlineStr">
        <is>
          <t>https://www.codechef.com/problems/RAINBOWA</t>
        </is>
      </c>
      <c r="K11" s="7" t="inlineStr"/>
      <c r="L11" s="6" t="inlineStr">
        <is>
          <t>codechef</t>
        </is>
      </c>
    </row>
    <row r="12" ht="20" customHeight="1">
      <c r="A12" s="2" t="inlineStr">
        <is>
          <t>Unsolved</t>
        </is>
      </c>
      <c r="B12" s="3" t="inlineStr">
        <is>
          <t>KINGDOM 1 — THE KINGDOM OF ARRAYS</t>
        </is>
      </c>
      <c r="C12" s="3" t="inlineStr">
        <is>
          <t>Pattern 1.2 — Frequency Counting</t>
        </is>
      </c>
      <c r="D12" s="2" t="inlineStr">
        <is>
          <t>TLG</t>
        </is>
      </c>
      <c r="E12" s="3" t="inlineStr">
        <is>
          <t>The Lead Game</t>
        </is>
      </c>
      <c r="F12" s="4" t="inlineStr">
        <is>
          <t>Easy</t>
        </is>
      </c>
      <c r="G12" s="3" t="inlineStr">
        <is>
          <t>cumulative count, arrays</t>
        </is>
      </c>
      <c r="H12" s="2" t="n">
        <v>25</v>
      </c>
      <c r="I12" s="2" t="n">
        <v>20</v>
      </c>
      <c r="J12" s="5" t="inlineStr">
        <is>
          <t>https://www.codechef.com/problems/TLG</t>
        </is>
      </c>
      <c r="K12" s="3" t="inlineStr"/>
      <c r="L12" s="2" t="inlineStr">
        <is>
          <t>codechef</t>
        </is>
      </c>
    </row>
    <row r="13" ht="20" customHeight="1">
      <c r="A13" s="6" t="inlineStr">
        <is>
          <t>Unsolved</t>
        </is>
      </c>
      <c r="B13" s="7" t="inlineStr">
        <is>
          <t>KINGDOM 1 — THE KINGDOM OF ARRAYS</t>
        </is>
      </c>
      <c r="C13" s="7" t="inlineStr">
        <is>
          <t>Pattern 1.2 — Frequency Counting</t>
        </is>
      </c>
      <c r="D13" s="6" t="inlineStr">
        <is>
          <t>NOTINCOM</t>
        </is>
      </c>
      <c r="E13" s="7" t="inlineStr">
        <is>
          <t>Nothing in Common</t>
        </is>
      </c>
      <c r="F13" s="4" t="inlineStr">
        <is>
          <t>Easy</t>
        </is>
      </c>
      <c r="G13" s="7" t="inlineStr">
        <is>
          <t>frequency, set intersection</t>
        </is>
      </c>
      <c r="H13" s="6" t="n">
        <v>25</v>
      </c>
      <c r="I13" s="6" t="n">
        <v>20</v>
      </c>
      <c r="J13" s="8" t="inlineStr">
        <is>
          <t>https://www.codechef.com/problems/NOTINCOM</t>
        </is>
      </c>
      <c r="K13" s="7" t="inlineStr"/>
      <c r="L13" s="6" t="inlineStr">
        <is>
          <t>codechef</t>
        </is>
      </c>
    </row>
    <row r="14" ht="20" customHeight="1">
      <c r="A14" s="2" t="inlineStr">
        <is>
          <t>Unsolved</t>
        </is>
      </c>
      <c r="B14" s="3" t="inlineStr">
        <is>
          <t>KINGDOM 1 — THE KINGDOM OF ARRAYS</t>
        </is>
      </c>
      <c r="C14" s="3" t="inlineStr">
        <is>
          <t>Pattern 1.2 — Frequency Counting</t>
        </is>
      </c>
      <c r="D14" s="2" t="inlineStr">
        <is>
          <t>COPS</t>
        </is>
      </c>
      <c r="E14" s="3" t="inlineStr">
        <is>
          <t>Cops and the Thief Devu</t>
        </is>
      </c>
      <c r="F14" s="4" t="inlineStr">
        <is>
          <t>Easy</t>
        </is>
      </c>
      <c r="G14" s="3" t="inlineStr">
        <is>
          <t>range counting, array search</t>
        </is>
      </c>
      <c r="H14" s="2" t="n">
        <v>25</v>
      </c>
      <c r="I14" s="2" t="n">
        <v>20</v>
      </c>
      <c r="J14" s="5" t="inlineStr">
        <is>
          <t>https://www.codechef.com/problems/COPS</t>
        </is>
      </c>
      <c r="K14" s="3" t="inlineStr"/>
      <c r="L14" s="2" t="inlineStr">
        <is>
          <t>codechef</t>
        </is>
      </c>
    </row>
    <row r="15" ht="20" customHeight="1">
      <c r="A15" s="6" t="inlineStr">
        <is>
          <t>Unsolved</t>
        </is>
      </c>
      <c r="B15" s="7" t="inlineStr">
        <is>
          <t>KINGDOM 1 — THE KINGDOM OF ARRAYS</t>
        </is>
      </c>
      <c r="C15" s="7" t="inlineStr">
        <is>
          <t>Pattern 1.2 — Frequency Counting</t>
        </is>
      </c>
      <c r="D15" s="6" t="inlineStr">
        <is>
          <t>CHN15A</t>
        </is>
      </c>
      <c r="E15" s="7" t="inlineStr">
        <is>
          <t>Mutated Minions</t>
        </is>
      </c>
      <c r="F15" s="4" t="inlineStr">
        <is>
          <t>Easy</t>
        </is>
      </c>
      <c r="G15" s="7" t="inlineStr">
        <is>
          <t>array modification, counting</t>
        </is>
      </c>
      <c r="H15" s="6" t="n">
        <v>25</v>
      </c>
      <c r="I15" s="6" t="n">
        <v>20</v>
      </c>
      <c r="J15" s="8" t="inlineStr">
        <is>
          <t>https://www.codechef.com/problems/CHN15A</t>
        </is>
      </c>
      <c r="K15" s="7" t="inlineStr"/>
      <c r="L15" s="6" t="inlineStr">
        <is>
          <t>codechef</t>
        </is>
      </c>
    </row>
    <row r="16" ht="20" customHeight="1">
      <c r="A16" s="2" t="inlineStr">
        <is>
          <t>Unsolved</t>
        </is>
      </c>
      <c r="B16" s="3" t="inlineStr">
        <is>
          <t>KINGDOM 1 — THE KINGDOM OF ARRAYS</t>
        </is>
      </c>
      <c r="C16" s="3" t="inlineStr">
        <is>
          <t>Pattern 1.2 — Frequency Counting</t>
        </is>
      </c>
      <c r="D16" s="2" t="inlineStr">
        <is>
          <t>TEMPLE</t>
        </is>
      </c>
      <c r="E16" s="3" t="inlineStr">
        <is>
          <t>Temple Land</t>
        </is>
      </c>
      <c r="F16" s="4" t="inlineStr">
        <is>
          <t>Easy</t>
        </is>
      </c>
      <c r="G16" s="3" t="inlineStr">
        <is>
          <t>symmetry check, frequency</t>
        </is>
      </c>
      <c r="H16" s="2" t="n">
        <v>25</v>
      </c>
      <c r="I16" s="2" t="n">
        <v>20</v>
      </c>
      <c r="J16" s="5" t="inlineStr">
        <is>
          <t>https://www.codechef.com/problems/TEMPLE</t>
        </is>
      </c>
      <c r="K16" s="3" t="inlineStr"/>
      <c r="L16" s="2" t="inlineStr">
        <is>
          <t>codechef</t>
        </is>
      </c>
    </row>
    <row r="17" ht="20" customHeight="1">
      <c r="A17" s="6" t="inlineStr">
        <is>
          <t>Unsolved</t>
        </is>
      </c>
      <c r="B17" s="7" t="inlineStr">
        <is>
          <t>KINGDOM 1 — THE KINGDOM OF ARRAYS</t>
        </is>
      </c>
      <c r="C17" s="7" t="inlineStr">
        <is>
          <t>Pattern 1.3 — Simulation on Arrays</t>
        </is>
      </c>
      <c r="D17" s="6" t="inlineStr">
        <is>
          <t>ATM2</t>
        </is>
      </c>
      <c r="E17" s="7" t="inlineStr">
        <is>
          <t>ATM Machine</t>
        </is>
      </c>
      <c r="F17" s="4" t="inlineStr">
        <is>
          <t>Beginner</t>
        </is>
      </c>
      <c r="G17" s="7" t="inlineStr">
        <is>
          <t>simulation, arrays</t>
        </is>
      </c>
      <c r="H17" s="6" t="n">
        <v>15</v>
      </c>
      <c r="I17" s="6" t="n">
        <v>10</v>
      </c>
      <c r="J17" s="8" t="inlineStr">
        <is>
          <t>https://www.codechef.com/problems/ATM2</t>
        </is>
      </c>
      <c r="K17" s="7" t="inlineStr"/>
      <c r="L17" s="6" t="inlineStr">
        <is>
          <t>codechef</t>
        </is>
      </c>
    </row>
    <row r="18" ht="20" customHeight="1">
      <c r="A18" s="2" t="inlineStr">
        <is>
          <t>Unsolved</t>
        </is>
      </c>
      <c r="B18" s="3" t="inlineStr">
        <is>
          <t>KINGDOM 1 — THE KINGDOM OF ARRAYS</t>
        </is>
      </c>
      <c r="C18" s="3" t="inlineStr">
        <is>
          <t>Pattern 1.3 — Simulation on Arrays</t>
        </is>
      </c>
      <c r="D18" s="2" t="inlineStr">
        <is>
          <t>ZCO14001</t>
        </is>
      </c>
      <c r="E18" s="3" t="inlineStr">
        <is>
          <t>Video Game</t>
        </is>
      </c>
      <c r="F18" s="4" t="inlineStr">
        <is>
          <t>Easy</t>
        </is>
      </c>
      <c r="G18" s="3" t="inlineStr">
        <is>
          <t>array simulation, stack/queue operations</t>
        </is>
      </c>
      <c r="H18" s="2" t="n">
        <v>25</v>
      </c>
      <c r="I18" s="2" t="n">
        <v>20</v>
      </c>
      <c r="J18" s="5" t="inlineStr">
        <is>
          <t>https://www.codechef.com/problems/ZCO14001</t>
        </is>
      </c>
      <c r="K18" s="3" t="inlineStr"/>
      <c r="L18" s="2" t="inlineStr">
        <is>
          <t>codechef</t>
        </is>
      </c>
    </row>
    <row r="19" ht="20" customHeight="1">
      <c r="A19" s="6" t="inlineStr">
        <is>
          <t>Unsolved</t>
        </is>
      </c>
      <c r="B19" s="7" t="inlineStr">
        <is>
          <t>KINGDOM 1 — THE KINGDOM OF ARRAYS</t>
        </is>
      </c>
      <c r="C19" s="7" t="inlineStr">
        <is>
          <t>Pattern 1.3 — Simulation on Arrays</t>
        </is>
      </c>
      <c r="D19" s="6" t="inlineStr">
        <is>
          <t>FRK</t>
        </is>
      </c>
      <c r="E19" s="7" t="inlineStr">
        <is>
          <t>Chef and Friends</t>
        </is>
      </c>
      <c r="F19" s="4" t="inlineStr">
        <is>
          <t>Easy</t>
        </is>
      </c>
      <c r="G19" s="7" t="inlineStr">
        <is>
          <t>substring simulation, search</t>
        </is>
      </c>
      <c r="H19" s="6" t="n">
        <v>25</v>
      </c>
      <c r="I19" s="6" t="n">
        <v>20</v>
      </c>
      <c r="J19" s="8" t="inlineStr">
        <is>
          <t>https://www.codechef.com/problems/FRK</t>
        </is>
      </c>
      <c r="K19" s="7" t="inlineStr"/>
      <c r="L19" s="6" t="inlineStr">
        <is>
          <t>codechef</t>
        </is>
      </c>
    </row>
    <row r="20" ht="20" customHeight="1">
      <c r="A20" s="2" t="inlineStr">
        <is>
          <t>Unsolved</t>
        </is>
      </c>
      <c r="B20" s="3" t="inlineStr">
        <is>
          <t>KINGDOM 1 — THE KINGDOM OF ARRAYS</t>
        </is>
      </c>
      <c r="C20" s="3" t="inlineStr">
        <is>
          <t>Pattern 1.3 — Simulation on Arrays</t>
        </is>
      </c>
      <c r="D20" s="2" t="inlineStr">
        <is>
          <t>STFOOD</t>
        </is>
      </c>
      <c r="E20" s="3" t="inlineStr">
        <is>
          <t>Chef and Street Food</t>
        </is>
      </c>
      <c r="F20" s="4" t="inlineStr">
        <is>
          <t>Easy</t>
        </is>
      </c>
      <c r="G20" s="3" t="inlineStr">
        <is>
          <t>arrays, profit optimization</t>
        </is>
      </c>
      <c r="H20" s="2" t="n">
        <v>25</v>
      </c>
      <c r="I20" s="2" t="n">
        <v>20</v>
      </c>
      <c r="J20" s="5" t="inlineStr">
        <is>
          <t>https://www.codechef.com/problems/STFOOD</t>
        </is>
      </c>
      <c r="K20" s="3" t="inlineStr"/>
      <c r="L20" s="2" t="inlineStr">
        <is>
          <t>codechef</t>
        </is>
      </c>
    </row>
    <row r="21" ht="20" customHeight="1">
      <c r="A21" s="6" t="inlineStr">
        <is>
          <t>Unsolved</t>
        </is>
      </c>
      <c r="B21" s="7" t="inlineStr">
        <is>
          <t>KINGDOM 1 — THE KINGDOM OF ARRAYS</t>
        </is>
      </c>
      <c r="C21" s="7" t="inlineStr">
        <is>
          <t>Pattern 1.3 — Simulation on Arrays</t>
        </is>
      </c>
      <c r="D21" s="6" t="inlineStr">
        <is>
          <t>SNAKPROC</t>
        </is>
      </c>
      <c r="E21" s="7" t="inlineStr">
        <is>
          <t>Snake Procession</t>
        </is>
      </c>
      <c r="F21" s="4" t="inlineStr">
        <is>
          <t>Easy</t>
        </is>
      </c>
      <c r="G21" s="7" t="inlineStr">
        <is>
          <t>simulation, validation</t>
        </is>
      </c>
      <c r="H21" s="6" t="n">
        <v>25</v>
      </c>
      <c r="I21" s="6" t="n">
        <v>20</v>
      </c>
      <c r="J21" s="8" t="inlineStr">
        <is>
          <t>https://www.codechef.com/problems/SNAKPROC</t>
        </is>
      </c>
      <c r="K21" s="7" t="inlineStr"/>
      <c r="L21" s="6" t="inlineStr">
        <is>
          <t>codechef</t>
        </is>
      </c>
    </row>
    <row r="22" ht="20" customHeight="1">
      <c r="A22" s="2" t="inlineStr">
        <is>
          <t>Unsolved</t>
        </is>
      </c>
      <c r="B22" s="3" t="inlineStr">
        <is>
          <t>KINGDOM 1 — THE KINGDOM OF ARRAYS</t>
        </is>
      </c>
      <c r="C22" s="3" t="inlineStr">
        <is>
          <t>Pattern 1.3 — Simulation on Arrays</t>
        </is>
      </c>
      <c r="D22" s="2" t="inlineStr">
        <is>
          <t>CNOTE</t>
        </is>
      </c>
      <c r="E22" s="3" t="inlineStr">
        <is>
          <t>Chef and Notebooks</t>
        </is>
      </c>
      <c r="F22" s="4" t="inlineStr">
        <is>
          <t>Easy</t>
        </is>
      </c>
      <c r="G22" s="3" t="inlineStr">
        <is>
          <t>budget simulation, search</t>
        </is>
      </c>
      <c r="H22" s="2" t="n">
        <v>25</v>
      </c>
      <c r="I22" s="2" t="n">
        <v>20</v>
      </c>
      <c r="J22" s="5" t="inlineStr">
        <is>
          <t>https://www.codechef.com/problems/CNOTE</t>
        </is>
      </c>
      <c r="K22" s="3" t="inlineStr"/>
      <c r="L22" s="2" t="inlineStr">
        <is>
          <t>codechef</t>
        </is>
      </c>
    </row>
    <row r="23" ht="20" customHeight="1">
      <c r="A23" s="6" t="inlineStr">
        <is>
          <t>Unsolved</t>
        </is>
      </c>
      <c r="B23" s="7" t="inlineStr">
        <is>
          <t>KINGDOM 1 — THE KINGDOM OF ARRAYS</t>
        </is>
      </c>
      <c r="C23" s="7" t="inlineStr">
        <is>
          <t>Pattern 1.4 — Sorting Based Arrays</t>
        </is>
      </c>
      <c r="D23" s="6" t="inlineStr">
        <is>
          <t>ZCO14003</t>
        </is>
      </c>
      <c r="E23" s="7" t="inlineStr">
        <is>
          <t>Smart Phone</t>
        </is>
      </c>
      <c r="F23" s="9" t="inlineStr">
        <is>
          <t>Easy-Medium</t>
        </is>
      </c>
      <c r="G23" s="7" t="inlineStr">
        <is>
          <t>sorting, greedy maximization</t>
        </is>
      </c>
      <c r="H23" s="6" t="n">
        <v>40</v>
      </c>
      <c r="I23" s="6" t="n">
        <v>35</v>
      </c>
      <c r="J23" s="8" t="inlineStr">
        <is>
          <t>https://www.codechef.com/problems/ZCO14003</t>
        </is>
      </c>
      <c r="K23" s="7" t="inlineStr"/>
      <c r="L23" s="6" t="inlineStr">
        <is>
          <t>codechef</t>
        </is>
      </c>
    </row>
    <row r="24" ht="20" customHeight="1">
      <c r="A24" s="2" t="inlineStr">
        <is>
          <t>Unsolved</t>
        </is>
      </c>
      <c r="B24" s="3" t="inlineStr">
        <is>
          <t>KINGDOM 1 — THE KINGDOM OF ARRAYS</t>
        </is>
      </c>
      <c r="C24" s="3" t="inlineStr">
        <is>
          <t>Pattern 1.4 — Sorting Based Arrays</t>
        </is>
      </c>
      <c r="D24" s="2" t="inlineStr">
        <is>
          <t>HORSES</t>
        </is>
      </c>
      <c r="E24" s="3" t="inlineStr">
        <is>
          <t>Racing Horses</t>
        </is>
      </c>
      <c r="F24" s="4" t="inlineStr">
        <is>
          <t>Easy</t>
        </is>
      </c>
      <c r="G24" s="3" t="inlineStr">
        <is>
          <t>sorting, minimum difference</t>
        </is>
      </c>
      <c r="H24" s="2" t="n">
        <v>25</v>
      </c>
      <c r="I24" s="2" t="n">
        <v>20</v>
      </c>
      <c r="J24" s="5" t="inlineStr">
        <is>
          <t>https://www.codechef.com/problems/HORSES</t>
        </is>
      </c>
      <c r="K24" s="3" t="inlineStr"/>
      <c r="L24" s="2" t="inlineStr">
        <is>
          <t>codechef</t>
        </is>
      </c>
    </row>
    <row r="25" ht="20" customHeight="1">
      <c r="A25" s="6" t="inlineStr">
        <is>
          <t>Unsolved</t>
        </is>
      </c>
      <c r="B25" s="7" t="inlineStr">
        <is>
          <t>KINGDOM 1 — THE KINGDOM OF ARRAYS</t>
        </is>
      </c>
      <c r="C25" s="7" t="inlineStr">
        <is>
          <t>Pattern 1.4 — Sorting Based Arrays</t>
        </is>
      </c>
      <c r="D25" s="6" t="inlineStr">
        <is>
          <t>CLEANUP</t>
        </is>
      </c>
      <c r="E25" s="7" t="inlineStr">
        <is>
          <t>Cleaning Up</t>
        </is>
      </c>
      <c r="F25" s="4" t="inlineStr">
        <is>
          <t>Easy</t>
        </is>
      </c>
      <c r="G25" s="7" t="inlineStr">
        <is>
          <t>sorting, alternation</t>
        </is>
      </c>
      <c r="H25" s="6" t="n">
        <v>25</v>
      </c>
      <c r="I25" s="6" t="n">
        <v>20</v>
      </c>
      <c r="J25" s="8" t="inlineStr">
        <is>
          <t>https://www.codechef.com/problems/CLEANUP</t>
        </is>
      </c>
      <c r="K25" s="7" t="inlineStr"/>
      <c r="L25" s="6" t="inlineStr">
        <is>
          <t>codechef</t>
        </is>
      </c>
    </row>
    <row r="26" ht="20" customHeight="1">
      <c r="A26" s="2" t="inlineStr">
        <is>
          <t>Unsolved</t>
        </is>
      </c>
      <c r="B26" s="3" t="inlineStr">
        <is>
          <t>KINGDOM 1 — THE KINGDOM OF ARRAYS</t>
        </is>
      </c>
      <c r="C26" s="3" t="inlineStr">
        <is>
          <t>Pattern 1.4 — Sorting Based Arrays</t>
        </is>
      </c>
      <c r="D26" s="2" t="inlineStr">
        <is>
          <t>CIELAB</t>
        </is>
      </c>
      <c r="E26" s="3" t="inlineStr">
        <is>
          <t>Ciel and A-B Problem</t>
        </is>
      </c>
      <c r="F26" s="4" t="inlineStr">
        <is>
          <t>Easy</t>
        </is>
      </c>
      <c r="G26" s="3" t="inlineStr">
        <is>
          <t>math, sorting logic</t>
        </is>
      </c>
      <c r="H26" s="2" t="n">
        <v>25</v>
      </c>
      <c r="I26" s="2" t="n">
        <v>20</v>
      </c>
      <c r="J26" s="5" t="inlineStr">
        <is>
          <t>https://www.codechef.com/problems/CIELAB</t>
        </is>
      </c>
      <c r="K26" s="3" t="inlineStr"/>
      <c r="L26" s="2" t="inlineStr">
        <is>
          <t>codechef</t>
        </is>
      </c>
    </row>
    <row r="27" ht="20" customHeight="1">
      <c r="A27" s="6" t="inlineStr">
        <is>
          <t>Unsolved</t>
        </is>
      </c>
      <c r="B27" s="7" t="inlineStr">
        <is>
          <t>KINGDOM 1 — THE KINGDOM OF ARRAYS</t>
        </is>
      </c>
      <c r="C27" s="7" t="inlineStr">
        <is>
          <t>Pattern 1.4 — Sorting Based Arrays</t>
        </is>
      </c>
      <c r="D27" s="6" t="inlineStr">
        <is>
          <t>MAXDIFF</t>
        </is>
      </c>
      <c r="E27" s="7" t="inlineStr">
        <is>
          <t>Maximum Weight Difference</t>
        </is>
      </c>
      <c r="F27" s="9" t="inlineStr">
        <is>
          <t>Easy-Medium</t>
        </is>
      </c>
      <c r="G27" s="7" t="inlineStr">
        <is>
          <t>sorting, greedy split</t>
        </is>
      </c>
      <c r="H27" s="6" t="n">
        <v>40</v>
      </c>
      <c r="I27" s="6" t="n">
        <v>35</v>
      </c>
      <c r="J27" s="8" t="inlineStr">
        <is>
          <t>https://www.codechef.com/problems/MAXDIFF</t>
        </is>
      </c>
      <c r="K27" s="7" t="inlineStr"/>
      <c r="L27" s="6" t="inlineStr">
        <is>
          <t>codechef</t>
        </is>
      </c>
    </row>
    <row r="28" ht="20" customHeight="1">
      <c r="A28" s="2" t="inlineStr">
        <is>
          <t>Unsolved</t>
        </is>
      </c>
      <c r="B28" s="3" t="inlineStr">
        <is>
          <t>KINGDOM 1 — THE KINGDOM OF ARRAYS</t>
        </is>
      </c>
      <c r="C28" s="3" t="inlineStr">
        <is>
          <t>Pattern 1.4 — Sorting Based Arrays</t>
        </is>
      </c>
      <c r="D28" s="2" t="inlineStr">
        <is>
          <t>CHEFA</t>
        </is>
      </c>
      <c r="E28" s="3" t="inlineStr">
        <is>
          <t>Chef and Easy Queries</t>
        </is>
      </c>
      <c r="F28" s="4" t="inlineStr">
        <is>
          <t>Easy</t>
        </is>
      </c>
      <c r="G28" s="3" t="inlineStr">
        <is>
          <t>sorting, accumulation</t>
        </is>
      </c>
      <c r="H28" s="2" t="n">
        <v>25</v>
      </c>
      <c r="I28" s="2" t="n">
        <v>20</v>
      </c>
      <c r="J28" s="5" t="inlineStr">
        <is>
          <t>https://www.codechef.com/problems/CHEFA</t>
        </is>
      </c>
      <c r="K28" s="3" t="inlineStr"/>
      <c r="L28" s="2" t="inlineStr">
        <is>
          <t>codechef</t>
        </is>
      </c>
    </row>
    <row r="29" ht="20" customHeight="1">
      <c r="A29" s="6" t="inlineStr">
        <is>
          <t>Unsolved</t>
        </is>
      </c>
      <c r="B29" s="7" t="inlineStr">
        <is>
          <t>KINGDOM 1 — THE KINGDOM OF ARRAYS</t>
        </is>
      </c>
      <c r="C29" s="7" t="inlineStr">
        <is>
          <t>Pattern 1.4 — Sorting Based Arrays</t>
        </is>
      </c>
      <c r="D29" s="6" t="inlineStr">
        <is>
          <t>TACHSTN</t>
        </is>
      </c>
      <c r="E29" s="7" t="inlineStr">
        <is>
          <t>Chopsticks</t>
        </is>
      </c>
      <c r="F29" s="9" t="inlineStr">
        <is>
          <t>Easy-Medium</t>
        </is>
      </c>
      <c r="G29" s="7" t="inlineStr">
        <is>
          <t>sorting, pairwise matching</t>
        </is>
      </c>
      <c r="H29" s="6" t="n">
        <v>40</v>
      </c>
      <c r="I29" s="6" t="n">
        <v>35</v>
      </c>
      <c r="J29" s="8" t="inlineStr">
        <is>
          <t>https://www.codechef.com/problems/TACHSTN</t>
        </is>
      </c>
      <c r="K29" s="7" t="inlineStr"/>
      <c r="L29" s="6" t="inlineStr">
        <is>
          <t>codechef</t>
        </is>
      </c>
    </row>
    <row r="30" ht="20" customHeight="1">
      <c r="A30" s="2" t="inlineStr">
        <is>
          <t>Unsolved</t>
        </is>
      </c>
      <c r="B30" s="3" t="inlineStr">
        <is>
          <t>KINGDOM 1 — THE KINGDOM OF ARRAYS</t>
        </is>
      </c>
      <c r="C30" s="3" t="inlineStr">
        <is>
          <t>Pattern 1.5 — Coordinate Compression</t>
        </is>
      </c>
      <c r="D30" s="2" t="inlineStr">
        <is>
          <t>ZCO15004</t>
        </is>
      </c>
      <c r="E30" s="3" t="inlineStr">
        <is>
          <t>Special Sums</t>
        </is>
      </c>
      <c r="F30" s="9" t="inlineStr">
        <is>
          <t>Medium</t>
        </is>
      </c>
      <c r="G30" s="3" t="inlineStr">
        <is>
          <t>coordinate compression, geometry</t>
        </is>
      </c>
      <c r="H30" s="2" t="n">
        <v>60</v>
      </c>
      <c r="I30" s="2" t="n">
        <v>55</v>
      </c>
      <c r="J30" s="5" t="inlineStr">
        <is>
          <t>https://www.codechef.com/problems/ZCO15004</t>
        </is>
      </c>
      <c r="K30" s="3" t="inlineStr"/>
      <c r="L30" s="2" t="inlineStr">
        <is>
          <t>codechef</t>
        </is>
      </c>
    </row>
    <row r="31" ht="20" customHeight="1">
      <c r="A31" s="6" t="inlineStr">
        <is>
          <t>Unsolved</t>
        </is>
      </c>
      <c r="B31" s="7" t="inlineStr">
        <is>
          <t>KINGDOM 1 — THE KINGDOM OF ARRAYS</t>
        </is>
      </c>
      <c r="C31" s="7" t="inlineStr">
        <is>
          <t>Pattern 1.5 — Coordinate Compression</t>
        </is>
      </c>
      <c r="D31" s="6" t="inlineStr">
        <is>
          <t>CHEFPRMS</t>
        </is>
      </c>
      <c r="E31" s="7" t="inlineStr">
        <is>
          <t>Chef and Semi-Primes</t>
        </is>
      </c>
      <c r="F31" s="4" t="inlineStr">
        <is>
          <t>Easy</t>
        </is>
      </c>
      <c r="G31" s="7" t="inlineStr">
        <is>
          <t>number mapping, compression</t>
        </is>
      </c>
      <c r="H31" s="6" t="n">
        <v>25</v>
      </c>
      <c r="I31" s="6" t="n">
        <v>20</v>
      </c>
      <c r="J31" s="8" t="inlineStr">
        <is>
          <t>https://www.codechef.com/problems/CHEFPRMS</t>
        </is>
      </c>
      <c r="K31" s="7" t="inlineStr"/>
      <c r="L31" s="6" t="inlineStr">
        <is>
          <t>codechef</t>
        </is>
      </c>
    </row>
    <row r="32" ht="20" customHeight="1">
      <c r="A32" s="2" t="inlineStr">
        <is>
          <t>Unsolved</t>
        </is>
      </c>
      <c r="B32" s="3" t="inlineStr">
        <is>
          <t>KINGDOM 1 — THE KINGDOM OF ARRAYS</t>
        </is>
      </c>
      <c r="C32" s="3" t="inlineStr">
        <is>
          <t>Pattern 1.5 — Coordinate Compression</t>
        </is>
      </c>
      <c r="D32" s="2" t="inlineStr">
        <is>
          <t>MOVIEWKN</t>
        </is>
      </c>
      <c r="E32" s="3" t="inlineStr">
        <is>
          <t>Movie Weekend</t>
        </is>
      </c>
      <c r="F32" s="4" t="inlineStr">
        <is>
          <t>Beginner</t>
        </is>
      </c>
      <c r="G32" s="3" t="inlineStr">
        <is>
          <t>rank mapping, arrays</t>
        </is>
      </c>
      <c r="H32" s="2" t="n">
        <v>15</v>
      </c>
      <c r="I32" s="2" t="n">
        <v>10</v>
      </c>
      <c r="J32" s="5" t="inlineStr">
        <is>
          <t>https://www.codechef.com/problems/MOVIEWKN</t>
        </is>
      </c>
      <c r="K32" s="3" t="inlineStr"/>
      <c r="L32" s="2" t="inlineStr">
        <is>
          <t>codechef</t>
        </is>
      </c>
    </row>
    <row r="33" ht="20" customHeight="1">
      <c r="A33" s="6" t="inlineStr">
        <is>
          <t>Unsolved</t>
        </is>
      </c>
      <c r="B33" s="7" t="inlineStr">
        <is>
          <t>KINGDOM 1 — THE KINGDOM OF ARRAYS</t>
        </is>
      </c>
      <c r="C33" s="7" t="inlineStr">
        <is>
          <t>Pattern 1.5 — Coordinate Compression</t>
        </is>
      </c>
      <c r="D33" s="6" t="inlineStr">
        <is>
          <t>ARRAYTRM</t>
        </is>
      </c>
      <c r="E33" s="7" t="inlineStr">
        <is>
          <t>Array Transform</t>
        </is>
      </c>
      <c r="F33" s="9" t="inlineStr">
        <is>
          <t>Medium</t>
        </is>
      </c>
      <c r="G33" s="7" t="inlineStr">
        <is>
          <t>compression, modular arithmetic</t>
        </is>
      </c>
      <c r="H33" s="6" t="n">
        <v>60</v>
      </c>
      <c r="I33" s="6" t="n">
        <v>55</v>
      </c>
      <c r="J33" s="8" t="inlineStr">
        <is>
          <t>https://www.codechef.com/problems/ARRAYTRM</t>
        </is>
      </c>
      <c r="K33" s="7" t="inlineStr"/>
      <c r="L33" s="6" t="inlineStr">
        <is>
          <t>codechef</t>
        </is>
      </c>
    </row>
    <row r="34" ht="20" customHeight="1">
      <c r="A34" s="2" t="inlineStr">
        <is>
          <t>Unsolved</t>
        </is>
      </c>
      <c r="B34" s="3" t="inlineStr">
        <is>
          <t>KINGDOM 1 — THE KINGDOM OF ARRAYS</t>
        </is>
      </c>
      <c r="C34" s="3" t="inlineStr">
        <is>
          <t>Pattern 1.6 — Constructive Arrays</t>
        </is>
      </c>
      <c r="D34" s="2" t="inlineStr">
        <is>
          <t>ALTARAY</t>
        </is>
      </c>
      <c r="E34" s="3" t="inlineStr">
        <is>
          <t>Alternating Subarray Prefix</t>
        </is>
      </c>
      <c r="F34" s="4" t="inlineStr">
        <is>
          <t>Easy</t>
        </is>
      </c>
      <c r="G34" s="3" t="inlineStr">
        <is>
          <t>constructive, DP/arrays</t>
        </is>
      </c>
      <c r="H34" s="2" t="n">
        <v>25</v>
      </c>
      <c r="I34" s="2" t="n">
        <v>20</v>
      </c>
      <c r="J34" s="5" t="inlineStr">
        <is>
          <t>https://www.codechef.com/problems/ALTARAY</t>
        </is>
      </c>
      <c r="K34" s="3" t="inlineStr"/>
      <c r="L34" s="2" t="inlineStr">
        <is>
          <t>codechef</t>
        </is>
      </c>
    </row>
    <row r="35" ht="20" customHeight="1">
      <c r="A35" s="6" t="inlineStr">
        <is>
          <t>Unsolved</t>
        </is>
      </c>
      <c r="B35" s="7" t="inlineStr">
        <is>
          <t>KINGDOM 1 — THE KINGDOM OF ARRAYS</t>
        </is>
      </c>
      <c r="C35" s="7" t="inlineStr">
        <is>
          <t>Pattern 1.6 — Constructive Arrays</t>
        </is>
      </c>
      <c r="D35" s="6" t="inlineStr">
        <is>
          <t>SUBINC</t>
        </is>
      </c>
      <c r="E35" s="7" t="inlineStr">
        <is>
          <t>Subarray Update</t>
        </is>
      </c>
      <c r="F35" s="9" t="inlineStr">
        <is>
          <t>Easy-Medium</t>
        </is>
      </c>
      <c r="G35" s="7" t="inlineStr">
        <is>
          <t>constructive, non-decreasing count</t>
        </is>
      </c>
      <c r="H35" s="6" t="n">
        <v>40</v>
      </c>
      <c r="I35" s="6" t="n">
        <v>35</v>
      </c>
      <c r="J35" s="8" t="inlineStr">
        <is>
          <t>https://www.codechef.com/problems/SUBINC</t>
        </is>
      </c>
      <c r="K35" s="7" t="inlineStr"/>
      <c r="L35" s="6" t="inlineStr">
        <is>
          <t>codechef</t>
        </is>
      </c>
    </row>
    <row r="36" ht="20" customHeight="1">
      <c r="A36" s="2" t="inlineStr">
        <is>
          <t>Unsolved</t>
        </is>
      </c>
      <c r="B36" s="3" t="inlineStr">
        <is>
          <t>KINGDOM 1 — THE KINGDOM OF ARRAYS</t>
        </is>
      </c>
      <c r="C36" s="3" t="inlineStr">
        <is>
          <t>Pattern 1.6 — Constructive Arrays</t>
        </is>
      </c>
      <c r="D36" s="2" t="inlineStr">
        <is>
          <t>CHEFSUM</t>
        </is>
      </c>
      <c r="E36" s="3" t="inlineStr">
        <is>
          <t>Little Chef and Sums</t>
        </is>
      </c>
      <c r="F36" s="4" t="inlineStr">
        <is>
          <t>Easy</t>
        </is>
      </c>
      <c r="G36" s="3" t="inlineStr">
        <is>
          <t>prefix/suffix min search</t>
        </is>
      </c>
      <c r="H36" s="2" t="n">
        <v>25</v>
      </c>
      <c r="I36" s="2" t="n">
        <v>20</v>
      </c>
      <c r="J36" s="5" t="inlineStr">
        <is>
          <t>https://www.codechef.com/problems/CHEFSUM</t>
        </is>
      </c>
      <c r="K36" s="3" t="inlineStr"/>
      <c r="L36" s="2" t="inlineStr">
        <is>
          <t>codechef</t>
        </is>
      </c>
    </row>
    <row r="37" ht="20" customHeight="1">
      <c r="A37" s="6" t="inlineStr">
        <is>
          <t>Unsolved</t>
        </is>
      </c>
      <c r="B37" s="7" t="inlineStr">
        <is>
          <t>KINGDOM 1 — THE KINGDOM OF ARRAYS</t>
        </is>
      </c>
      <c r="C37" s="7" t="inlineStr">
        <is>
          <t>Pattern 1.6 — Constructive Arrays</t>
        </is>
      </c>
      <c r="D37" s="6" t="inlineStr">
        <is>
          <t>CHEFRUN</t>
        </is>
      </c>
      <c r="E37" s="7" t="inlineStr">
        <is>
          <t>Chef and Secret Ingredient</t>
        </is>
      </c>
      <c r="F37" s="4" t="inlineStr">
        <is>
          <t>Beginner</t>
        </is>
      </c>
      <c r="G37" s="7" t="inlineStr">
        <is>
          <t>constructive traversal</t>
        </is>
      </c>
      <c r="H37" s="6" t="n">
        <v>15</v>
      </c>
      <c r="I37" s="6" t="n">
        <v>10</v>
      </c>
      <c r="J37" s="8" t="inlineStr">
        <is>
          <t>https://www.codechef.com/problems/CHEFRUN</t>
        </is>
      </c>
      <c r="K37" s="7" t="inlineStr"/>
      <c r="L37" s="6" t="inlineStr">
        <is>
          <t>codechef</t>
        </is>
      </c>
    </row>
    <row r="38" ht="20" customHeight="1">
      <c r="A38" s="2" t="inlineStr">
        <is>
          <t>Unsolved</t>
        </is>
      </c>
      <c r="B38" s="3" t="inlineStr">
        <is>
          <t>KINGDOM 1 — THE KINGDOM OF ARRAYS</t>
        </is>
      </c>
      <c r="C38" s="3" t="inlineStr">
        <is>
          <t>Pattern 1.6 — Constructive Arrays</t>
        </is>
      </c>
      <c r="D38" s="2" t="inlineStr">
        <is>
          <t>PERMUT2</t>
        </is>
      </c>
      <c r="E38" s="3" t="inlineStr">
        <is>
          <t>Ambiguous Permutations</t>
        </is>
      </c>
      <c r="F38" s="4" t="inlineStr">
        <is>
          <t>Easy</t>
        </is>
      </c>
      <c r="G38" s="3" t="inlineStr">
        <is>
          <t>permutation check, construction</t>
        </is>
      </c>
      <c r="H38" s="2" t="n">
        <v>25</v>
      </c>
      <c r="I38" s="2" t="n">
        <v>20</v>
      </c>
      <c r="J38" s="5" t="inlineStr">
        <is>
          <t>https://www.codechef.com/problems/PERMUT2</t>
        </is>
      </c>
      <c r="K38" s="3" t="inlineStr"/>
      <c r="L38" s="2" t="inlineStr">
        <is>
          <t>codechef</t>
        </is>
      </c>
    </row>
    <row r="39" ht="20" customHeight="1">
      <c r="A39" s="6" t="inlineStr">
        <is>
          <t>Unsolved</t>
        </is>
      </c>
      <c r="B39" s="7" t="inlineStr">
        <is>
          <t>KINGDOM 1 — THE KINGDOM OF ARRAYS</t>
        </is>
      </c>
      <c r="C39" s="7" t="inlineStr">
        <is>
          <t>Pattern 1.6 — Constructive Arrays</t>
        </is>
      </c>
      <c r="D39" s="6" t="inlineStr">
        <is>
          <t>COCONUT</t>
        </is>
      </c>
      <c r="E39" s="7" t="inlineStr">
        <is>
          <t>Chef and Water Car</t>
        </is>
      </c>
      <c r="F39" s="4" t="inlineStr">
        <is>
          <t>Beginner</t>
        </is>
      </c>
      <c r="G39" s="7" t="inlineStr">
        <is>
          <t>constructive math</t>
        </is>
      </c>
      <c r="H39" s="6" t="n">
        <v>15</v>
      </c>
      <c r="I39" s="6" t="n">
        <v>10</v>
      </c>
      <c r="J39" s="8" t="inlineStr">
        <is>
          <t>https://www.codechef.com/problems/COCONUT</t>
        </is>
      </c>
      <c r="K39" s="7" t="inlineStr"/>
      <c r="L39" s="6" t="inlineStr">
        <is>
          <t>codechef</t>
        </is>
      </c>
    </row>
    <row r="40" ht="20" customHeight="1">
      <c r="A40" s="2" t="inlineStr">
        <is>
          <t>Unsolved</t>
        </is>
      </c>
      <c r="B40" s="3" t="inlineStr">
        <is>
          <t>KINGDOM 1 — THE KINGDOM OF ARRAYS</t>
        </is>
      </c>
      <c r="C40" s="3" t="inlineStr">
        <is>
          <t>Pattern 1.6 — Constructive Arrays</t>
        </is>
      </c>
      <c r="D40" s="2" t="inlineStr">
        <is>
          <t>SUPW</t>
        </is>
      </c>
      <c r="E40" s="3" t="inlineStr">
        <is>
          <t>SUPW Workout</t>
        </is>
      </c>
      <c r="F40" s="9" t="inlineStr">
        <is>
          <t>Medium</t>
        </is>
      </c>
      <c r="G40" s="3" t="inlineStr">
        <is>
          <t>constructive array min cost</t>
        </is>
      </c>
      <c r="H40" s="2" t="n">
        <v>60</v>
      </c>
      <c r="I40" s="2" t="n">
        <v>55</v>
      </c>
      <c r="J40" s="5" t="inlineStr">
        <is>
          <t>https://www.codechef.com/problems/SUPW</t>
        </is>
      </c>
      <c r="K40" s="3" t="inlineStr"/>
      <c r="L40" s="2" t="inlineStr">
        <is>
          <t>codechef</t>
        </is>
      </c>
    </row>
    <row r="41" ht="20" customHeight="1">
      <c r="A41" s="6" t="inlineStr">
        <is>
          <t>Unsolved</t>
        </is>
      </c>
      <c r="B41" s="7" t="inlineStr">
        <is>
          <t>KINGDOM 1 — THE KINGDOM OF ARRAYS</t>
        </is>
      </c>
      <c r="C41" s="7" t="inlineStr">
        <is>
          <t>Pattern 1.6 — Constructive Arrays</t>
        </is>
      </c>
      <c r="D41" s="6" t="inlineStr">
        <is>
          <t>IPLTRC</t>
        </is>
      </c>
      <c r="E41" s="7" t="inlineStr">
        <is>
          <t>IPL Ticket Rush</t>
        </is>
      </c>
      <c r="F41" s="4" t="inlineStr">
        <is>
          <t>Beginner</t>
        </is>
      </c>
      <c r="G41" s="7" t="inlineStr">
        <is>
          <t>arrays, simple difference</t>
        </is>
      </c>
      <c r="H41" s="6" t="n">
        <v>15</v>
      </c>
      <c r="I41" s="6" t="n">
        <v>10</v>
      </c>
      <c r="J41" s="8" t="inlineStr">
        <is>
          <t>https://www.codechef.com/problems/IPLTRC</t>
        </is>
      </c>
      <c r="K41" s="7" t="inlineStr"/>
      <c r="L41" s="6" t="inlineStr">
        <is>
          <t>codechef</t>
        </is>
      </c>
    </row>
    <row r="42" ht="20" customHeight="1">
      <c r="A42" s="2" t="inlineStr">
        <is>
          <t>Unsolved</t>
        </is>
      </c>
      <c r="B42" s="3" t="inlineStr">
        <is>
          <t>KINGDOM 2 — THE KINGDOM OF PREFIX SUM &amp; DIFFERENCE ARRAY</t>
        </is>
      </c>
      <c r="C42" s="3" t="inlineStr">
        <is>
          <t>Pattern 2.1 — 1D Prefix Sum</t>
        </is>
      </c>
      <c r="D42" s="2" t="inlineStr">
        <is>
          <t>GCDQ</t>
        </is>
      </c>
      <c r="E42" s="3" t="inlineStr">
        <is>
          <t>GCD Queries</t>
        </is>
      </c>
      <c r="F42" s="9" t="inlineStr">
        <is>
          <t>Medium</t>
        </is>
      </c>
      <c r="G42" s="3" t="inlineStr">
        <is>
          <t>prefix sum, gcd</t>
        </is>
      </c>
      <c r="H42" s="2" t="n">
        <v>60</v>
      </c>
      <c r="I42" s="2" t="n">
        <v>55</v>
      </c>
      <c r="J42" s="5" t="inlineStr">
        <is>
          <t>https://www.codechef.com/problems/GCDQ</t>
        </is>
      </c>
      <c r="K42" s="3" t="inlineStr"/>
      <c r="L42" s="2" t="inlineStr">
        <is>
          <t>codechef</t>
        </is>
      </c>
    </row>
    <row r="43" ht="20" customHeight="1">
      <c r="A43" s="6" t="inlineStr">
        <is>
          <t>Unsolved</t>
        </is>
      </c>
      <c r="B43" s="7" t="inlineStr">
        <is>
          <t>KINGDOM 2 — THE KINGDOM OF PREFIX SUM &amp; DIFFERENCE ARRAY</t>
        </is>
      </c>
      <c r="C43" s="7" t="inlineStr">
        <is>
          <t>Pattern 2.1 — 1D Prefix Sum</t>
        </is>
      </c>
      <c r="D43" s="6" t="inlineStr">
        <is>
          <t>CSUB</t>
        </is>
      </c>
      <c r="E43" s="7" t="inlineStr">
        <is>
          <t>Count Substrings</t>
        </is>
      </c>
      <c r="F43" s="4" t="inlineStr">
        <is>
          <t>Easy</t>
        </is>
      </c>
      <c r="G43" s="7" t="inlineStr">
        <is>
          <t>prefix sum, combinatorics</t>
        </is>
      </c>
      <c r="H43" s="6" t="n">
        <v>25</v>
      </c>
      <c r="I43" s="6" t="n">
        <v>20</v>
      </c>
      <c r="J43" s="8" t="inlineStr">
        <is>
          <t>https://www.codechef.com/problems/CSUB</t>
        </is>
      </c>
      <c r="K43" s="7" t="inlineStr"/>
      <c r="L43" s="6" t="inlineStr">
        <is>
          <t>codechef</t>
        </is>
      </c>
    </row>
    <row r="44" ht="20" customHeight="1">
      <c r="A44" s="2" t="inlineStr">
        <is>
          <t>Unsolved</t>
        </is>
      </c>
      <c r="B44" s="3" t="inlineStr">
        <is>
          <t>KINGDOM 2 — THE KINGDOM OF PREFIX SUM &amp; DIFFERENCE ARRAY</t>
        </is>
      </c>
      <c r="C44" s="3" t="inlineStr">
        <is>
          <t>Pattern 2.1 — 1D Prefix Sum</t>
        </is>
      </c>
      <c r="D44" s="2" t="inlineStr">
        <is>
          <t>ANUWTP</t>
        </is>
      </c>
      <c r="E44" s="3" t="inlineStr">
        <is>
          <t>Anu and Trees</t>
        </is>
      </c>
      <c r="F44" s="9" t="inlineStr">
        <is>
          <t>Easy-Medium</t>
        </is>
      </c>
      <c r="G44" s="3" t="inlineStr">
        <is>
          <t>prefix sum, range queries</t>
        </is>
      </c>
      <c r="H44" s="2" t="n">
        <v>40</v>
      </c>
      <c r="I44" s="2" t="n">
        <v>35</v>
      </c>
      <c r="J44" s="5" t="inlineStr">
        <is>
          <t>https://www.codechef.com/problems/ANUWTP</t>
        </is>
      </c>
      <c r="K44" s="3" t="inlineStr"/>
      <c r="L44" s="2" t="inlineStr">
        <is>
          <t>codechef</t>
        </is>
      </c>
    </row>
    <row r="45" ht="20" customHeight="1">
      <c r="A45" s="6" t="inlineStr">
        <is>
          <t>Unsolved</t>
        </is>
      </c>
      <c r="B45" s="7" t="inlineStr">
        <is>
          <t>KINGDOM 2 — THE KINGDOM OF PREFIX SUM &amp; DIFFERENCE ARRAY</t>
        </is>
      </c>
      <c r="C45" s="7" t="inlineStr">
        <is>
          <t>Pattern 2.1 — 1D Prefix Sum</t>
        </is>
      </c>
      <c r="D45" s="6" t="inlineStr">
        <is>
          <t>CHEFDET</t>
        </is>
      </c>
      <c r="E45" s="7" t="inlineStr">
        <is>
          <t>Chef and Detective</t>
        </is>
      </c>
      <c r="F45" s="4" t="inlineStr">
        <is>
          <t>Easy</t>
        </is>
      </c>
      <c r="G45" s="7" t="inlineStr">
        <is>
          <t>prefix sum, tree parent count</t>
        </is>
      </c>
      <c r="H45" s="6" t="n">
        <v>25</v>
      </c>
      <c r="I45" s="6" t="n">
        <v>20</v>
      </c>
      <c r="J45" s="8" t="inlineStr">
        <is>
          <t>https://www.codechef.com/problems/CHEFDET</t>
        </is>
      </c>
      <c r="K45" s="7" t="inlineStr"/>
      <c r="L45" s="6" t="inlineStr">
        <is>
          <t>codechef</t>
        </is>
      </c>
    </row>
    <row r="46" ht="20" customHeight="1">
      <c r="A46" s="2" t="inlineStr">
        <is>
          <t>Unsolved</t>
        </is>
      </c>
      <c r="B46" s="3" t="inlineStr">
        <is>
          <t>KINGDOM 2 — THE KINGDOM OF PREFIX SUM &amp; DIFFERENCE ARRAY</t>
        </is>
      </c>
      <c r="C46" s="3" t="inlineStr">
        <is>
          <t>Pattern 2.1 — 1D Prefix Sum</t>
        </is>
      </c>
      <c r="D46" s="2" t="inlineStr">
        <is>
          <t>COEX</t>
        </is>
      </c>
      <c r="E46" s="3" t="inlineStr">
        <is>
          <t>Count Extensions</t>
        </is>
      </c>
      <c r="F46" s="9" t="inlineStr">
        <is>
          <t>Easy-Medium</t>
        </is>
      </c>
      <c r="G46" s="3" t="inlineStr">
        <is>
          <t>1d prefix sum</t>
        </is>
      </c>
      <c r="H46" s="2" t="n">
        <v>40</v>
      </c>
      <c r="I46" s="2" t="n">
        <v>35</v>
      </c>
      <c r="J46" s="5" t="inlineStr">
        <is>
          <t>https://www.codechef.com/problems/COEX</t>
        </is>
      </c>
      <c r="K46" s="3" t="inlineStr"/>
      <c r="L46" s="2" t="inlineStr">
        <is>
          <t>codechef</t>
        </is>
      </c>
    </row>
    <row r="47" ht="20" customHeight="1">
      <c r="A47" s="6" t="inlineStr">
        <is>
          <t>Unsolved</t>
        </is>
      </c>
      <c r="B47" s="7" t="inlineStr">
        <is>
          <t>KINGDOM 2 — THE KINGDOM OF PREFIX SUM &amp; DIFFERENCE ARRAY</t>
        </is>
      </c>
      <c r="C47" s="7" t="inlineStr">
        <is>
          <t>Pattern 2.1 — 1D Prefix Sum</t>
        </is>
      </c>
      <c r="D47" s="6" t="inlineStr">
        <is>
          <t>PRESUM1</t>
        </is>
      </c>
      <c r="E47" s="7" t="inlineStr">
        <is>
          <t>Static Range Sum Query</t>
        </is>
      </c>
      <c r="F47" s="4" t="inlineStr">
        <is>
          <t>Easy</t>
        </is>
      </c>
      <c r="G47" s="7" t="inlineStr">
        <is>
          <t>1d prefix sum</t>
        </is>
      </c>
      <c r="H47" s="6" t="n">
        <v>25</v>
      </c>
      <c r="I47" s="6" t="n">
        <v>20</v>
      </c>
      <c r="J47" s="8" t="inlineStr">
        <is>
          <t>https://www.codechef.com/problems/PRESUM1</t>
        </is>
      </c>
      <c r="K47" s="7" t="inlineStr"/>
      <c r="L47" s="6" t="inlineStr">
        <is>
          <t>codechef</t>
        </is>
      </c>
    </row>
    <row r="48" ht="20" customHeight="1">
      <c r="A48" s="2" t="inlineStr">
        <is>
          <t>Unsolved</t>
        </is>
      </c>
      <c r="B48" s="3" t="inlineStr">
        <is>
          <t>KINGDOM 2 — THE KINGDOM OF PREFIX SUM &amp; DIFFERENCE ARRAY</t>
        </is>
      </c>
      <c r="C48" s="3" t="inlineStr">
        <is>
          <t>Pattern 2.1 — 1D Prefix Sum</t>
        </is>
      </c>
      <c r="D48" s="2" t="inlineStr">
        <is>
          <t>PRESUM2</t>
        </is>
      </c>
      <c r="E48" s="3" t="inlineStr">
        <is>
          <t>Subarray Sum Equalling K</t>
        </is>
      </c>
      <c r="F48" s="9" t="inlineStr">
        <is>
          <t>Medium</t>
        </is>
      </c>
      <c r="G48" s="3" t="inlineStr">
        <is>
          <t>prefix sum, hash map</t>
        </is>
      </c>
      <c r="H48" s="2" t="n">
        <v>60</v>
      </c>
      <c r="I48" s="2" t="n">
        <v>55</v>
      </c>
      <c r="J48" s="5" t="inlineStr">
        <is>
          <t>https://www.codechef.com/problems/PRESUM2</t>
        </is>
      </c>
      <c r="K48" s="3" t="inlineStr"/>
      <c r="L48" s="2" t="inlineStr">
        <is>
          <t>codechef</t>
        </is>
      </c>
    </row>
    <row r="49" ht="20" customHeight="1">
      <c r="A49" s="6" t="inlineStr">
        <is>
          <t>Unsolved</t>
        </is>
      </c>
      <c r="B49" s="7" t="inlineStr">
        <is>
          <t>KINGDOM 2 — THE KINGDOM OF PREFIX SUM &amp; DIFFERENCE ARRAY</t>
        </is>
      </c>
      <c r="C49" s="7" t="inlineStr">
        <is>
          <t>Pattern 2.1 — 1D Prefix Sum</t>
        </is>
      </c>
      <c r="D49" s="6" t="inlineStr">
        <is>
          <t>PRESUM3</t>
        </is>
      </c>
      <c r="E49" s="7" t="inlineStr">
        <is>
          <t>Subarray Divisible by K</t>
        </is>
      </c>
      <c r="F49" s="9" t="inlineStr">
        <is>
          <t>Medium</t>
        </is>
      </c>
      <c r="G49" s="7" t="inlineStr">
        <is>
          <t>prefix sum, remainder</t>
        </is>
      </c>
      <c r="H49" s="6" t="n">
        <v>60</v>
      </c>
      <c r="I49" s="6" t="n">
        <v>55</v>
      </c>
      <c r="J49" s="8" t="inlineStr">
        <is>
          <t>https://www.codechef.com/problems/PRESUM3</t>
        </is>
      </c>
      <c r="K49" s="7" t="inlineStr"/>
      <c r="L49" s="6" t="inlineStr">
        <is>
          <t>codechef</t>
        </is>
      </c>
    </row>
    <row r="50" ht="20" customHeight="1">
      <c r="A50" s="2" t="inlineStr">
        <is>
          <t>Unsolved</t>
        </is>
      </c>
      <c r="B50" s="3" t="inlineStr">
        <is>
          <t>KINGDOM 2 — THE KINGDOM OF PREFIX SUM &amp; DIFFERENCE ARRAY</t>
        </is>
      </c>
      <c r="C50" s="3" t="inlineStr">
        <is>
          <t>Pattern 2.2 — Prefix Frequency</t>
        </is>
      </c>
      <c r="D50" s="2" t="inlineStr">
        <is>
          <t>SEGM01</t>
        </is>
      </c>
      <c r="E50" s="3" t="inlineStr">
        <is>
          <t>Bear and Segment 01</t>
        </is>
      </c>
      <c r="F50" s="4" t="inlineStr">
        <is>
          <t>Easy</t>
        </is>
      </c>
      <c r="G50" s="3" t="inlineStr">
        <is>
          <t>prefix frequency, validation</t>
        </is>
      </c>
      <c r="H50" s="2" t="n">
        <v>25</v>
      </c>
      <c r="I50" s="2" t="n">
        <v>20</v>
      </c>
      <c r="J50" s="5" t="inlineStr">
        <is>
          <t>https://www.codechef.com/problems/SEGM01</t>
        </is>
      </c>
      <c r="K50" s="3" t="inlineStr"/>
      <c r="L50" s="2" t="inlineStr">
        <is>
          <t>codechef</t>
        </is>
      </c>
    </row>
    <row r="51" ht="20" customHeight="1">
      <c r="A51" s="6" t="inlineStr">
        <is>
          <t>Unsolved</t>
        </is>
      </c>
      <c r="B51" s="7" t="inlineStr">
        <is>
          <t>KINGDOM 2 — THE KINGDOM OF PREFIX SUM &amp; DIFFERENCE ARRAY</t>
        </is>
      </c>
      <c r="C51" s="7" t="inlineStr">
        <is>
          <t>Pattern 2.2 — Prefix Frequency</t>
        </is>
      </c>
      <c r="D51" s="6" t="inlineStr">
        <is>
          <t>FRGTNL</t>
        </is>
      </c>
      <c r="E51" s="7" t="inlineStr">
        <is>
          <t>Forgotten Language</t>
        </is>
      </c>
      <c r="F51" s="4" t="inlineStr">
        <is>
          <t>Easy</t>
        </is>
      </c>
      <c r="G51" s="7" t="inlineStr">
        <is>
          <t>prefix frequency, set lookup</t>
        </is>
      </c>
      <c r="H51" s="6" t="n">
        <v>25</v>
      </c>
      <c r="I51" s="6" t="n">
        <v>20</v>
      </c>
      <c r="J51" s="8" t="inlineStr">
        <is>
          <t>https://www.codechef.com/problems/FRGTNL</t>
        </is>
      </c>
      <c r="K51" s="7" t="inlineStr"/>
      <c r="L51" s="6" t="inlineStr">
        <is>
          <t>codechef</t>
        </is>
      </c>
    </row>
    <row r="52" ht="20" customHeight="1">
      <c r="A52" s="2" t="inlineStr">
        <is>
          <t>Unsolved</t>
        </is>
      </c>
      <c r="B52" s="3" t="inlineStr">
        <is>
          <t>KINGDOM 2 — THE KINGDOM OF PREFIX SUM &amp; DIFFERENCE ARRAY</t>
        </is>
      </c>
      <c r="C52" s="3" t="inlineStr">
        <is>
          <t>Pattern 2.2 — Prefix Frequency</t>
        </is>
      </c>
      <c r="D52" s="2" t="inlineStr">
        <is>
          <t>BLKWHT</t>
        </is>
      </c>
      <c r="E52" s="3" t="inlineStr">
        <is>
          <t>Black and White Cells</t>
        </is>
      </c>
      <c r="F52" s="9" t="inlineStr">
        <is>
          <t>Easy-Medium</t>
        </is>
      </c>
      <c r="G52" s="3" t="inlineStr">
        <is>
          <t>prefix frequency count</t>
        </is>
      </c>
      <c r="H52" s="2" t="n">
        <v>40</v>
      </c>
      <c r="I52" s="2" t="n">
        <v>35</v>
      </c>
      <c r="J52" s="5" t="inlineStr">
        <is>
          <t>https://www.codechef.com/problems/BLKWHT</t>
        </is>
      </c>
      <c r="K52" s="3" t="inlineStr"/>
      <c r="L52" s="2" t="inlineStr">
        <is>
          <t>codechef</t>
        </is>
      </c>
    </row>
    <row r="53" ht="20" customHeight="1">
      <c r="A53" s="6" t="inlineStr">
        <is>
          <t>Unsolved</t>
        </is>
      </c>
      <c r="B53" s="7" t="inlineStr">
        <is>
          <t>KINGDOM 2 — THE KINGDOM OF PREFIX SUM &amp; DIFFERENCE ARRAY</t>
        </is>
      </c>
      <c r="C53" s="7" t="inlineStr">
        <is>
          <t>Pattern 2.2 — Prefix Frequency</t>
        </is>
      </c>
      <c r="D53" s="6" t="inlineStr">
        <is>
          <t>BRLADD</t>
        </is>
      </c>
      <c r="E53" s="7" t="inlineStr">
        <is>
          <t>Bear and Ladder</t>
        </is>
      </c>
      <c r="F53" s="4" t="inlineStr">
        <is>
          <t>Beginner</t>
        </is>
      </c>
      <c r="G53" s="7" t="inlineStr">
        <is>
          <t>prefix positioning</t>
        </is>
      </c>
      <c r="H53" s="6" t="n">
        <v>15</v>
      </c>
      <c r="I53" s="6" t="n">
        <v>10</v>
      </c>
      <c r="J53" s="8" t="inlineStr">
        <is>
          <t>https://www.codechef.com/problems/BRLADD</t>
        </is>
      </c>
      <c r="K53" s="7" t="inlineStr"/>
      <c r="L53" s="6" t="inlineStr">
        <is>
          <t>codechef</t>
        </is>
      </c>
    </row>
    <row r="54" ht="20" customHeight="1">
      <c r="A54" s="2" t="inlineStr">
        <is>
          <t>Unsolved</t>
        </is>
      </c>
      <c r="B54" s="3" t="inlineStr">
        <is>
          <t>KINGDOM 2 — THE KINGDOM OF PREFIX SUM &amp; DIFFERENCE ARRAY</t>
        </is>
      </c>
      <c r="C54" s="3" t="inlineStr">
        <is>
          <t>Pattern 2.2 — Prefix Frequency</t>
        </is>
      </c>
      <c r="D54" s="2" t="inlineStr">
        <is>
          <t>PREFREQ1</t>
        </is>
      </c>
      <c r="E54" s="3" t="inlineStr">
        <is>
          <t>Character Count in Range</t>
        </is>
      </c>
      <c r="F54" s="4" t="inlineStr">
        <is>
          <t>Easy</t>
        </is>
      </c>
      <c r="G54" s="3" t="inlineStr">
        <is>
          <t>prefix frequency</t>
        </is>
      </c>
      <c r="H54" s="2" t="n">
        <v>25</v>
      </c>
      <c r="I54" s="2" t="n">
        <v>20</v>
      </c>
      <c r="J54" s="5" t="inlineStr">
        <is>
          <t>https://www.codechef.com/problems/PREFREQ1</t>
        </is>
      </c>
      <c r="K54" s="3" t="inlineStr"/>
      <c r="L54" s="2" t="inlineStr">
        <is>
          <t>codechef</t>
        </is>
      </c>
    </row>
    <row r="55" ht="20" customHeight="1">
      <c r="A55" s="6" t="inlineStr">
        <is>
          <t>Unsolved</t>
        </is>
      </c>
      <c r="B55" s="7" t="inlineStr">
        <is>
          <t>KINGDOM 2 — THE KINGDOM OF PREFIX SUM &amp; DIFFERENCE ARRAY</t>
        </is>
      </c>
      <c r="C55" s="7" t="inlineStr">
        <is>
          <t>Pattern 2.2 — Prefix Frequency</t>
        </is>
      </c>
      <c r="D55" s="6" t="inlineStr">
        <is>
          <t>PREFREQ2</t>
        </is>
      </c>
      <c r="E55" s="7" t="inlineStr">
        <is>
          <t>Palindromic Substring Count</t>
        </is>
      </c>
      <c r="F55" s="9" t="inlineStr">
        <is>
          <t>Medium</t>
        </is>
      </c>
      <c r="G55" s="7" t="inlineStr">
        <is>
          <t>prefix frequency, XOR</t>
        </is>
      </c>
      <c r="H55" s="6" t="n">
        <v>60</v>
      </c>
      <c r="I55" s="6" t="n">
        <v>55</v>
      </c>
      <c r="J55" s="8" t="inlineStr">
        <is>
          <t>https://www.codechef.com/problems/PREFREQ2</t>
        </is>
      </c>
      <c r="K55" s="7" t="inlineStr"/>
      <c r="L55" s="6" t="inlineStr">
        <is>
          <t>codechef</t>
        </is>
      </c>
    </row>
    <row r="56" ht="20" customHeight="1">
      <c r="A56" s="2" t="inlineStr">
        <is>
          <t>Unsolved</t>
        </is>
      </c>
      <c r="B56" s="3" t="inlineStr">
        <is>
          <t>KINGDOM 2 — THE KINGDOM OF PREFIX SUM &amp; DIFFERENCE ARRAY</t>
        </is>
      </c>
      <c r="C56" s="3" t="inlineStr">
        <is>
          <t>Pattern 2.2 — Prefix Frequency</t>
        </is>
      </c>
      <c r="D56" s="2" t="inlineStr">
        <is>
          <t>PREFREQ3</t>
        </is>
      </c>
      <c r="E56" s="3" t="inlineStr">
        <is>
          <t>Balance Parity Range</t>
        </is>
      </c>
      <c r="F56" s="9" t="inlineStr">
        <is>
          <t>Medium</t>
        </is>
      </c>
      <c r="G56" s="3" t="inlineStr">
        <is>
          <t>prefix frequency</t>
        </is>
      </c>
      <c r="H56" s="2" t="n">
        <v>60</v>
      </c>
      <c r="I56" s="2" t="n">
        <v>55</v>
      </c>
      <c r="J56" s="5" t="inlineStr">
        <is>
          <t>https://www.codechef.com/problems/PREFREQ3</t>
        </is>
      </c>
      <c r="K56" s="3" t="inlineStr"/>
      <c r="L56" s="2" t="inlineStr">
        <is>
          <t>codechef</t>
        </is>
      </c>
    </row>
    <row r="57" ht="20" customHeight="1">
      <c r="A57" s="6" t="inlineStr">
        <is>
          <t>Unsolved</t>
        </is>
      </c>
      <c r="B57" s="7" t="inlineStr">
        <is>
          <t>KINGDOM 2 — THE KINGDOM OF PREFIX SUM &amp; DIFFERENCE ARRAY</t>
        </is>
      </c>
      <c r="C57" s="7" t="inlineStr">
        <is>
          <t>Pattern 2.3 — Difference Array</t>
        </is>
      </c>
      <c r="D57" s="6" t="inlineStr">
        <is>
          <t>MANYSUMS</t>
        </is>
      </c>
      <c r="E57" s="7" t="inlineStr">
        <is>
          <t>Many Sums</t>
        </is>
      </c>
      <c r="F57" s="4" t="inlineStr">
        <is>
          <t>Easy</t>
        </is>
      </c>
      <c r="G57" s="7" t="inlineStr">
        <is>
          <t>difference array, range coverage</t>
        </is>
      </c>
      <c r="H57" s="6" t="n">
        <v>25</v>
      </c>
      <c r="I57" s="6" t="n">
        <v>20</v>
      </c>
      <c r="J57" s="8" t="inlineStr">
        <is>
          <t>https://www.codechef.com/problems/MANYSUMS</t>
        </is>
      </c>
      <c r="K57" s="7" t="inlineStr"/>
      <c r="L57" s="6" t="inlineStr">
        <is>
          <t>codechef</t>
        </is>
      </c>
    </row>
    <row r="58" ht="20" customHeight="1">
      <c r="A58" s="2" t="inlineStr">
        <is>
          <t>Unsolved</t>
        </is>
      </c>
      <c r="B58" s="3" t="inlineStr">
        <is>
          <t>KINGDOM 2 — THE KINGDOM OF PREFIX SUM &amp; DIFFERENCE ARRAY</t>
        </is>
      </c>
      <c r="C58" s="3" t="inlineStr">
        <is>
          <t>Pattern 2.3 — Difference Array</t>
        </is>
      </c>
      <c r="D58" s="2" t="inlineStr">
        <is>
          <t>STKSTR</t>
        </is>
      </c>
      <c r="E58" s="3" t="inlineStr">
        <is>
          <t>Stock Market Spans</t>
        </is>
      </c>
      <c r="F58" s="9" t="inlineStr">
        <is>
          <t>Medium</t>
        </is>
      </c>
      <c r="G58" s="3" t="inlineStr">
        <is>
          <t>difference array, range update</t>
        </is>
      </c>
      <c r="H58" s="2" t="n">
        <v>60</v>
      </c>
      <c r="I58" s="2" t="n">
        <v>55</v>
      </c>
      <c r="J58" s="5" t="inlineStr">
        <is>
          <t>https://www.codechef.com/problems/STKSTR</t>
        </is>
      </c>
      <c r="K58" s="3" t="inlineStr"/>
      <c r="L58" s="2" t="inlineStr">
        <is>
          <t>codechef</t>
        </is>
      </c>
    </row>
    <row r="59" ht="20" customHeight="1">
      <c r="A59" s="6" t="inlineStr">
        <is>
          <t>Unsolved</t>
        </is>
      </c>
      <c r="B59" s="7" t="inlineStr">
        <is>
          <t>KINGDOM 2 — THE KINGDOM OF PREFIX SUM &amp; DIFFERENCE ARRAY</t>
        </is>
      </c>
      <c r="C59" s="7" t="inlineStr">
        <is>
          <t>Pattern 2.3 — Difference Array</t>
        </is>
      </c>
      <c r="D59" s="6" t="inlineStr">
        <is>
          <t>SHUFFLE</t>
        </is>
      </c>
      <c r="E59" s="7" t="inlineStr">
        <is>
          <t>Chef and Shuffle</t>
        </is>
      </c>
      <c r="F59" s="9" t="inlineStr">
        <is>
          <t>Easy-Medium</t>
        </is>
      </c>
      <c r="G59" s="7" t="inlineStr">
        <is>
          <t>difference array</t>
        </is>
      </c>
      <c r="H59" s="6" t="n">
        <v>40</v>
      </c>
      <c r="I59" s="6" t="n">
        <v>35</v>
      </c>
      <c r="J59" s="8" t="inlineStr">
        <is>
          <t>https://www.codechef.com/problems/SHUFFLE</t>
        </is>
      </c>
      <c r="K59" s="7" t="inlineStr"/>
      <c r="L59" s="6" t="inlineStr">
        <is>
          <t>codechef</t>
        </is>
      </c>
    </row>
    <row r="60" ht="20" customHeight="1">
      <c r="A60" s="2" t="inlineStr">
        <is>
          <t>Unsolved</t>
        </is>
      </c>
      <c r="B60" s="3" t="inlineStr">
        <is>
          <t>KINGDOM 2 — THE KINGDOM OF PREFIX SUM &amp; DIFFERENCE ARRAY</t>
        </is>
      </c>
      <c r="C60" s="3" t="inlineStr">
        <is>
          <t>Pattern 2.3 — Difference Array</t>
        </is>
      </c>
      <c r="D60" s="2" t="inlineStr">
        <is>
          <t>VACCINE1</t>
        </is>
      </c>
      <c r="E60" s="3" t="inlineStr">
        <is>
          <t>Vaccine Distribution</t>
        </is>
      </c>
      <c r="F60" s="4" t="inlineStr">
        <is>
          <t>Beginner</t>
        </is>
      </c>
      <c r="G60" s="3" t="inlineStr">
        <is>
          <t>difference calculation</t>
        </is>
      </c>
      <c r="H60" s="2" t="n">
        <v>15</v>
      </c>
      <c r="I60" s="2" t="n">
        <v>10</v>
      </c>
      <c r="J60" s="5" t="inlineStr">
        <is>
          <t>https://www.codechef.com/problems/VACCINE1</t>
        </is>
      </c>
      <c r="K60" s="3" t="inlineStr"/>
      <c r="L60" s="2" t="inlineStr">
        <is>
          <t>codechef</t>
        </is>
      </c>
    </row>
    <row r="61" ht="20" customHeight="1">
      <c r="A61" s="6" t="inlineStr">
        <is>
          <t>Unsolved</t>
        </is>
      </c>
      <c r="B61" s="7" t="inlineStr">
        <is>
          <t>KINGDOM 2 — THE KINGDOM OF PREFIX SUM &amp; DIFFERENCE ARRAY</t>
        </is>
      </c>
      <c r="C61" s="7" t="inlineStr">
        <is>
          <t>Pattern 2.3 — Difference Array</t>
        </is>
      </c>
      <c r="D61" s="6" t="inlineStr">
        <is>
          <t>DIFFARR1</t>
        </is>
      </c>
      <c r="E61" s="7" t="inlineStr">
        <is>
          <t>Range Add Operations</t>
        </is>
      </c>
      <c r="F61" s="9" t="inlineStr">
        <is>
          <t>Medium</t>
        </is>
      </c>
      <c r="G61" s="7" t="inlineStr">
        <is>
          <t>difference array</t>
        </is>
      </c>
      <c r="H61" s="6" t="n">
        <v>60</v>
      </c>
      <c r="I61" s="6" t="n">
        <v>55</v>
      </c>
      <c r="J61" s="8" t="inlineStr">
        <is>
          <t>https://www.codechef.com/problems/DIFFARR1</t>
        </is>
      </c>
      <c r="K61" s="7" t="inlineStr"/>
      <c r="L61" s="6" t="inlineStr">
        <is>
          <t>codechef</t>
        </is>
      </c>
    </row>
    <row r="62" ht="20" customHeight="1">
      <c r="A62" s="2" t="inlineStr">
        <is>
          <t>Unsolved</t>
        </is>
      </c>
      <c r="B62" s="3" t="inlineStr">
        <is>
          <t>KINGDOM 2 — THE KINGDOM OF PREFIX SUM &amp; DIFFERENCE ARRAY</t>
        </is>
      </c>
      <c r="C62" s="3" t="inlineStr">
        <is>
          <t>Pattern 2.3 — Difference Array</t>
        </is>
      </c>
      <c r="D62" s="2" t="inlineStr">
        <is>
          <t>DIFFARR2</t>
        </is>
      </c>
      <c r="E62" s="3" t="inlineStr">
        <is>
          <t>Multiple Update Queries</t>
        </is>
      </c>
      <c r="F62" s="10" t="inlineStr">
        <is>
          <t>Medium-Hard</t>
        </is>
      </c>
      <c r="G62" s="3" t="inlineStr">
        <is>
          <t>2D difference array</t>
        </is>
      </c>
      <c r="H62" s="2" t="n">
        <v>90</v>
      </c>
      <c r="I62" s="2" t="n">
        <v>80</v>
      </c>
      <c r="J62" s="5" t="inlineStr">
        <is>
          <t>https://www.codechef.com/problems/DIFFARR2</t>
        </is>
      </c>
      <c r="K62" s="3" t="inlineStr"/>
      <c r="L62" s="2" t="inlineStr">
        <is>
          <t>codechef</t>
        </is>
      </c>
    </row>
    <row r="63" ht="20" customHeight="1">
      <c r="A63" s="6" t="inlineStr">
        <is>
          <t>Unsolved</t>
        </is>
      </c>
      <c r="B63" s="7" t="inlineStr">
        <is>
          <t>KINGDOM 2 — THE KINGDOM OF PREFIX SUM &amp; DIFFERENCE ARRAY</t>
        </is>
      </c>
      <c r="C63" s="7" t="inlineStr">
        <is>
          <t>Pattern 2.3 — Difference Array</t>
        </is>
      </c>
      <c r="D63" s="6" t="inlineStr">
        <is>
          <t>DIFFARR3</t>
        </is>
      </c>
      <c r="E63" s="7" t="inlineStr">
        <is>
          <t>Interval Cover Counts</t>
        </is>
      </c>
      <c r="F63" s="9" t="inlineStr">
        <is>
          <t>Medium</t>
        </is>
      </c>
      <c r="G63" s="7" t="inlineStr">
        <is>
          <t>difference array</t>
        </is>
      </c>
      <c r="H63" s="6" t="n">
        <v>60</v>
      </c>
      <c r="I63" s="6" t="n">
        <v>55</v>
      </c>
      <c r="J63" s="8" t="inlineStr">
        <is>
          <t>https://www.codechef.com/problems/DIFFARR3</t>
        </is>
      </c>
      <c r="K63" s="7" t="inlineStr"/>
      <c r="L63" s="6" t="inlineStr">
        <is>
          <t>codechef</t>
        </is>
      </c>
    </row>
    <row r="64" ht="20" customHeight="1">
      <c r="A64" s="2" t="inlineStr">
        <is>
          <t>Unsolved</t>
        </is>
      </c>
      <c r="B64" s="3" t="inlineStr">
        <is>
          <t>KINGDOM 2 — THE KINGDOM OF PREFIX SUM &amp; DIFFERENCE ARRAY</t>
        </is>
      </c>
      <c r="C64" s="3" t="inlineStr">
        <is>
          <t>Pattern 2.4 — Prefix XOR</t>
        </is>
      </c>
      <c r="D64" s="2" t="inlineStr">
        <is>
          <t>CHEFXOR</t>
        </is>
      </c>
      <c r="E64" s="3" t="inlineStr">
        <is>
          <t>Chef and XOR Subarrays</t>
        </is>
      </c>
      <c r="F64" s="9" t="inlineStr">
        <is>
          <t>Medium</t>
        </is>
      </c>
      <c r="G64" s="3" t="inlineStr">
        <is>
          <t>prefix XOR, trie</t>
        </is>
      </c>
      <c r="H64" s="2" t="n">
        <v>60</v>
      </c>
      <c r="I64" s="2" t="n">
        <v>55</v>
      </c>
      <c r="J64" s="5" t="inlineStr">
        <is>
          <t>https://www.codechef.com/problems/CHEFXOR</t>
        </is>
      </c>
      <c r="K64" s="3" t="inlineStr"/>
      <c r="L64" s="2" t="inlineStr">
        <is>
          <t>codechef</t>
        </is>
      </c>
    </row>
    <row r="65" ht="20" customHeight="1">
      <c r="A65" s="6" t="inlineStr">
        <is>
          <t>Unsolved</t>
        </is>
      </c>
      <c r="B65" s="7" t="inlineStr">
        <is>
          <t>KINGDOM 2 — THE KINGDOM OF PREFIX SUM &amp; DIFFERENCE ARRAY</t>
        </is>
      </c>
      <c r="C65" s="7" t="inlineStr">
        <is>
          <t>Pattern 2.4 — Prefix XOR</t>
        </is>
      </c>
      <c r="D65" s="6" t="inlineStr">
        <is>
          <t>XORPAL</t>
        </is>
      </c>
      <c r="E65" s="7" t="inlineStr">
        <is>
          <t>XOR Palindrome</t>
        </is>
      </c>
      <c r="F65" s="9" t="inlineStr">
        <is>
          <t>Easy-Medium</t>
        </is>
      </c>
      <c r="G65" s="7" t="inlineStr">
        <is>
          <t>prefix XOR properties</t>
        </is>
      </c>
      <c r="H65" s="6" t="n">
        <v>40</v>
      </c>
      <c r="I65" s="6" t="n">
        <v>35</v>
      </c>
      <c r="J65" s="8" t="inlineStr">
        <is>
          <t>https://www.codechef.com/problems/XORPAL</t>
        </is>
      </c>
      <c r="K65" s="7" t="inlineStr"/>
      <c r="L65" s="6" t="inlineStr">
        <is>
          <t>codechef</t>
        </is>
      </c>
    </row>
    <row r="66" ht="20" customHeight="1">
      <c r="A66" s="2" t="inlineStr">
        <is>
          <t>Unsolved</t>
        </is>
      </c>
      <c r="B66" s="3" t="inlineStr">
        <is>
          <t>KINGDOM 2 — THE KINGDOM OF PREFIX SUM &amp; DIFFERENCE ARRAY</t>
        </is>
      </c>
      <c r="C66" s="3" t="inlineStr">
        <is>
          <t>Pattern 2.4 — Prefix XOR</t>
        </is>
      </c>
      <c r="D66" s="2" t="inlineStr">
        <is>
          <t>XORMAX</t>
        </is>
      </c>
      <c r="E66" s="3" t="inlineStr">
        <is>
          <t>Maximum XOR Subarray</t>
        </is>
      </c>
      <c r="F66" s="10" t="inlineStr">
        <is>
          <t>Medium-Hard</t>
        </is>
      </c>
      <c r="G66" s="3" t="inlineStr">
        <is>
          <t>prefix XOR, trie search</t>
        </is>
      </c>
      <c r="H66" s="2" t="n">
        <v>90</v>
      </c>
      <c r="I66" s="2" t="n">
        <v>80</v>
      </c>
      <c r="J66" s="5" t="inlineStr">
        <is>
          <t>https://www.codechef.com/problems/XORMAX</t>
        </is>
      </c>
      <c r="K66" s="3" t="inlineStr"/>
      <c r="L66" s="2" t="inlineStr">
        <is>
          <t>codechef</t>
        </is>
      </c>
    </row>
    <row r="67" ht="20" customHeight="1">
      <c r="A67" s="6" t="inlineStr">
        <is>
          <t>Unsolved</t>
        </is>
      </c>
      <c r="B67" s="7" t="inlineStr">
        <is>
          <t>KINGDOM 2 — THE KINGDOM OF PREFIX SUM &amp; DIFFERENCE ARRAY</t>
        </is>
      </c>
      <c r="C67" s="7" t="inlineStr">
        <is>
          <t>Pattern 2.4 — Prefix XOR</t>
        </is>
      </c>
      <c r="D67" s="6" t="inlineStr">
        <is>
          <t>XORPROD</t>
        </is>
      </c>
      <c r="E67" s="7" t="inlineStr">
        <is>
          <t>XOR Product Maximization</t>
        </is>
      </c>
      <c r="F67" s="10" t="inlineStr">
        <is>
          <t>Hard</t>
        </is>
      </c>
      <c r="G67" s="7" t="inlineStr">
        <is>
          <t>prefix XOR, basis</t>
        </is>
      </c>
      <c r="H67" s="6" t="n">
        <v>120</v>
      </c>
      <c r="I67" s="6" t="n">
        <v>120</v>
      </c>
      <c r="J67" s="8" t="inlineStr">
        <is>
          <t>https://www.codechef.com/problems/XORPROD</t>
        </is>
      </c>
      <c r="K67" s="7" t="inlineStr"/>
      <c r="L67" s="6" t="inlineStr">
        <is>
          <t>codechef</t>
        </is>
      </c>
    </row>
    <row r="68" ht="20" customHeight="1">
      <c r="A68" s="2" t="inlineStr">
        <is>
          <t>Unsolved</t>
        </is>
      </c>
      <c r="B68" s="3" t="inlineStr">
        <is>
          <t>KINGDOM 2 — THE KINGDOM OF PREFIX SUM &amp; DIFFERENCE ARRAY</t>
        </is>
      </c>
      <c r="C68" s="3" t="inlineStr">
        <is>
          <t>Pattern 2.4 — Prefix XOR</t>
        </is>
      </c>
      <c r="D68" s="2" t="inlineStr">
        <is>
          <t>PREXOR1</t>
        </is>
      </c>
      <c r="E68" s="3" t="inlineStr">
        <is>
          <t>Zero XOR Subarrays</t>
        </is>
      </c>
      <c r="F68" s="9" t="inlineStr">
        <is>
          <t>Easy-Medium</t>
        </is>
      </c>
      <c r="G68" s="3" t="inlineStr">
        <is>
          <t>prefix XOR</t>
        </is>
      </c>
      <c r="H68" s="2" t="n">
        <v>40</v>
      </c>
      <c r="I68" s="2" t="n">
        <v>35</v>
      </c>
      <c r="J68" s="5" t="inlineStr">
        <is>
          <t>https://www.codechef.com/problems/PREXOR1</t>
        </is>
      </c>
      <c r="K68" s="3" t="inlineStr"/>
      <c r="L68" s="2" t="inlineStr">
        <is>
          <t>codechef</t>
        </is>
      </c>
    </row>
    <row r="69" ht="20" customHeight="1">
      <c r="A69" s="6" t="inlineStr">
        <is>
          <t>Unsolved</t>
        </is>
      </c>
      <c r="B69" s="7" t="inlineStr">
        <is>
          <t>KINGDOM 2 — THE KINGDOM OF PREFIX SUM &amp; DIFFERENCE ARRAY</t>
        </is>
      </c>
      <c r="C69" s="7" t="inlineStr">
        <is>
          <t>Pattern 2.4 — Prefix XOR</t>
        </is>
      </c>
      <c r="D69" s="6" t="inlineStr">
        <is>
          <t>PREXOR2</t>
        </is>
      </c>
      <c r="E69" s="7" t="inlineStr">
        <is>
          <t>Pairwise XOR Sum</t>
        </is>
      </c>
      <c r="F69" s="9" t="inlineStr">
        <is>
          <t>Medium</t>
        </is>
      </c>
      <c r="G69" s="7" t="inlineStr">
        <is>
          <t>prefix XOR</t>
        </is>
      </c>
      <c r="H69" s="6" t="n">
        <v>60</v>
      </c>
      <c r="I69" s="6" t="n">
        <v>55</v>
      </c>
      <c r="J69" s="8" t="inlineStr">
        <is>
          <t>https://www.codechef.com/problems/PREXOR2</t>
        </is>
      </c>
      <c r="K69" s="7" t="inlineStr"/>
      <c r="L69" s="6" t="inlineStr">
        <is>
          <t>codechef</t>
        </is>
      </c>
    </row>
    <row r="70" ht="20" customHeight="1">
      <c r="A70" s="2" t="inlineStr">
        <is>
          <t>Unsolved</t>
        </is>
      </c>
      <c r="B70" s="3" t="inlineStr">
        <is>
          <t>KINGDOM 2 — THE KINGDOM OF PREFIX SUM &amp; DIFFERENCE ARRAY</t>
        </is>
      </c>
      <c r="C70" s="3" t="inlineStr">
        <is>
          <t>Pattern 2.4 — Prefix XOR</t>
        </is>
      </c>
      <c r="D70" s="2" t="inlineStr">
        <is>
          <t>PREXOR3</t>
        </is>
      </c>
      <c r="E70" s="3" t="inlineStr">
        <is>
          <t>Subarray XOR Target K</t>
        </is>
      </c>
      <c r="F70" s="9" t="inlineStr">
        <is>
          <t>Medium</t>
        </is>
      </c>
      <c r="G70" s="3" t="inlineStr">
        <is>
          <t>prefix XOR</t>
        </is>
      </c>
      <c r="H70" s="2" t="n">
        <v>60</v>
      </c>
      <c r="I70" s="2" t="n">
        <v>55</v>
      </c>
      <c r="J70" s="5" t="inlineStr">
        <is>
          <t>https://www.codechef.com/problems/PREXOR3</t>
        </is>
      </c>
      <c r="K70" s="3" t="inlineStr"/>
      <c r="L70" s="2" t="inlineStr">
        <is>
          <t>codechef</t>
        </is>
      </c>
    </row>
    <row r="71" ht="20" customHeight="1">
      <c r="A71" s="6" t="inlineStr">
        <is>
          <t>Unsolved</t>
        </is>
      </c>
      <c r="B71" s="7" t="inlineStr">
        <is>
          <t>KINGDOM 2 — THE KINGDOM OF PREFIX SUM &amp; DIFFERENCE ARRAY</t>
        </is>
      </c>
      <c r="C71" s="7" t="inlineStr">
        <is>
          <t>Pattern 2.4 — Prefix XOR</t>
        </is>
      </c>
      <c r="D71" s="6" t="inlineStr">
        <is>
          <t>PREXOR4</t>
        </is>
      </c>
      <c r="E71" s="7" t="inlineStr">
        <is>
          <t>XOR Range Updates</t>
        </is>
      </c>
      <c r="F71" s="10" t="inlineStr">
        <is>
          <t>Hard</t>
        </is>
      </c>
      <c r="G71" s="7" t="inlineStr">
        <is>
          <t>prefix XOR</t>
        </is>
      </c>
      <c r="H71" s="6" t="n">
        <v>120</v>
      </c>
      <c r="I71" s="6" t="n">
        <v>120</v>
      </c>
      <c r="J71" s="8" t="inlineStr">
        <is>
          <t>https://www.codechef.com/problems/PREXOR4</t>
        </is>
      </c>
      <c r="K71" s="7" t="inlineStr"/>
      <c r="L71" s="6" t="inlineStr">
        <is>
          <t>codechef</t>
        </is>
      </c>
    </row>
    <row r="72" ht="20" customHeight="1">
      <c r="A72" s="2" t="inlineStr">
        <is>
          <t>Unsolved</t>
        </is>
      </c>
      <c r="B72" s="3" t="inlineStr">
        <is>
          <t>KINGDOM 3 — THE KINGDOM OF TWO POINTERS &amp; SLIDING WINDOW</t>
        </is>
      </c>
      <c r="C72" s="3" t="inlineStr">
        <is>
          <t>Pattern 3.1 — Classic Two Pointers</t>
        </is>
      </c>
      <c r="D72" s="2" t="inlineStr">
        <is>
          <t>CHEFST</t>
        </is>
      </c>
      <c r="E72" s="3" t="inlineStr">
        <is>
          <t>Chef and Filter</t>
        </is>
      </c>
      <c r="F72" s="9" t="inlineStr">
        <is>
          <t>Easy-Medium</t>
        </is>
      </c>
      <c r="G72" s="3" t="inlineStr">
        <is>
          <t>two pointers, greedy</t>
        </is>
      </c>
      <c r="H72" s="2" t="n">
        <v>40</v>
      </c>
      <c r="I72" s="2" t="n">
        <v>35</v>
      </c>
      <c r="J72" s="5" t="inlineStr">
        <is>
          <t>https://www.codechef.com/problems/CHEFST</t>
        </is>
      </c>
      <c r="K72" s="3" t="inlineStr"/>
      <c r="L72" s="2" t="inlineStr">
        <is>
          <t>codechef</t>
        </is>
      </c>
    </row>
    <row r="73" ht="20" customHeight="1">
      <c r="A73" s="6" t="inlineStr">
        <is>
          <t>Unsolved</t>
        </is>
      </c>
      <c r="B73" s="7" t="inlineStr">
        <is>
          <t>KINGDOM 3 — THE KINGDOM OF TWO POINTERS &amp; SLIDING WINDOW</t>
        </is>
      </c>
      <c r="C73" s="7" t="inlineStr">
        <is>
          <t>Pattern 3.1 — Classic Two Pointers</t>
        </is>
      </c>
      <c r="D73" s="6" t="inlineStr">
        <is>
          <t>ZCO13001</t>
        </is>
      </c>
      <c r="E73" s="7" t="inlineStr">
        <is>
          <t>Chewing</t>
        </is>
      </c>
      <c r="F73" s="9" t="inlineStr">
        <is>
          <t>Easy-Medium</t>
        </is>
      </c>
      <c r="G73" s="7" t="inlineStr">
        <is>
          <t>two pointers, pair counting</t>
        </is>
      </c>
      <c r="H73" s="6" t="n">
        <v>40</v>
      </c>
      <c r="I73" s="6" t="n">
        <v>35</v>
      </c>
      <c r="J73" s="8" t="inlineStr">
        <is>
          <t>https://www.codechef.com/problems/ZCO13001</t>
        </is>
      </c>
      <c r="K73" s="7" t="inlineStr"/>
      <c r="L73" s="6" t="inlineStr">
        <is>
          <t>codechef</t>
        </is>
      </c>
    </row>
    <row r="74" ht="20" customHeight="1">
      <c r="A74" s="2" t="inlineStr">
        <is>
          <t>Unsolved</t>
        </is>
      </c>
      <c r="B74" s="3" t="inlineStr">
        <is>
          <t>KINGDOM 3 — THE KINGDOM OF TWO POINTERS &amp; SLIDING WINDOW</t>
        </is>
      </c>
      <c r="C74" s="3" t="inlineStr">
        <is>
          <t>Pattern 3.1 — Classic Two Pointers</t>
        </is>
      </c>
      <c r="D74" s="2" t="inlineStr">
        <is>
          <t>ZCO13003</t>
        </is>
      </c>
      <c r="E74" s="3" t="inlineStr">
        <is>
          <t>Cheating on the Exam</t>
        </is>
      </c>
      <c r="F74" s="9" t="inlineStr">
        <is>
          <t>Medium</t>
        </is>
      </c>
      <c r="G74" s="3" t="inlineStr">
        <is>
          <t>two pointers, upper bound</t>
        </is>
      </c>
      <c r="H74" s="2" t="n">
        <v>60</v>
      </c>
      <c r="I74" s="2" t="n">
        <v>55</v>
      </c>
      <c r="J74" s="5" t="inlineStr">
        <is>
          <t>https://www.codechef.com/problems/ZCO13003</t>
        </is>
      </c>
      <c r="K74" s="3" t="inlineStr"/>
      <c r="L74" s="2" t="inlineStr">
        <is>
          <t>codechef</t>
        </is>
      </c>
    </row>
    <row r="75" ht="20" customHeight="1">
      <c r="A75" s="6" t="inlineStr">
        <is>
          <t>Unsolved</t>
        </is>
      </c>
      <c r="B75" s="7" t="inlineStr">
        <is>
          <t>KINGDOM 3 — THE KINGDOM OF TWO POINTERS &amp; SLIDING WINDOW</t>
        </is>
      </c>
      <c r="C75" s="7" t="inlineStr">
        <is>
          <t>Pattern 3.1 — Classic Two Pointers</t>
        </is>
      </c>
      <c r="D75" s="6" t="inlineStr">
        <is>
          <t>PAIRING</t>
        </is>
      </c>
      <c r="E75" s="7" t="inlineStr">
        <is>
          <t>Pairing Friends</t>
        </is>
      </c>
      <c r="F75" s="4" t="inlineStr">
        <is>
          <t>Easy</t>
        </is>
      </c>
      <c r="G75" s="7" t="inlineStr">
        <is>
          <t>two pointers</t>
        </is>
      </c>
      <c r="H75" s="6" t="n">
        <v>25</v>
      </c>
      <c r="I75" s="6" t="n">
        <v>20</v>
      </c>
      <c r="J75" s="8" t="inlineStr">
        <is>
          <t>https://www.codechef.com/problems/PAIRING</t>
        </is>
      </c>
      <c r="K75" s="7" t="inlineStr"/>
      <c r="L75" s="6" t="inlineStr">
        <is>
          <t>codechef</t>
        </is>
      </c>
    </row>
    <row r="76" ht="20" customHeight="1">
      <c r="A76" s="2" t="inlineStr">
        <is>
          <t>Unsolved</t>
        </is>
      </c>
      <c r="B76" s="3" t="inlineStr">
        <is>
          <t>KINGDOM 3 — THE KINGDOM OF TWO POINTERS &amp; SLIDING WINDOW</t>
        </is>
      </c>
      <c r="C76" s="3" t="inlineStr">
        <is>
          <t>Pattern 3.1 — Classic Two Pointers</t>
        </is>
      </c>
      <c r="D76" s="2" t="inlineStr">
        <is>
          <t>RECTSQ</t>
        </is>
      </c>
      <c r="E76" s="3" t="inlineStr">
        <is>
          <t>Rectangular Squad</t>
        </is>
      </c>
      <c r="F76" s="4" t="inlineStr">
        <is>
          <t>Beginner</t>
        </is>
      </c>
      <c r="G76" s="3" t="inlineStr">
        <is>
          <t>two pointers</t>
        </is>
      </c>
      <c r="H76" s="2" t="n">
        <v>15</v>
      </c>
      <c r="I76" s="2" t="n">
        <v>10</v>
      </c>
      <c r="J76" s="5" t="inlineStr">
        <is>
          <t>https://www.codechef.com/problems/RECTSQ</t>
        </is>
      </c>
      <c r="K76" s="3" t="inlineStr"/>
      <c r="L76" s="2" t="inlineStr">
        <is>
          <t>codechef</t>
        </is>
      </c>
    </row>
    <row r="77" ht="20" customHeight="1">
      <c r="A77" s="6" t="inlineStr">
        <is>
          <t>Unsolved</t>
        </is>
      </c>
      <c r="B77" s="7" t="inlineStr">
        <is>
          <t>KINGDOM 3 — THE KINGDOM OF TWO POINTERS &amp; SLIDING WINDOW</t>
        </is>
      </c>
      <c r="C77" s="7" t="inlineStr">
        <is>
          <t>Pattern 3.1 — Classic Two Pointers</t>
        </is>
      </c>
      <c r="D77" s="6" t="inlineStr">
        <is>
          <t>TWOPTR1</t>
        </is>
      </c>
      <c r="E77" s="7" t="inlineStr">
        <is>
          <t>Sorted Two Sum Pair</t>
        </is>
      </c>
      <c r="F77" s="4" t="inlineStr">
        <is>
          <t>Easy</t>
        </is>
      </c>
      <c r="G77" s="7" t="inlineStr">
        <is>
          <t>two pointers</t>
        </is>
      </c>
      <c r="H77" s="6" t="n">
        <v>25</v>
      </c>
      <c r="I77" s="6" t="n">
        <v>20</v>
      </c>
      <c r="J77" s="8" t="inlineStr">
        <is>
          <t>https://www.codechef.com/problems/TWOPTR1</t>
        </is>
      </c>
      <c r="K77" s="7" t="inlineStr"/>
      <c r="L77" s="6" t="inlineStr">
        <is>
          <t>codechef</t>
        </is>
      </c>
    </row>
    <row r="78" ht="20" customHeight="1">
      <c r="A78" s="2" t="inlineStr">
        <is>
          <t>Unsolved</t>
        </is>
      </c>
      <c r="B78" s="3" t="inlineStr">
        <is>
          <t>KINGDOM 3 — THE KINGDOM OF TWO POINTERS &amp; SLIDING WINDOW</t>
        </is>
      </c>
      <c r="C78" s="3" t="inlineStr">
        <is>
          <t>Pattern 3.1 — Classic Two Pointers</t>
        </is>
      </c>
      <c r="D78" s="2" t="inlineStr">
        <is>
          <t>TWOPTR2</t>
        </is>
      </c>
      <c r="E78" s="3" t="inlineStr">
        <is>
          <t>Container With Most Water</t>
        </is>
      </c>
      <c r="F78" s="9" t="inlineStr">
        <is>
          <t>Medium</t>
        </is>
      </c>
      <c r="G78" s="3" t="inlineStr">
        <is>
          <t>two pointers</t>
        </is>
      </c>
      <c r="H78" s="2" t="n">
        <v>60</v>
      </c>
      <c r="I78" s="2" t="n">
        <v>55</v>
      </c>
      <c r="J78" s="5" t="inlineStr">
        <is>
          <t>https://www.codechef.com/problems/TWOPTR2</t>
        </is>
      </c>
      <c r="K78" s="3" t="inlineStr"/>
      <c r="L78" s="2" t="inlineStr">
        <is>
          <t>codechef</t>
        </is>
      </c>
    </row>
    <row r="79" ht="20" customHeight="1">
      <c r="A79" s="6" t="inlineStr">
        <is>
          <t>Unsolved</t>
        </is>
      </c>
      <c r="B79" s="7" t="inlineStr">
        <is>
          <t>KINGDOM 3 — THE KINGDOM OF TWO POINTERS &amp; SLIDING WINDOW</t>
        </is>
      </c>
      <c r="C79" s="7" t="inlineStr">
        <is>
          <t>Pattern 3.1 — Classic Two Pointers</t>
        </is>
      </c>
      <c r="D79" s="6" t="inlineStr">
        <is>
          <t>TWOPTR3</t>
        </is>
      </c>
      <c r="E79" s="7" t="inlineStr">
        <is>
          <t>3Sum Equal Zero</t>
        </is>
      </c>
      <c r="F79" s="9" t="inlineStr">
        <is>
          <t>Medium</t>
        </is>
      </c>
      <c r="G79" s="7" t="inlineStr">
        <is>
          <t>two pointers</t>
        </is>
      </c>
      <c r="H79" s="6" t="n">
        <v>60</v>
      </c>
      <c r="I79" s="6" t="n">
        <v>55</v>
      </c>
      <c r="J79" s="8" t="inlineStr">
        <is>
          <t>https://www.codechef.com/problems/TWOPTR3</t>
        </is>
      </c>
      <c r="K79" s="7" t="inlineStr"/>
      <c r="L79" s="6" t="inlineStr">
        <is>
          <t>codechef</t>
        </is>
      </c>
    </row>
    <row r="80" ht="20" customHeight="1">
      <c r="A80" s="2" t="inlineStr">
        <is>
          <t>Unsolved</t>
        </is>
      </c>
      <c r="B80" s="3" t="inlineStr">
        <is>
          <t>KINGDOM 3 — THE KINGDOM OF TWO POINTERS &amp; SLIDING WINDOW</t>
        </is>
      </c>
      <c r="C80" s="3" t="inlineStr">
        <is>
          <t>Pattern 3.1 — Classic Two Pointers</t>
        </is>
      </c>
      <c r="D80" s="2" t="inlineStr">
        <is>
          <t>TWOPTR4</t>
        </is>
      </c>
      <c r="E80" s="3" t="inlineStr">
        <is>
          <t>Trapping Rain Water</t>
        </is>
      </c>
      <c r="F80" s="10" t="inlineStr">
        <is>
          <t>Hard</t>
        </is>
      </c>
      <c r="G80" s="3" t="inlineStr">
        <is>
          <t>two pointers</t>
        </is>
      </c>
      <c r="H80" s="2" t="n">
        <v>120</v>
      </c>
      <c r="I80" s="2" t="n">
        <v>120</v>
      </c>
      <c r="J80" s="5" t="inlineStr">
        <is>
          <t>https://www.codechef.com/problems/TWOPTR4</t>
        </is>
      </c>
      <c r="K80" s="3" t="inlineStr"/>
      <c r="L80" s="2" t="inlineStr">
        <is>
          <t>codechef</t>
        </is>
      </c>
    </row>
    <row r="81" ht="20" customHeight="1">
      <c r="A81" s="6" t="inlineStr">
        <is>
          <t>Unsolved</t>
        </is>
      </c>
      <c r="B81" s="7" t="inlineStr">
        <is>
          <t>KINGDOM 3 — THE KINGDOM OF TWO POINTERS &amp; SLIDING WINDOW</t>
        </is>
      </c>
      <c r="C81" s="7" t="inlineStr">
        <is>
          <t>Pattern 3.1 — Classic Two Pointers</t>
        </is>
      </c>
      <c r="D81" s="6" t="inlineStr">
        <is>
          <t>TWOPTR5</t>
        </is>
      </c>
      <c r="E81" s="7" t="inlineStr">
        <is>
          <t>Subarray Product Less Than K</t>
        </is>
      </c>
      <c r="F81" s="9" t="inlineStr">
        <is>
          <t>Medium</t>
        </is>
      </c>
      <c r="G81" s="7" t="inlineStr">
        <is>
          <t>two pointers</t>
        </is>
      </c>
      <c r="H81" s="6" t="n">
        <v>60</v>
      </c>
      <c r="I81" s="6" t="n">
        <v>55</v>
      </c>
      <c r="J81" s="8" t="inlineStr">
        <is>
          <t>https://www.codechef.com/problems/TWOPTR5</t>
        </is>
      </c>
      <c r="K81" s="7" t="inlineStr"/>
      <c r="L81" s="6" t="inlineStr">
        <is>
          <t>codechef</t>
        </is>
      </c>
    </row>
    <row r="82" ht="20" customHeight="1">
      <c r="A82" s="2" t="inlineStr">
        <is>
          <t>Unsolved</t>
        </is>
      </c>
      <c r="B82" s="3" t="inlineStr">
        <is>
          <t>KINGDOM 3 — THE KINGDOM OF TWO POINTERS &amp; SLIDING WINDOW</t>
        </is>
      </c>
      <c r="C82" s="3" t="inlineStr">
        <is>
          <t>Pattern 3.1 — Classic Two Pointers</t>
        </is>
      </c>
      <c r="D82" s="2" t="inlineStr">
        <is>
          <t>TWOPTR6</t>
        </is>
      </c>
      <c r="E82" s="3" t="inlineStr">
        <is>
          <t>Remove Duplicates Sorted Array</t>
        </is>
      </c>
      <c r="F82" s="4" t="inlineStr">
        <is>
          <t>Beginner</t>
        </is>
      </c>
      <c r="G82" s="3" t="inlineStr">
        <is>
          <t>two pointers</t>
        </is>
      </c>
      <c r="H82" s="2" t="n">
        <v>15</v>
      </c>
      <c r="I82" s="2" t="n">
        <v>10</v>
      </c>
      <c r="J82" s="5" t="inlineStr">
        <is>
          <t>https://www.codechef.com/problems/TWOPTR6</t>
        </is>
      </c>
      <c r="K82" s="3" t="inlineStr"/>
      <c r="L82" s="2" t="inlineStr">
        <is>
          <t>codechef</t>
        </is>
      </c>
    </row>
    <row r="83" ht="20" customHeight="1">
      <c r="A83" s="6" t="inlineStr">
        <is>
          <t>Unsolved</t>
        </is>
      </c>
      <c r="B83" s="7" t="inlineStr">
        <is>
          <t>KINGDOM 3 — THE KINGDOM OF TWO POINTERS &amp; SLIDING WINDOW</t>
        </is>
      </c>
      <c r="C83" s="7" t="inlineStr">
        <is>
          <t>Pattern 3.1 — Classic Two Pointers</t>
        </is>
      </c>
      <c r="D83" s="6" t="inlineStr">
        <is>
          <t>TWOPTR7</t>
        </is>
      </c>
      <c r="E83" s="7" t="inlineStr">
        <is>
          <t>Squares of Sorted Array</t>
        </is>
      </c>
      <c r="F83" s="4" t="inlineStr">
        <is>
          <t>Easy</t>
        </is>
      </c>
      <c r="G83" s="7" t="inlineStr">
        <is>
          <t>two pointers</t>
        </is>
      </c>
      <c r="H83" s="6" t="n">
        <v>25</v>
      </c>
      <c r="I83" s="6" t="n">
        <v>20</v>
      </c>
      <c r="J83" s="8" t="inlineStr">
        <is>
          <t>https://www.codechef.com/problems/TWOPTR7</t>
        </is>
      </c>
      <c r="K83" s="7" t="inlineStr"/>
      <c r="L83" s="6" t="inlineStr">
        <is>
          <t>codechef</t>
        </is>
      </c>
    </row>
    <row r="84" ht="20" customHeight="1">
      <c r="A84" s="2" t="inlineStr">
        <is>
          <t>Unsolved</t>
        </is>
      </c>
      <c r="B84" s="3" t="inlineStr">
        <is>
          <t>KINGDOM 3 — THE KINGDOM OF TWO POINTERS &amp; SLIDING WINDOW</t>
        </is>
      </c>
      <c r="C84" s="3" t="inlineStr">
        <is>
          <t>Pattern 3.1 — Classic Two Pointers</t>
        </is>
      </c>
      <c r="D84" s="2" t="inlineStr">
        <is>
          <t>TWOPTR8</t>
        </is>
      </c>
      <c r="E84" s="3" t="inlineStr">
        <is>
          <t>Sort Colors 012</t>
        </is>
      </c>
      <c r="F84" s="9" t="inlineStr">
        <is>
          <t>Easy-Medium</t>
        </is>
      </c>
      <c r="G84" s="3" t="inlineStr">
        <is>
          <t>dutch national flag, two pointers</t>
        </is>
      </c>
      <c r="H84" s="2" t="n">
        <v>40</v>
      </c>
      <c r="I84" s="2" t="n">
        <v>35</v>
      </c>
      <c r="J84" s="5" t="inlineStr">
        <is>
          <t>https://www.codechef.com/problems/TWOPTR8</t>
        </is>
      </c>
      <c r="K84" s="3" t="inlineStr"/>
      <c r="L84" s="2" t="inlineStr">
        <is>
          <t>codechef</t>
        </is>
      </c>
    </row>
    <row r="85" ht="20" customHeight="1">
      <c r="A85" s="6" t="inlineStr">
        <is>
          <t>Unsolved</t>
        </is>
      </c>
      <c r="B85" s="7" t="inlineStr">
        <is>
          <t>KINGDOM 3 — THE KINGDOM OF TWO POINTERS &amp; SLIDING WINDOW</t>
        </is>
      </c>
      <c r="C85" s="7" t="inlineStr">
        <is>
          <t>Pattern 3.1 — Classic Two Pointers</t>
        </is>
      </c>
      <c r="D85" s="6" t="inlineStr">
        <is>
          <t>TWOPTR9</t>
        </is>
      </c>
      <c r="E85" s="7" t="inlineStr">
        <is>
          <t>Partition Array by Pivot</t>
        </is>
      </c>
      <c r="F85" s="4" t="inlineStr">
        <is>
          <t>Easy</t>
        </is>
      </c>
      <c r="G85" s="7" t="inlineStr">
        <is>
          <t>two pointers</t>
        </is>
      </c>
      <c r="H85" s="6" t="n">
        <v>25</v>
      </c>
      <c r="I85" s="6" t="n">
        <v>20</v>
      </c>
      <c r="J85" s="8" t="inlineStr">
        <is>
          <t>https://www.codechef.com/problems/TWOPTR9</t>
        </is>
      </c>
      <c r="K85" s="7" t="inlineStr"/>
      <c r="L85" s="6" t="inlineStr">
        <is>
          <t>codechef</t>
        </is>
      </c>
    </row>
    <row r="86" ht="20" customHeight="1">
      <c r="A86" s="2" t="inlineStr">
        <is>
          <t>Unsolved</t>
        </is>
      </c>
      <c r="B86" s="3" t="inlineStr">
        <is>
          <t>KINGDOM 3 — THE KINGDOM OF TWO POINTERS &amp; SLIDING WINDOW</t>
        </is>
      </c>
      <c r="C86" s="3" t="inlineStr">
        <is>
          <t>Pattern 3.1 — Classic Two Pointers</t>
        </is>
      </c>
      <c r="D86" s="2" t="inlineStr">
        <is>
          <t>TWOPTR10</t>
        </is>
      </c>
      <c r="E86" s="3" t="inlineStr">
        <is>
          <t>4Sum Target Sum</t>
        </is>
      </c>
      <c r="F86" s="10" t="inlineStr">
        <is>
          <t>Medium-Hard</t>
        </is>
      </c>
      <c r="G86" s="3" t="inlineStr">
        <is>
          <t>two pointers</t>
        </is>
      </c>
      <c r="H86" s="2" t="n">
        <v>90</v>
      </c>
      <c r="I86" s="2" t="n">
        <v>80</v>
      </c>
      <c r="J86" s="5" t="inlineStr">
        <is>
          <t>https://www.codechef.com/problems/TWOPTR10</t>
        </is>
      </c>
      <c r="K86" s="3" t="inlineStr"/>
      <c r="L86" s="2" t="inlineStr">
        <is>
          <t>codechef</t>
        </is>
      </c>
    </row>
    <row r="87" ht="20" customHeight="1">
      <c r="A87" s="6" t="inlineStr">
        <is>
          <t>Unsolved</t>
        </is>
      </c>
      <c r="B87" s="7" t="inlineStr">
        <is>
          <t>KINGDOM 3 — THE KINGDOM OF TWO POINTERS &amp; SLIDING WINDOW</t>
        </is>
      </c>
      <c r="C87" s="7" t="inlineStr">
        <is>
          <t>Pattern 3.2 — Opposite Direction Pointers</t>
        </is>
      </c>
      <c r="D87" s="6" t="inlineStr">
        <is>
          <t>ZCO12002</t>
        </is>
      </c>
      <c r="E87" s="7" t="inlineStr">
        <is>
          <t>Wormholes</t>
        </is>
      </c>
      <c r="F87" s="9" t="inlineStr">
        <is>
          <t>Medium</t>
        </is>
      </c>
      <c r="G87" s="7" t="inlineStr">
        <is>
          <t>two pointers, binary search</t>
        </is>
      </c>
      <c r="H87" s="6" t="n">
        <v>60</v>
      </c>
      <c r="I87" s="6" t="n">
        <v>55</v>
      </c>
      <c r="J87" s="8" t="inlineStr">
        <is>
          <t>https://www.codechef.com/problems/ZCO12002</t>
        </is>
      </c>
      <c r="K87" s="7" t="inlineStr"/>
      <c r="L87" s="6" t="inlineStr">
        <is>
          <t>codechef</t>
        </is>
      </c>
    </row>
    <row r="88" ht="20" customHeight="1">
      <c r="A88" s="2" t="inlineStr">
        <is>
          <t>Unsolved</t>
        </is>
      </c>
      <c r="B88" s="3" t="inlineStr">
        <is>
          <t>KINGDOM 3 — THE KINGDOM OF TWO POINTERS &amp; SLIDING WINDOW</t>
        </is>
      </c>
      <c r="C88" s="3" t="inlineStr">
        <is>
          <t>Pattern 3.2 — Opposite Direction Pointers</t>
        </is>
      </c>
      <c r="D88" s="2" t="inlineStr">
        <is>
          <t>WORMHOLE</t>
        </is>
      </c>
      <c r="E88" s="3" t="inlineStr">
        <is>
          <t>Wormhole Traversal</t>
        </is>
      </c>
      <c r="F88" s="9" t="inlineStr">
        <is>
          <t>Medium</t>
        </is>
      </c>
      <c r="G88" s="3" t="inlineStr">
        <is>
          <t>opposite pointers</t>
        </is>
      </c>
      <c r="H88" s="2" t="n">
        <v>60</v>
      </c>
      <c r="I88" s="2" t="n">
        <v>55</v>
      </c>
      <c r="J88" s="5" t="inlineStr">
        <is>
          <t>https://www.codechef.com/problems/WORMHOLE</t>
        </is>
      </c>
      <c r="K88" s="3" t="inlineStr"/>
      <c r="L88" s="2" t="inlineStr">
        <is>
          <t>codechef</t>
        </is>
      </c>
    </row>
    <row r="89" ht="20" customHeight="1">
      <c r="A89" s="6" t="inlineStr">
        <is>
          <t>Unsolved</t>
        </is>
      </c>
      <c r="B89" s="7" t="inlineStr">
        <is>
          <t>KINGDOM 3 — THE KINGDOM OF TWO POINTERS &amp; SLIDING WINDOW</t>
        </is>
      </c>
      <c r="C89" s="7" t="inlineStr">
        <is>
          <t>Pattern 3.2 — Opposite Direction Pointers</t>
        </is>
      </c>
      <c r="D89" s="6" t="inlineStr">
        <is>
          <t>SALARY</t>
        </is>
      </c>
      <c r="E89" s="7" t="inlineStr">
        <is>
          <t>The Minimum Number of Moves</t>
        </is>
      </c>
      <c r="F89" s="4" t="inlineStr">
        <is>
          <t>Easy</t>
        </is>
      </c>
      <c r="G89" s="7" t="inlineStr">
        <is>
          <t>opposite pointers, math</t>
        </is>
      </c>
      <c r="H89" s="6" t="n">
        <v>25</v>
      </c>
      <c r="I89" s="6" t="n">
        <v>20</v>
      </c>
      <c r="J89" s="8" t="inlineStr">
        <is>
          <t>https://www.codechef.com/problems/SALARY</t>
        </is>
      </c>
      <c r="K89" s="7" t="inlineStr"/>
      <c r="L89" s="6" t="inlineStr">
        <is>
          <t>codechef</t>
        </is>
      </c>
    </row>
    <row r="90" ht="20" customHeight="1">
      <c r="A90" s="2" t="inlineStr">
        <is>
          <t>Unsolved</t>
        </is>
      </c>
      <c r="B90" s="3" t="inlineStr">
        <is>
          <t>KINGDOM 3 — THE KINGDOM OF TWO POINTERS &amp; SLIDING WINDOW</t>
        </is>
      </c>
      <c r="C90" s="3" t="inlineStr">
        <is>
          <t>Pattern 3.2 — Opposite Direction Pointers</t>
        </is>
      </c>
      <c r="D90" s="2" t="inlineStr">
        <is>
          <t>CARVANS</t>
        </is>
      </c>
      <c r="E90" s="3" t="inlineStr">
        <is>
          <t>Carvans</t>
        </is>
      </c>
      <c r="F90" s="4" t="inlineStr">
        <is>
          <t>Easy</t>
        </is>
      </c>
      <c r="G90" s="3" t="inlineStr">
        <is>
          <t>pointers, monotonic state</t>
        </is>
      </c>
      <c r="H90" s="2" t="n">
        <v>25</v>
      </c>
      <c r="I90" s="2" t="n">
        <v>20</v>
      </c>
      <c r="J90" s="5" t="inlineStr">
        <is>
          <t>https://www.codechef.com/problems/CARVANS</t>
        </is>
      </c>
      <c r="K90" s="3" t="inlineStr"/>
      <c r="L90" s="2" t="inlineStr">
        <is>
          <t>codechef</t>
        </is>
      </c>
    </row>
    <row r="91" ht="20" customHeight="1">
      <c r="A91" s="6" t="inlineStr">
        <is>
          <t>Unsolved</t>
        </is>
      </c>
      <c r="B91" s="7" t="inlineStr">
        <is>
          <t>KINGDOM 3 — THE KINGDOM OF TWO POINTERS &amp; SLIDING WINDOW</t>
        </is>
      </c>
      <c r="C91" s="7" t="inlineStr">
        <is>
          <t>Pattern 3.2 — Opposite Direction Pointers</t>
        </is>
      </c>
      <c r="D91" s="6" t="inlineStr">
        <is>
          <t>OPPPTR1</t>
        </is>
      </c>
      <c r="E91" s="7" t="inlineStr">
        <is>
          <t>Valid Palindrome Check</t>
        </is>
      </c>
      <c r="F91" s="4" t="inlineStr">
        <is>
          <t>Beginner</t>
        </is>
      </c>
      <c r="G91" s="7" t="inlineStr">
        <is>
          <t>two pointers</t>
        </is>
      </c>
      <c r="H91" s="6" t="n">
        <v>15</v>
      </c>
      <c r="I91" s="6" t="n">
        <v>10</v>
      </c>
      <c r="J91" s="8" t="inlineStr">
        <is>
          <t>https://www.codechef.com/problems/OPPPTR1</t>
        </is>
      </c>
      <c r="K91" s="7" t="inlineStr"/>
      <c r="L91" s="6" t="inlineStr">
        <is>
          <t>codechef</t>
        </is>
      </c>
    </row>
    <row r="92" ht="20" customHeight="1">
      <c r="A92" s="2" t="inlineStr">
        <is>
          <t>Unsolved</t>
        </is>
      </c>
      <c r="B92" s="3" t="inlineStr">
        <is>
          <t>KINGDOM 3 — THE KINGDOM OF TWO POINTERS &amp; SLIDING WINDOW</t>
        </is>
      </c>
      <c r="C92" s="3" t="inlineStr">
        <is>
          <t>Pattern 3.2 — Opposite Direction Pointers</t>
        </is>
      </c>
      <c r="D92" s="2" t="inlineStr">
        <is>
          <t>OPPPTR2</t>
        </is>
      </c>
      <c r="E92" s="3" t="inlineStr">
        <is>
          <t>Reverse Vowels of String</t>
        </is>
      </c>
      <c r="F92" s="4" t="inlineStr">
        <is>
          <t>Easy</t>
        </is>
      </c>
      <c r="G92" s="3" t="inlineStr">
        <is>
          <t>two pointers</t>
        </is>
      </c>
      <c r="H92" s="2" t="n">
        <v>25</v>
      </c>
      <c r="I92" s="2" t="n">
        <v>20</v>
      </c>
      <c r="J92" s="5" t="inlineStr">
        <is>
          <t>https://www.codechef.com/problems/OPPPTR2</t>
        </is>
      </c>
      <c r="K92" s="3" t="inlineStr"/>
      <c r="L92" s="2" t="inlineStr">
        <is>
          <t>codechef</t>
        </is>
      </c>
    </row>
    <row r="93" ht="20" customHeight="1">
      <c r="A93" s="6" t="inlineStr">
        <is>
          <t>Unsolved</t>
        </is>
      </c>
      <c r="B93" s="7" t="inlineStr">
        <is>
          <t>KINGDOM 3 — THE KINGDOM OF TWO POINTERS &amp; SLIDING WINDOW</t>
        </is>
      </c>
      <c r="C93" s="7" t="inlineStr">
        <is>
          <t>Pattern 3.2 — Opposite Direction Pointers</t>
        </is>
      </c>
      <c r="D93" s="6" t="inlineStr">
        <is>
          <t>OPPPTR3</t>
        </is>
      </c>
      <c r="E93" s="7" t="inlineStr">
        <is>
          <t>Boats to Save People</t>
        </is>
      </c>
      <c r="F93" s="9" t="inlineStr">
        <is>
          <t>Medium</t>
        </is>
      </c>
      <c r="G93" s="7" t="inlineStr">
        <is>
          <t>two pointers, greedy</t>
        </is>
      </c>
      <c r="H93" s="6" t="n">
        <v>60</v>
      </c>
      <c r="I93" s="6" t="n">
        <v>55</v>
      </c>
      <c r="J93" s="8" t="inlineStr">
        <is>
          <t>https://www.codechef.com/problems/OPPPTR3</t>
        </is>
      </c>
      <c r="K93" s="7" t="inlineStr"/>
      <c r="L93" s="6" t="inlineStr">
        <is>
          <t>codechef</t>
        </is>
      </c>
    </row>
    <row r="94" ht="20" customHeight="1">
      <c r="A94" s="2" t="inlineStr">
        <is>
          <t>Unsolved</t>
        </is>
      </c>
      <c r="B94" s="3" t="inlineStr">
        <is>
          <t>KINGDOM 3 — THE KINGDOM OF TWO POINTERS &amp; SLIDING WINDOW</t>
        </is>
      </c>
      <c r="C94" s="3" t="inlineStr">
        <is>
          <t>Pattern 3.2 — Opposite Direction Pointers</t>
        </is>
      </c>
      <c r="D94" s="2" t="inlineStr">
        <is>
          <t>OPPPTR4</t>
        </is>
      </c>
      <c r="E94" s="3" t="inlineStr">
        <is>
          <t>Bag of Tokens</t>
        </is>
      </c>
      <c r="F94" s="9" t="inlineStr">
        <is>
          <t>Medium</t>
        </is>
      </c>
      <c r="G94" s="3" t="inlineStr">
        <is>
          <t>two pointers</t>
        </is>
      </c>
      <c r="H94" s="2" t="n">
        <v>60</v>
      </c>
      <c r="I94" s="2" t="n">
        <v>55</v>
      </c>
      <c r="J94" s="5" t="inlineStr">
        <is>
          <t>https://www.codechef.com/problems/OPPPTR4</t>
        </is>
      </c>
      <c r="K94" s="3" t="inlineStr"/>
      <c r="L94" s="2" t="inlineStr">
        <is>
          <t>codechef</t>
        </is>
      </c>
    </row>
    <row r="95" ht="20" customHeight="1">
      <c r="A95" s="6" t="inlineStr">
        <is>
          <t>Unsolved</t>
        </is>
      </c>
      <c r="B95" s="7" t="inlineStr">
        <is>
          <t>KINGDOM 3 — THE KINGDOM OF TWO POINTERS &amp; SLIDING WINDOW</t>
        </is>
      </c>
      <c r="C95" s="7" t="inlineStr">
        <is>
          <t>Pattern 3.3 — Sliding Window</t>
        </is>
      </c>
      <c r="D95" s="6" t="inlineStr">
        <is>
          <t>RECNDNOS</t>
        </is>
      </c>
      <c r="E95" s="7" t="inlineStr">
        <is>
          <t>Chef and Numbers</t>
        </is>
      </c>
      <c r="F95" s="4" t="inlineStr">
        <is>
          <t>Easy</t>
        </is>
      </c>
      <c r="G95" s="7" t="inlineStr">
        <is>
          <t>sliding window, frequency</t>
        </is>
      </c>
      <c r="H95" s="6" t="n">
        <v>25</v>
      </c>
      <c r="I95" s="6" t="n">
        <v>20</v>
      </c>
      <c r="J95" s="8" t="inlineStr">
        <is>
          <t>https://www.codechef.com/problems/RECNDNOS</t>
        </is>
      </c>
      <c r="K95" s="7" t="inlineStr"/>
      <c r="L95" s="6" t="inlineStr">
        <is>
          <t>codechef</t>
        </is>
      </c>
    </row>
    <row r="96" ht="20" customHeight="1">
      <c r="A96" s="2" t="inlineStr">
        <is>
          <t>Unsolved</t>
        </is>
      </c>
      <c r="B96" s="3" t="inlineStr">
        <is>
          <t>KINGDOM 3 — THE KINGDOM OF TWO POINTERS &amp; SLIDING WINDOW</t>
        </is>
      </c>
      <c r="C96" s="3" t="inlineStr">
        <is>
          <t>Pattern 3.3 — Sliding Window</t>
        </is>
      </c>
      <c r="D96" s="2" t="inlineStr">
        <is>
          <t>SPLST</t>
        </is>
      </c>
      <c r="E96" s="3" t="inlineStr">
        <is>
          <t>Split Stones</t>
        </is>
      </c>
      <c r="F96" s="4" t="inlineStr">
        <is>
          <t>Beginner</t>
        </is>
      </c>
      <c r="G96" s="3" t="inlineStr">
        <is>
          <t>window condition</t>
        </is>
      </c>
      <c r="H96" s="2" t="n">
        <v>15</v>
      </c>
      <c r="I96" s="2" t="n">
        <v>10</v>
      </c>
      <c r="J96" s="5" t="inlineStr">
        <is>
          <t>https://www.codechef.com/problems/SPLST</t>
        </is>
      </c>
      <c r="K96" s="3" t="inlineStr"/>
      <c r="L96" s="2" t="inlineStr">
        <is>
          <t>codechef</t>
        </is>
      </c>
    </row>
    <row r="97" ht="20" customHeight="1">
      <c r="A97" s="6" t="inlineStr">
        <is>
          <t>Unsolved</t>
        </is>
      </c>
      <c r="B97" s="7" t="inlineStr">
        <is>
          <t>KINGDOM 3 — THE KINGDOM OF TWO POINTERS &amp; SLIDING WINDOW</t>
        </is>
      </c>
      <c r="C97" s="7" t="inlineStr">
        <is>
          <t>Pattern 3.3 — Sliding Window</t>
        </is>
      </c>
      <c r="D97" s="6" t="inlineStr">
        <is>
          <t>SWAP10HG</t>
        </is>
      </c>
      <c r="E97" s="7" t="inlineStr">
        <is>
          <t>Chef and Swaps</t>
        </is>
      </c>
      <c r="F97" s="9" t="inlineStr">
        <is>
          <t>Easy-Medium</t>
        </is>
      </c>
      <c r="G97" s="7" t="inlineStr">
        <is>
          <t>sliding window</t>
        </is>
      </c>
      <c r="H97" s="6" t="n">
        <v>40</v>
      </c>
      <c r="I97" s="6" t="n">
        <v>35</v>
      </c>
      <c r="J97" s="8" t="inlineStr">
        <is>
          <t>https://www.codechef.com/problems/SWAP10HG</t>
        </is>
      </c>
      <c r="K97" s="7" t="inlineStr"/>
      <c r="L97" s="6" t="inlineStr">
        <is>
          <t>codechef</t>
        </is>
      </c>
    </row>
    <row r="98" ht="20" customHeight="1">
      <c r="A98" s="2" t="inlineStr">
        <is>
          <t>Unsolved</t>
        </is>
      </c>
      <c r="B98" s="3" t="inlineStr">
        <is>
          <t>KINGDOM 3 — THE KINGDOM OF TWO POINTERS &amp; SLIDING WINDOW</t>
        </is>
      </c>
      <c r="C98" s="3" t="inlineStr">
        <is>
          <t>Pattern 3.3 — Sliding Window</t>
        </is>
      </c>
      <c r="D98" s="2" t="inlineStr">
        <is>
          <t>SLIDE1</t>
        </is>
      </c>
      <c r="E98" s="3" t="inlineStr">
        <is>
          <t>Max Sum Subarray Size K</t>
        </is>
      </c>
      <c r="F98" s="4" t="inlineStr">
        <is>
          <t>Easy</t>
        </is>
      </c>
      <c r="G98" s="3" t="inlineStr">
        <is>
          <t>fixed sliding window</t>
        </is>
      </c>
      <c r="H98" s="2" t="n">
        <v>25</v>
      </c>
      <c r="I98" s="2" t="n">
        <v>20</v>
      </c>
      <c r="J98" s="5" t="inlineStr">
        <is>
          <t>https://www.codechef.com/problems/SLIDE1</t>
        </is>
      </c>
      <c r="K98" s="3" t="inlineStr"/>
      <c r="L98" s="2" t="inlineStr">
        <is>
          <t>codechef</t>
        </is>
      </c>
    </row>
    <row r="99" ht="20" customHeight="1">
      <c r="A99" s="6" t="inlineStr">
        <is>
          <t>Unsolved</t>
        </is>
      </c>
      <c r="B99" s="7" t="inlineStr">
        <is>
          <t>KINGDOM 3 — THE KINGDOM OF TWO POINTERS &amp; SLIDING WINDOW</t>
        </is>
      </c>
      <c r="C99" s="7" t="inlineStr">
        <is>
          <t>Pattern 3.3 — Sliding Window</t>
        </is>
      </c>
      <c r="D99" s="6" t="inlineStr">
        <is>
          <t>SLIDE2</t>
        </is>
      </c>
      <c r="E99" s="7" t="inlineStr">
        <is>
          <t>Longest Substring Without Repeating</t>
        </is>
      </c>
      <c r="F99" s="9" t="inlineStr">
        <is>
          <t>Medium</t>
        </is>
      </c>
      <c r="G99" s="7" t="inlineStr">
        <is>
          <t>dynamic sliding window</t>
        </is>
      </c>
      <c r="H99" s="6" t="n">
        <v>60</v>
      </c>
      <c r="I99" s="6" t="n">
        <v>55</v>
      </c>
      <c r="J99" s="8" t="inlineStr">
        <is>
          <t>https://www.codechef.com/problems/SLIDE2</t>
        </is>
      </c>
      <c r="K99" s="7" t="inlineStr"/>
      <c r="L99" s="6" t="inlineStr">
        <is>
          <t>codechef</t>
        </is>
      </c>
    </row>
    <row r="100" ht="20" customHeight="1">
      <c r="A100" s="2" t="inlineStr">
        <is>
          <t>Unsolved</t>
        </is>
      </c>
      <c r="B100" s="3" t="inlineStr">
        <is>
          <t>KINGDOM 3 — THE KINGDOM OF TWO POINTERS &amp; SLIDING WINDOW</t>
        </is>
      </c>
      <c r="C100" s="3" t="inlineStr">
        <is>
          <t>Pattern 3.3 — Sliding Window</t>
        </is>
      </c>
      <c r="D100" s="2" t="inlineStr">
        <is>
          <t>SLIDE3</t>
        </is>
      </c>
      <c r="E100" s="3" t="inlineStr">
        <is>
          <t>Minimum Size Subarray Sum</t>
        </is>
      </c>
      <c r="F100" s="9" t="inlineStr">
        <is>
          <t>Medium</t>
        </is>
      </c>
      <c r="G100" s="3" t="inlineStr">
        <is>
          <t>sliding window</t>
        </is>
      </c>
      <c r="H100" s="2" t="n">
        <v>60</v>
      </c>
      <c r="I100" s="2" t="n">
        <v>55</v>
      </c>
      <c r="J100" s="5" t="inlineStr">
        <is>
          <t>https://www.codechef.com/problems/SLIDE3</t>
        </is>
      </c>
      <c r="K100" s="3" t="inlineStr"/>
      <c r="L100" s="2" t="inlineStr">
        <is>
          <t>codechef</t>
        </is>
      </c>
    </row>
    <row r="101" ht="20" customHeight="1">
      <c r="A101" s="6" t="inlineStr">
        <is>
          <t>Unsolved</t>
        </is>
      </c>
      <c r="B101" s="7" t="inlineStr">
        <is>
          <t>KINGDOM 3 — THE KINGDOM OF TWO POINTERS &amp; SLIDING WINDOW</t>
        </is>
      </c>
      <c r="C101" s="7" t="inlineStr">
        <is>
          <t>Pattern 3.3 — Sliding Window</t>
        </is>
      </c>
      <c r="D101" s="6" t="inlineStr">
        <is>
          <t>SLIDE4</t>
        </is>
      </c>
      <c r="E101" s="7" t="inlineStr">
        <is>
          <t>Fruit Into Baskets</t>
        </is>
      </c>
      <c r="F101" s="9" t="inlineStr">
        <is>
          <t>Medium</t>
        </is>
      </c>
      <c r="G101" s="7" t="inlineStr">
        <is>
          <t>sliding window, hash map</t>
        </is>
      </c>
      <c r="H101" s="6" t="n">
        <v>60</v>
      </c>
      <c r="I101" s="6" t="n">
        <v>55</v>
      </c>
      <c r="J101" s="8" t="inlineStr">
        <is>
          <t>https://www.codechef.com/problems/SLIDE4</t>
        </is>
      </c>
      <c r="K101" s="7" t="inlineStr"/>
      <c r="L101" s="6" t="inlineStr">
        <is>
          <t>codechef</t>
        </is>
      </c>
    </row>
    <row r="102" ht="20" customHeight="1">
      <c r="A102" s="2" t="inlineStr">
        <is>
          <t>Unsolved</t>
        </is>
      </c>
      <c r="B102" s="3" t="inlineStr">
        <is>
          <t>KINGDOM 3 — THE KINGDOM OF TWO POINTERS &amp; SLIDING WINDOW</t>
        </is>
      </c>
      <c r="C102" s="3" t="inlineStr">
        <is>
          <t>Pattern 3.3 — Sliding Window</t>
        </is>
      </c>
      <c r="D102" s="2" t="inlineStr">
        <is>
          <t>SLIDE5</t>
        </is>
      </c>
      <c r="E102" s="3" t="inlineStr">
        <is>
          <t>Longest Repeating Character Replacement</t>
        </is>
      </c>
      <c r="F102" s="9" t="inlineStr">
        <is>
          <t>Medium</t>
        </is>
      </c>
      <c r="G102" s="3" t="inlineStr">
        <is>
          <t>sliding window</t>
        </is>
      </c>
      <c r="H102" s="2" t="n">
        <v>60</v>
      </c>
      <c r="I102" s="2" t="n">
        <v>55</v>
      </c>
      <c r="J102" s="5" t="inlineStr">
        <is>
          <t>https://www.codechef.com/problems/SLIDE5</t>
        </is>
      </c>
      <c r="K102" s="3" t="inlineStr"/>
      <c r="L102" s="2" t="inlineStr">
        <is>
          <t>codechef</t>
        </is>
      </c>
    </row>
    <row r="103" ht="20" customHeight="1">
      <c r="A103" s="6" t="inlineStr">
        <is>
          <t>Unsolved</t>
        </is>
      </c>
      <c r="B103" s="7" t="inlineStr">
        <is>
          <t>KINGDOM 3 — THE KINGDOM OF TWO POINTERS &amp; SLIDING WINDOW</t>
        </is>
      </c>
      <c r="C103" s="7" t="inlineStr">
        <is>
          <t>Pattern 3.3 — Sliding Window</t>
        </is>
      </c>
      <c r="D103" s="6" t="inlineStr">
        <is>
          <t>SLIDE6</t>
        </is>
      </c>
      <c r="E103" s="7" t="inlineStr">
        <is>
          <t>Sliding Window Maximum Deque</t>
        </is>
      </c>
      <c r="F103" s="10" t="inlineStr">
        <is>
          <t>Hard</t>
        </is>
      </c>
      <c r="G103" s="7" t="inlineStr">
        <is>
          <t>sliding window, deque</t>
        </is>
      </c>
      <c r="H103" s="6" t="n">
        <v>120</v>
      </c>
      <c r="I103" s="6" t="n">
        <v>120</v>
      </c>
      <c r="J103" s="8" t="inlineStr">
        <is>
          <t>https://www.codechef.com/problems/SLIDE6</t>
        </is>
      </c>
      <c r="K103" s="7" t="inlineStr"/>
      <c r="L103" s="6" t="inlineStr">
        <is>
          <t>codechef</t>
        </is>
      </c>
    </row>
    <row r="104" ht="20" customHeight="1">
      <c r="A104" s="2" t="inlineStr">
        <is>
          <t>Unsolved</t>
        </is>
      </c>
      <c r="B104" s="3" t="inlineStr">
        <is>
          <t>KINGDOM 3 — THE KINGDOM OF TWO POINTERS &amp; SLIDING WINDOW</t>
        </is>
      </c>
      <c r="C104" s="3" t="inlineStr">
        <is>
          <t>Pattern 3.3 — Sliding Window</t>
        </is>
      </c>
      <c r="D104" s="2" t="inlineStr">
        <is>
          <t>SLIDE7</t>
        </is>
      </c>
      <c r="E104" s="3" t="inlineStr">
        <is>
          <t>Permutation in String</t>
        </is>
      </c>
      <c r="F104" s="9" t="inlineStr">
        <is>
          <t>Medium</t>
        </is>
      </c>
      <c r="G104" s="3" t="inlineStr">
        <is>
          <t>sliding window, frequency</t>
        </is>
      </c>
      <c r="H104" s="2" t="n">
        <v>60</v>
      </c>
      <c r="I104" s="2" t="n">
        <v>55</v>
      </c>
      <c r="J104" s="5" t="inlineStr">
        <is>
          <t>https://www.codechef.com/problems/SLIDE7</t>
        </is>
      </c>
      <c r="K104" s="3" t="inlineStr"/>
      <c r="L104" s="2" t="inlineStr">
        <is>
          <t>codechef</t>
        </is>
      </c>
    </row>
    <row r="105" ht="20" customHeight="1">
      <c r="A105" s="6" t="inlineStr">
        <is>
          <t>Unsolved</t>
        </is>
      </c>
      <c r="B105" s="7" t="inlineStr">
        <is>
          <t>KINGDOM 3 — THE KINGDOM OF TWO POINTERS &amp; SLIDING WINDOW</t>
        </is>
      </c>
      <c r="C105" s="7" t="inlineStr">
        <is>
          <t>Pattern 3.3 — Sliding Window</t>
        </is>
      </c>
      <c r="D105" s="6" t="inlineStr">
        <is>
          <t>SLIDE8</t>
        </is>
      </c>
      <c r="E105" s="7" t="inlineStr">
        <is>
          <t>Find All Anagrams in String</t>
        </is>
      </c>
      <c r="F105" s="9" t="inlineStr">
        <is>
          <t>Medium</t>
        </is>
      </c>
      <c r="G105" s="7" t="inlineStr">
        <is>
          <t>sliding window</t>
        </is>
      </c>
      <c r="H105" s="6" t="n">
        <v>60</v>
      </c>
      <c r="I105" s="6" t="n">
        <v>55</v>
      </c>
      <c r="J105" s="8" t="inlineStr">
        <is>
          <t>https://www.codechef.com/problems/SLIDE8</t>
        </is>
      </c>
      <c r="K105" s="7" t="inlineStr"/>
      <c r="L105" s="6" t="inlineStr">
        <is>
          <t>codechef</t>
        </is>
      </c>
    </row>
    <row r="106" ht="20" customHeight="1">
      <c r="A106" s="2" t="inlineStr">
        <is>
          <t>Unsolved</t>
        </is>
      </c>
      <c r="B106" s="3" t="inlineStr">
        <is>
          <t>KINGDOM 3 — THE KINGDOM OF TWO POINTERS &amp; SLIDING WINDOW</t>
        </is>
      </c>
      <c r="C106" s="3" t="inlineStr">
        <is>
          <t>Pattern 3.3 — Sliding Window</t>
        </is>
      </c>
      <c r="D106" s="2" t="inlineStr">
        <is>
          <t>SLIDE9</t>
        </is>
      </c>
      <c r="E106" s="3" t="inlineStr">
        <is>
          <t>Minimum Window Substring</t>
        </is>
      </c>
      <c r="F106" s="10" t="inlineStr">
        <is>
          <t>Hard</t>
        </is>
      </c>
      <c r="G106" s="3" t="inlineStr">
        <is>
          <t>sliding window</t>
        </is>
      </c>
      <c r="H106" s="2" t="n">
        <v>120</v>
      </c>
      <c r="I106" s="2" t="n">
        <v>120</v>
      </c>
      <c r="J106" s="5" t="inlineStr">
        <is>
          <t>https://www.codechef.com/problems/SLIDE9</t>
        </is>
      </c>
      <c r="K106" s="3" t="inlineStr"/>
      <c r="L106" s="2" t="inlineStr">
        <is>
          <t>codechef</t>
        </is>
      </c>
    </row>
    <row r="107" ht="20" customHeight="1">
      <c r="A107" s="6" t="inlineStr">
        <is>
          <t>Unsolved</t>
        </is>
      </c>
      <c r="B107" s="7" t="inlineStr">
        <is>
          <t>KINGDOM 3 — THE KINGDOM OF TWO POINTERS &amp; SLIDING WINDOW</t>
        </is>
      </c>
      <c r="C107" s="7" t="inlineStr">
        <is>
          <t>Pattern 3.3 — Sliding Window</t>
        </is>
      </c>
      <c r="D107" s="6" t="inlineStr">
        <is>
          <t>SLIDE10</t>
        </is>
      </c>
      <c r="E107" s="7" t="inlineStr">
        <is>
          <t>Subarrays with K Distinct Integers</t>
        </is>
      </c>
      <c r="F107" s="10" t="inlineStr">
        <is>
          <t>Hard</t>
        </is>
      </c>
      <c r="G107" s="7" t="inlineStr">
        <is>
          <t>sliding window</t>
        </is>
      </c>
      <c r="H107" s="6" t="n">
        <v>120</v>
      </c>
      <c r="I107" s="6" t="n">
        <v>120</v>
      </c>
      <c r="J107" s="8" t="inlineStr">
        <is>
          <t>https://www.codechef.com/problems/SLIDE10</t>
        </is>
      </c>
      <c r="K107" s="7" t="inlineStr"/>
      <c r="L107" s="6" t="inlineStr">
        <is>
          <t>codechef</t>
        </is>
      </c>
    </row>
    <row r="108" ht="20" customHeight="1">
      <c r="A108" s="2" t="inlineStr">
        <is>
          <t>Unsolved</t>
        </is>
      </c>
      <c r="B108" s="3" t="inlineStr">
        <is>
          <t>KINGDOM 3 — THE KINGDOM OF TWO POINTERS &amp; SLIDING WINDOW</t>
        </is>
      </c>
      <c r="C108" s="3" t="inlineStr">
        <is>
          <t>Pattern 3.3 — Sliding Window</t>
        </is>
      </c>
      <c r="D108" s="2" t="inlineStr">
        <is>
          <t>SLIDE11</t>
        </is>
      </c>
      <c r="E108" s="3" t="inlineStr">
        <is>
          <t>Grumpy Bookstore Owner</t>
        </is>
      </c>
      <c r="F108" s="9" t="inlineStr">
        <is>
          <t>Easy-Medium</t>
        </is>
      </c>
      <c r="G108" s="3" t="inlineStr">
        <is>
          <t>sliding window</t>
        </is>
      </c>
      <c r="H108" s="2" t="n">
        <v>40</v>
      </c>
      <c r="I108" s="2" t="n">
        <v>35</v>
      </c>
      <c r="J108" s="5" t="inlineStr">
        <is>
          <t>https://www.codechef.com/problems/SLIDE11</t>
        </is>
      </c>
      <c r="K108" s="3" t="inlineStr"/>
      <c r="L108" s="2" t="inlineStr">
        <is>
          <t>codechef</t>
        </is>
      </c>
    </row>
    <row r="109" ht="20" customHeight="1">
      <c r="A109" s="6" t="inlineStr">
        <is>
          <t>Unsolved</t>
        </is>
      </c>
      <c r="B109" s="7" t="inlineStr">
        <is>
          <t>KINGDOM 3 — THE KINGDOM OF TWO POINTERS &amp; SLIDING WINDOW</t>
        </is>
      </c>
      <c r="C109" s="7" t="inlineStr">
        <is>
          <t>Pattern 3.3 — Sliding Window</t>
        </is>
      </c>
      <c r="D109" s="6" t="inlineStr">
        <is>
          <t>SLIDE12</t>
        </is>
      </c>
      <c r="E109" s="7" t="inlineStr">
        <is>
          <t>Max Consecutive Ones III</t>
        </is>
      </c>
      <c r="F109" s="9" t="inlineStr">
        <is>
          <t>Medium</t>
        </is>
      </c>
      <c r="G109" s="7" t="inlineStr">
        <is>
          <t>sliding window</t>
        </is>
      </c>
      <c r="H109" s="6" t="n">
        <v>60</v>
      </c>
      <c r="I109" s="6" t="n">
        <v>55</v>
      </c>
      <c r="J109" s="8" t="inlineStr">
        <is>
          <t>https://www.codechef.com/problems/SLIDE12</t>
        </is>
      </c>
      <c r="K109" s="7" t="inlineStr"/>
      <c r="L109" s="6" t="inlineStr">
        <is>
          <t>codechef</t>
        </is>
      </c>
    </row>
    <row r="110" ht="20" customHeight="1">
      <c r="A110" s="2" t="inlineStr">
        <is>
          <t>Unsolved</t>
        </is>
      </c>
      <c r="B110" s="3" t="inlineStr">
        <is>
          <t>KINGDOM 3 — THE KINGDOM OF TWO POINTERS &amp; SLIDING WINDOW</t>
        </is>
      </c>
      <c r="C110" s="3" t="inlineStr">
        <is>
          <t>Pattern 3.3 — Sliding Window</t>
        </is>
      </c>
      <c r="D110" s="2" t="inlineStr">
        <is>
          <t>SLIDE13</t>
        </is>
      </c>
      <c r="E110" s="3" t="inlineStr">
        <is>
          <t>Binary Subarrays With Sum</t>
        </is>
      </c>
      <c r="F110" s="9" t="inlineStr">
        <is>
          <t>Medium</t>
        </is>
      </c>
      <c r="G110" s="3" t="inlineStr">
        <is>
          <t>sliding window</t>
        </is>
      </c>
      <c r="H110" s="2" t="n">
        <v>60</v>
      </c>
      <c r="I110" s="2" t="n">
        <v>55</v>
      </c>
      <c r="J110" s="5" t="inlineStr">
        <is>
          <t>https://www.codechef.com/problems/SLIDE13</t>
        </is>
      </c>
      <c r="K110" s="3" t="inlineStr"/>
      <c r="L110" s="2" t="inlineStr">
        <is>
          <t>codechef</t>
        </is>
      </c>
    </row>
    <row r="111" ht="20" customHeight="1">
      <c r="A111" s="6" t="inlineStr">
        <is>
          <t>Unsolved</t>
        </is>
      </c>
      <c r="B111" s="7" t="inlineStr">
        <is>
          <t>KINGDOM 3 — THE KINGDOM OF TWO POINTERS &amp; SLIDING WINDOW</t>
        </is>
      </c>
      <c r="C111" s="7" t="inlineStr">
        <is>
          <t>Pattern 3.3 — Sliding Window</t>
        </is>
      </c>
      <c r="D111" s="6" t="inlineStr">
        <is>
          <t>SLIDE14</t>
        </is>
      </c>
      <c r="E111" s="7" t="inlineStr">
        <is>
          <t>Subarray Sums Divisible by K Window</t>
        </is>
      </c>
      <c r="F111" s="10" t="inlineStr">
        <is>
          <t>Medium-Hard</t>
        </is>
      </c>
      <c r="G111" s="7" t="inlineStr">
        <is>
          <t>sliding window</t>
        </is>
      </c>
      <c r="H111" s="6" t="n">
        <v>90</v>
      </c>
      <c r="I111" s="6" t="n">
        <v>80</v>
      </c>
      <c r="J111" s="8" t="inlineStr">
        <is>
          <t>https://www.codechef.com/problems/SLIDE14</t>
        </is>
      </c>
      <c r="K111" s="7" t="inlineStr"/>
      <c r="L111" s="6" t="inlineStr">
        <is>
          <t>codechef</t>
        </is>
      </c>
    </row>
    <row r="112" ht="20" customHeight="1">
      <c r="A112" s="2" t="inlineStr">
        <is>
          <t>Unsolved</t>
        </is>
      </c>
      <c r="B112" s="3" t="inlineStr">
        <is>
          <t>KINGDOM 3 — THE KINGDOM OF TWO POINTERS &amp; SLIDING WINDOW</t>
        </is>
      </c>
      <c r="C112" s="3" t="inlineStr">
        <is>
          <t>Pattern 3.3 — Sliding Window</t>
        </is>
      </c>
      <c r="D112" s="2" t="inlineStr">
        <is>
          <t>SLIDE15</t>
        </is>
      </c>
      <c r="E112" s="3" t="inlineStr">
        <is>
          <t>Frequency of Most Frequent Element</t>
        </is>
      </c>
      <c r="F112" s="10" t="inlineStr">
        <is>
          <t>Medium-Hard</t>
        </is>
      </c>
      <c r="G112" s="3" t="inlineStr">
        <is>
          <t>sliding window, sorting</t>
        </is>
      </c>
      <c r="H112" s="2" t="n">
        <v>90</v>
      </c>
      <c r="I112" s="2" t="n">
        <v>80</v>
      </c>
      <c r="J112" s="5" t="inlineStr">
        <is>
          <t>https://www.codechef.com/problems/SLIDE15</t>
        </is>
      </c>
      <c r="K112" s="3" t="inlineStr"/>
      <c r="L112" s="2" t="inlineStr">
        <is>
          <t>codechef</t>
        </is>
      </c>
    </row>
    <row r="113" ht="20" customHeight="1">
      <c r="A113" s="6" t="inlineStr">
        <is>
          <t>Unsolved</t>
        </is>
      </c>
      <c r="B113" s="7" t="inlineStr">
        <is>
          <t>KINGDOM 3 — THE KINGDOM OF TWO POINTERS &amp; SLIDING WINDOW</t>
        </is>
      </c>
      <c r="C113" s="7" t="inlineStr">
        <is>
          <t>Pattern 3.4 — Meet in the Middle Style</t>
        </is>
      </c>
      <c r="D113" s="6" t="inlineStr">
        <is>
          <t>MITM1</t>
        </is>
      </c>
      <c r="E113" s="7" t="inlineStr">
        <is>
          <t>Subset Sum Meet in Middle</t>
        </is>
      </c>
      <c r="F113" s="10" t="inlineStr">
        <is>
          <t>Hard</t>
        </is>
      </c>
      <c r="G113" s="7" t="inlineStr">
        <is>
          <t>meet in the middle</t>
        </is>
      </c>
      <c r="H113" s="6" t="n">
        <v>120</v>
      </c>
      <c r="I113" s="6" t="n">
        <v>120</v>
      </c>
      <c r="J113" s="8" t="inlineStr">
        <is>
          <t>https://www.codechef.com/problems/MITM1</t>
        </is>
      </c>
      <c r="K113" s="7" t="inlineStr"/>
      <c r="L113" s="6" t="inlineStr">
        <is>
          <t>codechef</t>
        </is>
      </c>
    </row>
    <row r="114" ht="20" customHeight="1">
      <c r="A114" s="2" t="inlineStr">
        <is>
          <t>Unsolved</t>
        </is>
      </c>
      <c r="B114" s="3" t="inlineStr">
        <is>
          <t>KINGDOM 3 — THE KINGDOM OF TWO POINTERS &amp; SLIDING WINDOW</t>
        </is>
      </c>
      <c r="C114" s="3" t="inlineStr">
        <is>
          <t>Pattern 3.4 — Meet in the Middle Style</t>
        </is>
      </c>
      <c r="D114" s="2" t="inlineStr">
        <is>
          <t>MITM2</t>
        </is>
      </c>
      <c r="E114" s="3" t="inlineStr">
        <is>
          <t>4Sum II Zero Count</t>
        </is>
      </c>
      <c r="F114" s="10" t="inlineStr">
        <is>
          <t>Medium-Hard</t>
        </is>
      </c>
      <c r="G114" s="3" t="inlineStr">
        <is>
          <t>meet in the middle, hash map</t>
        </is>
      </c>
      <c r="H114" s="2" t="n">
        <v>90</v>
      </c>
      <c r="I114" s="2" t="n">
        <v>80</v>
      </c>
      <c r="J114" s="5" t="inlineStr">
        <is>
          <t>https://www.codechef.com/problems/MITM2</t>
        </is>
      </c>
      <c r="K114" s="3" t="inlineStr"/>
      <c r="L114" s="2" t="inlineStr">
        <is>
          <t>codechef</t>
        </is>
      </c>
    </row>
    <row r="115" ht="20" customHeight="1">
      <c r="A115" s="6" t="inlineStr">
        <is>
          <t>Unsolved</t>
        </is>
      </c>
      <c r="B115" s="7" t="inlineStr">
        <is>
          <t>KINGDOM 3 — THE KINGDOM OF TWO POINTERS &amp; SLIDING WINDOW</t>
        </is>
      </c>
      <c r="C115" s="7" t="inlineStr">
        <is>
          <t>Pattern 3.4 — Meet in the Middle Style</t>
        </is>
      </c>
      <c r="D115" s="6" t="inlineStr">
        <is>
          <t>MITM3</t>
        </is>
      </c>
      <c r="E115" s="7" t="inlineStr">
        <is>
          <t>Closest Subset Sum Target</t>
        </is>
      </c>
      <c r="F115" s="10" t="inlineStr">
        <is>
          <t>Hard</t>
        </is>
      </c>
      <c r="G115" s="7" t="inlineStr">
        <is>
          <t>meet in the middle, binary search</t>
        </is>
      </c>
      <c r="H115" s="6" t="n">
        <v>120</v>
      </c>
      <c r="I115" s="6" t="n">
        <v>120</v>
      </c>
      <c r="J115" s="8" t="inlineStr">
        <is>
          <t>https://www.codechef.com/problems/MITM3</t>
        </is>
      </c>
      <c r="K115" s="7" t="inlineStr"/>
      <c r="L115" s="6" t="inlineStr">
        <is>
          <t>codechef</t>
        </is>
      </c>
    </row>
    <row r="116" ht="20" customHeight="1">
      <c r="A116" s="2" t="inlineStr">
        <is>
          <t>Unsolved</t>
        </is>
      </c>
      <c r="B116" s="3" t="inlineStr">
        <is>
          <t>KINGDOM 3 — THE KINGDOM OF TWO POINTERS &amp; SLIDING WINDOW</t>
        </is>
      </c>
      <c r="C116" s="3" t="inlineStr">
        <is>
          <t>Pattern 3.4 — Meet in the Middle Style</t>
        </is>
      </c>
      <c r="D116" s="2" t="inlineStr">
        <is>
          <t>MITM4</t>
        </is>
      </c>
      <c r="E116" s="3" t="inlineStr">
        <is>
          <t>Maximum XOR Subset Pair</t>
        </is>
      </c>
      <c r="F116" s="10" t="inlineStr">
        <is>
          <t>Hard</t>
        </is>
      </c>
      <c r="G116" s="3" t="inlineStr">
        <is>
          <t>meet in the middle</t>
        </is>
      </c>
      <c r="H116" s="2" t="n">
        <v>120</v>
      </c>
      <c r="I116" s="2" t="n">
        <v>120</v>
      </c>
      <c r="J116" s="5" t="inlineStr">
        <is>
          <t>https://www.codechef.com/problems/MITM4</t>
        </is>
      </c>
      <c r="K116" s="3" t="inlineStr"/>
      <c r="L116" s="2" t="inlineStr">
        <is>
          <t>codechef</t>
        </is>
      </c>
    </row>
    <row r="117" ht="20" customHeight="1">
      <c r="A117" s="6" t="inlineStr">
        <is>
          <t>Unsolved</t>
        </is>
      </c>
      <c r="B117" s="7" t="inlineStr">
        <is>
          <t>KINGDOM 3 — THE KINGDOM OF TWO POINTERS &amp; SLIDING WINDOW</t>
        </is>
      </c>
      <c r="C117" s="7" t="inlineStr">
        <is>
          <t>Pattern 3.4 — Meet in the Middle Style</t>
        </is>
      </c>
      <c r="D117" s="6" t="inlineStr">
        <is>
          <t>MITM5</t>
        </is>
      </c>
      <c r="E117" s="7" t="inlineStr">
        <is>
          <t>Knapsack Half Partition</t>
        </is>
      </c>
      <c r="F117" s="10" t="inlineStr">
        <is>
          <t>Hard</t>
        </is>
      </c>
      <c r="G117" s="7" t="inlineStr">
        <is>
          <t>meet in the middle</t>
        </is>
      </c>
      <c r="H117" s="6" t="n">
        <v>120</v>
      </c>
      <c r="I117" s="6" t="n">
        <v>120</v>
      </c>
      <c r="J117" s="8" t="inlineStr">
        <is>
          <t>https://www.codechef.com/problems/MITM5</t>
        </is>
      </c>
      <c r="K117" s="7" t="inlineStr"/>
      <c r="L117" s="6" t="inlineStr">
        <is>
          <t>codechef</t>
        </is>
      </c>
    </row>
    <row r="118" ht="20" customHeight="1">
      <c r="A118" s="2" t="inlineStr">
        <is>
          <t>Unsolved</t>
        </is>
      </c>
      <c r="B118" s="3" t="inlineStr">
        <is>
          <t>KINGDOM 3 — THE KINGDOM OF TWO POINTERS &amp; SLIDING WINDOW</t>
        </is>
      </c>
      <c r="C118" s="3" t="inlineStr">
        <is>
          <t>Pattern 3.4 — Meet in the Middle Style</t>
        </is>
      </c>
      <c r="D118" s="2" t="inlineStr">
        <is>
          <t>MITM6</t>
        </is>
      </c>
      <c r="E118" s="3" t="inlineStr">
        <is>
          <t>Split Array Equal Sum MITM</t>
        </is>
      </c>
      <c r="F118" s="10" t="inlineStr">
        <is>
          <t>Hard</t>
        </is>
      </c>
      <c r="G118" s="3" t="inlineStr">
        <is>
          <t>meet in the middle</t>
        </is>
      </c>
      <c r="H118" s="2" t="n">
        <v>120</v>
      </c>
      <c r="I118" s="2" t="n">
        <v>120</v>
      </c>
      <c r="J118" s="5" t="inlineStr">
        <is>
          <t>https://www.codechef.com/problems/MITM6</t>
        </is>
      </c>
      <c r="K118" s="3" t="inlineStr"/>
      <c r="L118" s="2" t="inlineStr">
        <is>
          <t>codechef</t>
        </is>
      </c>
    </row>
    <row r="119" ht="20" customHeight="1">
      <c r="A119" s="6" t="inlineStr">
        <is>
          <t>Unsolved</t>
        </is>
      </c>
      <c r="B119" s="7" t="inlineStr">
        <is>
          <t>KINGDOM 3 — THE KINGDOM OF TWO POINTERS &amp; SLIDING WINDOW</t>
        </is>
      </c>
      <c r="C119" s="7" t="inlineStr">
        <is>
          <t>Pattern 3.4 — Meet in the Middle Style</t>
        </is>
      </c>
      <c r="D119" s="6" t="inlineStr">
        <is>
          <t>MITM7</t>
        </is>
      </c>
      <c r="E119" s="7" t="inlineStr">
        <is>
          <t>Double Match Selection</t>
        </is>
      </c>
      <c r="F119" s="10" t="inlineStr">
        <is>
          <t>Hard</t>
        </is>
      </c>
      <c r="G119" s="7" t="inlineStr">
        <is>
          <t>meet in the middle</t>
        </is>
      </c>
      <c r="H119" s="6" t="n">
        <v>120</v>
      </c>
      <c r="I119" s="6" t="n">
        <v>120</v>
      </c>
      <c r="J119" s="8" t="inlineStr">
        <is>
          <t>https://www.codechef.com/problems/MITM7</t>
        </is>
      </c>
      <c r="K119" s="7" t="inlineStr"/>
      <c r="L119" s="6" t="inlineStr">
        <is>
          <t>codechef</t>
        </is>
      </c>
    </row>
    <row r="120" ht="20" customHeight="1">
      <c r="A120" s="2" t="inlineStr">
        <is>
          <t>Unsolved</t>
        </is>
      </c>
      <c r="B120" s="3" t="inlineStr">
        <is>
          <t>KINGDOM 3 — THE KINGDOM OF TWO POINTERS &amp; SLIDING WINDOW</t>
        </is>
      </c>
      <c r="C120" s="3" t="inlineStr">
        <is>
          <t>Pattern 3.4 — Meet in the Middle Style</t>
        </is>
      </c>
      <c r="D120" s="2" t="inlineStr">
        <is>
          <t>MITM8</t>
        </is>
      </c>
      <c r="E120" s="3" t="inlineStr">
        <is>
          <t>Bi-directional Search Graph</t>
        </is>
      </c>
      <c r="F120" s="10" t="inlineStr">
        <is>
          <t>Hard</t>
        </is>
      </c>
      <c r="G120" s="3" t="inlineStr">
        <is>
          <t>meet in the middle</t>
        </is>
      </c>
      <c r="H120" s="2" t="n">
        <v>120</v>
      </c>
      <c r="I120" s="2" t="n">
        <v>120</v>
      </c>
      <c r="J120" s="5" t="inlineStr">
        <is>
          <t>https://www.codechef.com/problems/MITM8</t>
        </is>
      </c>
      <c r="K120" s="3" t="inlineStr"/>
      <c r="L120" s="2" t="inlineStr">
        <is>
          <t>codechef</t>
        </is>
      </c>
    </row>
    <row r="121" ht="20" customHeight="1">
      <c r="A121" s="6" t="inlineStr">
        <is>
          <t>Unsolved</t>
        </is>
      </c>
      <c r="B121" s="7" t="inlineStr">
        <is>
          <t>KINGDOM 3 — THE KINGDOM OF TWO POINTERS &amp; SLIDING WINDOW</t>
        </is>
      </c>
      <c r="C121" s="7" t="inlineStr">
        <is>
          <t>Pattern 3.4 — Meet in the Middle Style</t>
        </is>
      </c>
      <c r="D121" s="6" t="inlineStr">
        <is>
          <t>MITM9</t>
        </is>
      </c>
      <c r="E121" s="7" t="inlineStr">
        <is>
          <t>4-Element Equation Solver</t>
        </is>
      </c>
      <c r="F121" s="10" t="inlineStr">
        <is>
          <t>Hard</t>
        </is>
      </c>
      <c r="G121" s="7" t="inlineStr">
        <is>
          <t>meet in the middle</t>
        </is>
      </c>
      <c r="H121" s="6" t="n">
        <v>120</v>
      </c>
      <c r="I121" s="6" t="n">
        <v>120</v>
      </c>
      <c r="J121" s="8" t="inlineStr">
        <is>
          <t>https://www.codechef.com/problems/MITM9</t>
        </is>
      </c>
      <c r="K121" s="7" t="inlineStr"/>
      <c r="L121" s="6" t="inlineStr">
        <is>
          <t>codechef</t>
        </is>
      </c>
    </row>
    <row r="122" ht="20" customHeight="1">
      <c r="A122" s="2" t="inlineStr">
        <is>
          <t>Unsolved</t>
        </is>
      </c>
      <c r="B122" s="3" t="inlineStr">
        <is>
          <t>KINGDOM 3 — THE KINGDOM OF TWO POINTERS &amp; SLIDING WINDOW</t>
        </is>
      </c>
      <c r="C122" s="3" t="inlineStr">
        <is>
          <t>Pattern 3.4 — Meet in the Middle Style</t>
        </is>
      </c>
      <c r="D122" s="2" t="inlineStr">
        <is>
          <t>MITM10</t>
        </is>
      </c>
      <c r="E122" s="3" t="inlineStr">
        <is>
          <t>Subset Product Target MITM</t>
        </is>
      </c>
      <c r="F122" s="10" t="inlineStr">
        <is>
          <t>Hard</t>
        </is>
      </c>
      <c r="G122" s="3" t="inlineStr">
        <is>
          <t>meet in the middle</t>
        </is>
      </c>
      <c r="H122" s="2" t="n">
        <v>120</v>
      </c>
      <c r="I122" s="2" t="n">
        <v>120</v>
      </c>
      <c r="J122" s="5" t="inlineStr">
        <is>
          <t>https://www.codechef.com/problems/MITM10</t>
        </is>
      </c>
      <c r="K122" s="3" t="inlineStr"/>
      <c r="L122" s="2" t="inlineStr">
        <is>
          <t>codechef</t>
        </is>
      </c>
    </row>
    <row r="123" ht="20" customHeight="1">
      <c r="A123" s="6" t="inlineStr">
        <is>
          <t>Unsolved</t>
        </is>
      </c>
      <c r="B123" s="7" t="inlineStr">
        <is>
          <t>KINGDOM 3 — THE KINGDOM OF TWO POINTERS &amp; SLIDING WINDOW</t>
        </is>
      </c>
      <c r="C123" s="7" t="inlineStr">
        <is>
          <t>Pattern 3.4 — Meet in the Middle Style</t>
        </is>
      </c>
      <c r="D123" s="6" t="inlineStr">
        <is>
          <t>MITM11</t>
        </is>
      </c>
      <c r="E123" s="7" t="inlineStr">
        <is>
          <t>Partition Array Two Equal Halves</t>
        </is>
      </c>
      <c r="F123" s="10" t="inlineStr">
        <is>
          <t>Hard</t>
        </is>
      </c>
      <c r="G123" s="7" t="inlineStr">
        <is>
          <t>meet in the middle</t>
        </is>
      </c>
      <c r="H123" s="6" t="n">
        <v>120</v>
      </c>
      <c r="I123" s="6" t="n">
        <v>120</v>
      </c>
      <c r="J123" s="8" t="inlineStr">
        <is>
          <t>https://www.codechef.com/problems/MITM11</t>
        </is>
      </c>
      <c r="K123" s="7" t="inlineStr"/>
      <c r="L123" s="6" t="inlineStr">
        <is>
          <t>codechef</t>
        </is>
      </c>
    </row>
    <row r="124" ht="20" customHeight="1">
      <c r="A124" s="2" t="inlineStr">
        <is>
          <t>Unsolved</t>
        </is>
      </c>
      <c r="B124" s="3" t="inlineStr">
        <is>
          <t>KINGDOM 3 — THE KINGDOM OF TWO POINTERS &amp; SLIDING WINDOW</t>
        </is>
      </c>
      <c r="C124" s="3" t="inlineStr">
        <is>
          <t>Pattern 3.4 — Meet in the Middle Style</t>
        </is>
      </c>
      <c r="D124" s="2" t="inlineStr">
        <is>
          <t>MITM12</t>
        </is>
      </c>
      <c r="E124" s="3" t="inlineStr">
        <is>
          <t>Minimal Weight Dual Subset</t>
        </is>
      </c>
      <c r="F124" s="10" t="inlineStr">
        <is>
          <t>Hard</t>
        </is>
      </c>
      <c r="G124" s="3" t="inlineStr">
        <is>
          <t>meet in the middle</t>
        </is>
      </c>
      <c r="H124" s="2" t="n">
        <v>120</v>
      </c>
      <c r="I124" s="2" t="n">
        <v>120</v>
      </c>
      <c r="J124" s="5" t="inlineStr">
        <is>
          <t>https://www.codechef.com/problems/MITM12</t>
        </is>
      </c>
      <c r="K124" s="3" t="inlineStr"/>
      <c r="L124" s="2" t="inlineStr">
        <is>
          <t>codechef</t>
        </is>
      </c>
    </row>
    <row r="125" ht="20" customHeight="1">
      <c r="A125" s="6" t="inlineStr">
        <is>
          <t>Unsolved</t>
        </is>
      </c>
      <c r="B125" s="7" t="inlineStr">
        <is>
          <t>KINGDOM 3 — THE KINGDOM OF TWO POINTERS &amp; SLIDING WINDOW</t>
        </is>
      </c>
      <c r="C125" s="7" t="inlineStr">
        <is>
          <t>Pattern 3.4 — Meet in the Middle Style</t>
        </is>
      </c>
      <c r="D125" s="6" t="inlineStr">
        <is>
          <t>MITM13</t>
        </is>
      </c>
      <c r="E125" s="7" t="inlineStr">
        <is>
          <t>Combination Sum IV MITM</t>
        </is>
      </c>
      <c r="F125" s="10" t="inlineStr">
        <is>
          <t>Medium-Hard</t>
        </is>
      </c>
      <c r="G125" s="7" t="inlineStr">
        <is>
          <t>meet in the middle</t>
        </is>
      </c>
      <c r="H125" s="6" t="n">
        <v>90</v>
      </c>
      <c r="I125" s="6" t="n">
        <v>80</v>
      </c>
      <c r="J125" s="8" t="inlineStr">
        <is>
          <t>https://www.codechef.com/problems/MITM13</t>
        </is>
      </c>
      <c r="K125" s="7" t="inlineStr"/>
      <c r="L125" s="6" t="inlineStr">
        <is>
          <t>codechef</t>
        </is>
      </c>
    </row>
    <row r="126" ht="20" customHeight="1">
      <c r="A126" s="2" t="inlineStr">
        <is>
          <t>Unsolved</t>
        </is>
      </c>
      <c r="B126" s="3" t="inlineStr">
        <is>
          <t>KINGDOM 3 — THE KINGDOM OF TWO POINTERS &amp; SLIDING WINDOW</t>
        </is>
      </c>
      <c r="C126" s="3" t="inlineStr">
        <is>
          <t>Pattern 3.4 — Meet in the Middle Style</t>
        </is>
      </c>
      <c r="D126" s="2" t="inlineStr">
        <is>
          <t>MITM14</t>
        </is>
      </c>
      <c r="E126" s="3" t="inlineStr">
        <is>
          <t>Generalized Equal Subset Split</t>
        </is>
      </c>
      <c r="F126" s="11" t="inlineStr">
        <is>
          <t>Expert</t>
        </is>
      </c>
      <c r="G126" s="3" t="inlineStr">
        <is>
          <t>meet in the middle</t>
        </is>
      </c>
      <c r="H126" s="2" t="n">
        <v>180</v>
      </c>
      <c r="I126" s="2" t="n">
        <v>180</v>
      </c>
      <c r="J126" s="5" t="inlineStr">
        <is>
          <t>https://www.codechef.com/problems/MITM14</t>
        </is>
      </c>
      <c r="K126" s="3" t="inlineStr"/>
      <c r="L126" s="2" t="inlineStr">
        <is>
          <t>codechef</t>
        </is>
      </c>
    </row>
    <row r="127" ht="20" customHeight="1">
      <c r="A127" s="6" t="inlineStr">
        <is>
          <t>Unsolved</t>
        </is>
      </c>
      <c r="B127" s="7" t="inlineStr">
        <is>
          <t>KINGDOM 3 — THE KINGDOM OF TWO POINTERS &amp; SLIDING WINDOW</t>
        </is>
      </c>
      <c r="C127" s="7" t="inlineStr">
        <is>
          <t>Pattern 3.4 — Meet in the Middle Style</t>
        </is>
      </c>
      <c r="D127" s="6" t="inlineStr">
        <is>
          <t>MITM15</t>
        </is>
      </c>
      <c r="E127" s="7" t="inlineStr">
        <is>
          <t>Meet in Middle Matrix Paths</t>
        </is>
      </c>
      <c r="F127" s="11" t="inlineStr">
        <is>
          <t>Expert</t>
        </is>
      </c>
      <c r="G127" s="7" t="inlineStr">
        <is>
          <t>meet in the middle</t>
        </is>
      </c>
      <c r="H127" s="6" t="n">
        <v>180</v>
      </c>
      <c r="I127" s="6" t="n">
        <v>180</v>
      </c>
      <c r="J127" s="8" t="inlineStr">
        <is>
          <t>https://www.codechef.com/problems/MITM15</t>
        </is>
      </c>
      <c r="K127" s="7" t="inlineStr"/>
      <c r="L127" s="6" t="inlineStr">
        <is>
          <t>codechef</t>
        </is>
      </c>
    </row>
    <row r="128" ht="20" customHeight="1">
      <c r="A128" s="2" t="inlineStr">
        <is>
          <t>Unsolved</t>
        </is>
      </c>
      <c r="B128" s="3" t="inlineStr">
        <is>
          <t>KINGDOM 3 — THE KINGDOM OF TWO POINTERS &amp; SLIDING WINDOW</t>
        </is>
      </c>
      <c r="C128" s="3" t="inlineStr">
        <is>
          <t>Pattern 3.4 — Meet in the Middle Style</t>
        </is>
      </c>
      <c r="D128" s="2" t="inlineStr">
        <is>
          <t>MITM16</t>
        </is>
      </c>
      <c r="E128" s="3" t="inlineStr">
        <is>
          <t>Subarray Bitwise OR Target</t>
        </is>
      </c>
      <c r="F128" s="10" t="inlineStr">
        <is>
          <t>Hard</t>
        </is>
      </c>
      <c r="G128" s="3" t="inlineStr">
        <is>
          <t>meet in the middle</t>
        </is>
      </c>
      <c r="H128" s="2" t="n">
        <v>120</v>
      </c>
      <c r="I128" s="2" t="n">
        <v>120</v>
      </c>
      <c r="J128" s="5" t="inlineStr">
        <is>
          <t>https://www.codechef.com/problems/MITM16</t>
        </is>
      </c>
      <c r="K128" s="3" t="inlineStr"/>
      <c r="L128" s="2" t="inlineStr">
        <is>
          <t>codechef</t>
        </is>
      </c>
    </row>
    <row r="129" ht="20" customHeight="1">
      <c r="A129" s="6" t="inlineStr">
        <is>
          <t>Unsolved</t>
        </is>
      </c>
      <c r="B129" s="7" t="inlineStr">
        <is>
          <t>KINGDOM 3 — THE KINGDOM OF TWO POINTERS &amp; SLIDING WINDOW</t>
        </is>
      </c>
      <c r="C129" s="7" t="inlineStr">
        <is>
          <t>Pattern 3.4 — Meet in the Middle Style</t>
        </is>
      </c>
      <c r="D129" s="6" t="inlineStr">
        <is>
          <t>MITM17</t>
        </is>
      </c>
      <c r="E129" s="7" t="inlineStr">
        <is>
          <t>Exact K-Sum Split MITM</t>
        </is>
      </c>
      <c r="F129" s="10" t="inlineStr">
        <is>
          <t>Hard</t>
        </is>
      </c>
      <c r="G129" s="7" t="inlineStr">
        <is>
          <t>meet in the middle</t>
        </is>
      </c>
      <c r="H129" s="6" t="n">
        <v>120</v>
      </c>
      <c r="I129" s="6" t="n">
        <v>120</v>
      </c>
      <c r="J129" s="8" t="inlineStr">
        <is>
          <t>https://www.codechef.com/problems/MITM17</t>
        </is>
      </c>
      <c r="K129" s="7" t="inlineStr"/>
      <c r="L129" s="6" t="inlineStr">
        <is>
          <t>codechef</t>
        </is>
      </c>
    </row>
    <row r="130" ht="20" customHeight="1">
      <c r="A130" s="2" t="inlineStr">
        <is>
          <t>Unsolved</t>
        </is>
      </c>
      <c r="B130" s="3" t="inlineStr">
        <is>
          <t>KINGDOM 4 — THE KINGDOM OF BINARY SEARCH</t>
        </is>
      </c>
      <c r="C130" s="3" t="inlineStr">
        <is>
          <t>Pattern 4.1 — Classic Binary Search</t>
        </is>
      </c>
      <c r="D130" s="2" t="inlineStr">
        <is>
          <t>LOWSUM</t>
        </is>
      </c>
      <c r="E130" s="3" t="inlineStr">
        <is>
          <t>Lowest Sum Pair Search</t>
        </is>
      </c>
      <c r="F130" s="9" t="inlineStr">
        <is>
          <t>Medium</t>
        </is>
      </c>
      <c r="G130" s="3" t="inlineStr">
        <is>
          <t>binary search, sorting</t>
        </is>
      </c>
      <c r="H130" s="2" t="n">
        <v>60</v>
      </c>
      <c r="I130" s="2" t="n">
        <v>55</v>
      </c>
      <c r="J130" s="5" t="inlineStr">
        <is>
          <t>https://www.codechef.com/problems/LOWSUM</t>
        </is>
      </c>
      <c r="K130" s="3" t="inlineStr"/>
      <c r="L130" s="2" t="inlineStr">
        <is>
          <t>codechef</t>
        </is>
      </c>
    </row>
    <row r="131" ht="20" customHeight="1">
      <c r="A131" s="6" t="inlineStr">
        <is>
          <t>Unsolved</t>
        </is>
      </c>
      <c r="B131" s="7" t="inlineStr">
        <is>
          <t>KINGDOM 4 — THE KINGDOM OF BINARY SEARCH</t>
        </is>
      </c>
      <c r="C131" s="7" t="inlineStr">
        <is>
          <t>Pattern 4.1 — Classic Binary Search</t>
        </is>
      </c>
      <c r="D131" s="6" t="inlineStr">
        <is>
          <t>SMRSTR</t>
        </is>
      </c>
      <c r="E131" s="7" t="inlineStr">
        <is>
          <t>Smart Strategy</t>
        </is>
      </c>
      <c r="F131" s="4" t="inlineStr">
        <is>
          <t>Easy</t>
        </is>
      </c>
      <c r="G131" s="7" t="inlineStr">
        <is>
          <t>binary search, division</t>
        </is>
      </c>
      <c r="H131" s="6" t="n">
        <v>25</v>
      </c>
      <c r="I131" s="6" t="n">
        <v>20</v>
      </c>
      <c r="J131" s="8" t="inlineStr">
        <is>
          <t>https://www.codechef.com/problems/SMRSTR</t>
        </is>
      </c>
      <c r="K131" s="7" t="inlineStr"/>
      <c r="L131" s="6" t="inlineStr">
        <is>
          <t>codechef</t>
        </is>
      </c>
    </row>
    <row r="132" ht="20" customHeight="1">
      <c r="A132" s="2" t="inlineStr">
        <is>
          <t>Unsolved</t>
        </is>
      </c>
      <c r="B132" s="3" t="inlineStr">
        <is>
          <t>KINGDOM 4 — THE KINGDOM OF BINARY SEARCH</t>
        </is>
      </c>
      <c r="C132" s="3" t="inlineStr">
        <is>
          <t>Pattern 4.1 — Classic Binary Search</t>
        </is>
      </c>
      <c r="D132" s="2" t="inlineStr">
        <is>
          <t>STACKS</t>
        </is>
      </c>
      <c r="E132" s="3" t="inlineStr">
        <is>
          <t>Stacks of Plates</t>
        </is>
      </c>
      <c r="F132" s="9" t="inlineStr">
        <is>
          <t>Easy-Medium</t>
        </is>
      </c>
      <c r="G132" s="3" t="inlineStr">
        <is>
          <t>binary search, bisect_right</t>
        </is>
      </c>
      <c r="H132" s="2" t="n">
        <v>40</v>
      </c>
      <c r="I132" s="2" t="n">
        <v>35</v>
      </c>
      <c r="J132" s="5" t="inlineStr">
        <is>
          <t>https://www.codechef.com/problems/STACKS</t>
        </is>
      </c>
      <c r="K132" s="3" t="inlineStr"/>
      <c r="L132" s="2" t="inlineStr">
        <is>
          <t>codechef</t>
        </is>
      </c>
    </row>
    <row r="133" ht="20" customHeight="1">
      <c r="A133" s="6" t="inlineStr">
        <is>
          <t>Unsolved</t>
        </is>
      </c>
      <c r="B133" s="7" t="inlineStr">
        <is>
          <t>KINGDOM 4 — THE KINGDOM OF BINARY SEARCH</t>
        </is>
      </c>
      <c r="C133" s="7" t="inlineStr">
        <is>
          <t>Pattern 4.1 — Classic Binary Search</t>
        </is>
      </c>
      <c r="D133" s="6" t="inlineStr">
        <is>
          <t>STRPAIRS</t>
        </is>
      </c>
      <c r="E133" s="7" t="inlineStr">
        <is>
          <t>String Pair Search</t>
        </is>
      </c>
      <c r="F133" s="9" t="inlineStr">
        <is>
          <t>Medium</t>
        </is>
      </c>
      <c r="G133" s="7" t="inlineStr">
        <is>
          <t>binary search</t>
        </is>
      </c>
      <c r="H133" s="6" t="n">
        <v>60</v>
      </c>
      <c r="I133" s="6" t="n">
        <v>55</v>
      </c>
      <c r="J133" s="8" t="inlineStr">
        <is>
          <t>https://www.codechef.com/problems/STRPAIRS</t>
        </is>
      </c>
      <c r="K133" s="7" t="inlineStr"/>
      <c r="L133" s="6" t="inlineStr">
        <is>
          <t>codechef</t>
        </is>
      </c>
    </row>
    <row r="134" ht="20" customHeight="1">
      <c r="A134" s="2" t="inlineStr">
        <is>
          <t>Unsolved</t>
        </is>
      </c>
      <c r="B134" s="3" t="inlineStr">
        <is>
          <t>KINGDOM 4 — THE KINGDOM OF BINARY SEARCH</t>
        </is>
      </c>
      <c r="C134" s="3" t="inlineStr">
        <is>
          <t>Pattern 4.1 — Classic Binary Search</t>
        </is>
      </c>
      <c r="D134" s="2" t="inlineStr">
        <is>
          <t>BS101</t>
        </is>
      </c>
      <c r="E134" s="3" t="inlineStr">
        <is>
          <t>Binary Search Element</t>
        </is>
      </c>
      <c r="F134" s="4" t="inlineStr">
        <is>
          <t>Beginner</t>
        </is>
      </c>
      <c r="G134" s="3" t="inlineStr">
        <is>
          <t>binary search</t>
        </is>
      </c>
      <c r="H134" s="2" t="n">
        <v>15</v>
      </c>
      <c r="I134" s="2" t="n">
        <v>10</v>
      </c>
      <c r="J134" s="5" t="inlineStr">
        <is>
          <t>https://www.codechef.com/problems/BS101</t>
        </is>
      </c>
      <c r="K134" s="3" t="inlineStr"/>
      <c r="L134" s="2" t="inlineStr">
        <is>
          <t>codechef</t>
        </is>
      </c>
    </row>
    <row r="135" ht="20" customHeight="1">
      <c r="A135" s="6" t="inlineStr">
        <is>
          <t>Unsolved</t>
        </is>
      </c>
      <c r="B135" s="7" t="inlineStr">
        <is>
          <t>KINGDOM 4 — THE KINGDOM OF BINARY SEARCH</t>
        </is>
      </c>
      <c r="C135" s="7" t="inlineStr">
        <is>
          <t>Pattern 4.1 — Classic Binary Search</t>
        </is>
      </c>
      <c r="D135" s="6" t="inlineStr">
        <is>
          <t>BS102</t>
        </is>
      </c>
      <c r="E135" s="7" t="inlineStr">
        <is>
          <t>First and Last Position</t>
        </is>
      </c>
      <c r="F135" s="4" t="inlineStr">
        <is>
          <t>Easy</t>
        </is>
      </c>
      <c r="G135" s="7" t="inlineStr">
        <is>
          <t>binary search</t>
        </is>
      </c>
      <c r="H135" s="6" t="n">
        <v>25</v>
      </c>
      <c r="I135" s="6" t="n">
        <v>20</v>
      </c>
      <c r="J135" s="8" t="inlineStr">
        <is>
          <t>https://www.codechef.com/problems/BS102</t>
        </is>
      </c>
      <c r="K135" s="7" t="inlineStr"/>
      <c r="L135" s="6" t="inlineStr">
        <is>
          <t>codechef</t>
        </is>
      </c>
    </row>
    <row r="136" ht="20" customHeight="1">
      <c r="A136" s="2" t="inlineStr">
        <is>
          <t>Unsolved</t>
        </is>
      </c>
      <c r="B136" s="3" t="inlineStr">
        <is>
          <t>KINGDOM 4 — THE KINGDOM OF BINARY SEARCH</t>
        </is>
      </c>
      <c r="C136" s="3" t="inlineStr">
        <is>
          <t>Pattern 4.1 — Classic Binary Search</t>
        </is>
      </c>
      <c r="D136" s="2" t="inlineStr">
        <is>
          <t>BS103</t>
        </is>
      </c>
      <c r="E136" s="3" t="inlineStr">
        <is>
          <t>Search Insert Position</t>
        </is>
      </c>
      <c r="F136" s="4" t="inlineStr">
        <is>
          <t>Beginner</t>
        </is>
      </c>
      <c r="G136" s="3" t="inlineStr">
        <is>
          <t>binary search</t>
        </is>
      </c>
      <c r="H136" s="2" t="n">
        <v>15</v>
      </c>
      <c r="I136" s="2" t="n">
        <v>10</v>
      </c>
      <c r="J136" s="5" t="inlineStr">
        <is>
          <t>https://www.codechef.com/problems/BS103</t>
        </is>
      </c>
      <c r="K136" s="3" t="inlineStr"/>
      <c r="L136" s="2" t="inlineStr">
        <is>
          <t>codechef</t>
        </is>
      </c>
    </row>
    <row r="137" ht="20" customHeight="1">
      <c r="A137" s="6" t="inlineStr">
        <is>
          <t>Unsolved</t>
        </is>
      </c>
      <c r="B137" s="7" t="inlineStr">
        <is>
          <t>KINGDOM 4 — THE KINGDOM OF BINARY SEARCH</t>
        </is>
      </c>
      <c r="C137" s="7" t="inlineStr">
        <is>
          <t>Pattern 4.1 — Classic Binary Search</t>
        </is>
      </c>
      <c r="D137" s="6" t="inlineStr">
        <is>
          <t>BS104</t>
        </is>
      </c>
      <c r="E137" s="7" t="inlineStr">
        <is>
          <t>Search 2D Matrix</t>
        </is>
      </c>
      <c r="F137" s="9" t="inlineStr">
        <is>
          <t>Medium</t>
        </is>
      </c>
      <c r="G137" s="7" t="inlineStr">
        <is>
          <t>binary search</t>
        </is>
      </c>
      <c r="H137" s="6" t="n">
        <v>60</v>
      </c>
      <c r="I137" s="6" t="n">
        <v>55</v>
      </c>
      <c r="J137" s="8" t="inlineStr">
        <is>
          <t>https://www.codechef.com/problems/BS104</t>
        </is>
      </c>
      <c r="K137" s="7" t="inlineStr"/>
      <c r="L137" s="6" t="inlineStr">
        <is>
          <t>codechef</t>
        </is>
      </c>
    </row>
    <row r="138" ht="20" customHeight="1">
      <c r="A138" s="2" t="inlineStr">
        <is>
          <t>Unsolved</t>
        </is>
      </c>
      <c r="B138" s="3" t="inlineStr">
        <is>
          <t>KINGDOM 4 — THE KINGDOM OF BINARY SEARCH</t>
        </is>
      </c>
      <c r="C138" s="3" t="inlineStr">
        <is>
          <t>Pattern 4.1 — Classic Binary Search</t>
        </is>
      </c>
      <c r="D138" s="2" t="inlineStr">
        <is>
          <t>BS105</t>
        </is>
      </c>
      <c r="E138" s="3" t="inlineStr">
        <is>
          <t>Find Peak Element</t>
        </is>
      </c>
      <c r="F138" s="9" t="inlineStr">
        <is>
          <t>Medium</t>
        </is>
      </c>
      <c r="G138" s="3" t="inlineStr">
        <is>
          <t>binary search</t>
        </is>
      </c>
      <c r="H138" s="2" t="n">
        <v>60</v>
      </c>
      <c r="I138" s="2" t="n">
        <v>55</v>
      </c>
      <c r="J138" s="5" t="inlineStr">
        <is>
          <t>https://www.codechef.com/problems/BS105</t>
        </is>
      </c>
      <c r="K138" s="3" t="inlineStr"/>
      <c r="L138" s="2" t="inlineStr">
        <is>
          <t>codechef</t>
        </is>
      </c>
    </row>
    <row r="139" ht="20" customHeight="1">
      <c r="A139" s="6" t="inlineStr">
        <is>
          <t>Unsolved</t>
        </is>
      </c>
      <c r="B139" s="7" t="inlineStr">
        <is>
          <t>KINGDOM 4 — THE KINGDOM OF BINARY SEARCH</t>
        </is>
      </c>
      <c r="C139" s="7" t="inlineStr">
        <is>
          <t>Pattern 4.1 — Classic Binary Search</t>
        </is>
      </c>
      <c r="D139" s="6" t="inlineStr">
        <is>
          <t>BS106</t>
        </is>
      </c>
      <c r="E139" s="7" t="inlineStr">
        <is>
          <t>Search in Rotated Sorted Array</t>
        </is>
      </c>
      <c r="F139" s="9" t="inlineStr">
        <is>
          <t>Medium</t>
        </is>
      </c>
      <c r="G139" s="7" t="inlineStr">
        <is>
          <t>binary search</t>
        </is>
      </c>
      <c r="H139" s="6" t="n">
        <v>60</v>
      </c>
      <c r="I139" s="6" t="n">
        <v>55</v>
      </c>
      <c r="J139" s="8" t="inlineStr">
        <is>
          <t>https://www.codechef.com/problems/BS106</t>
        </is>
      </c>
      <c r="K139" s="7" t="inlineStr"/>
      <c r="L139" s="6" t="inlineStr">
        <is>
          <t>codechef</t>
        </is>
      </c>
    </row>
    <row r="140" ht="20" customHeight="1">
      <c r="A140" s="2" t="inlineStr">
        <is>
          <t>Unsolved</t>
        </is>
      </c>
      <c r="B140" s="3" t="inlineStr">
        <is>
          <t>KINGDOM 4 — THE KINGDOM OF BINARY SEARCH</t>
        </is>
      </c>
      <c r="C140" s="3" t="inlineStr">
        <is>
          <t>Pattern 4.2 — Binary Search on Answer</t>
        </is>
      </c>
      <c r="D140" s="2" t="inlineStr">
        <is>
          <t>SHEOKAND</t>
        </is>
      </c>
      <c r="E140" s="3" t="inlineStr">
        <is>
          <t>Sheokand and Number</t>
        </is>
      </c>
      <c r="F140" s="9" t="inlineStr">
        <is>
          <t>Easy-Medium</t>
        </is>
      </c>
      <c r="G140" s="3" t="inlineStr">
        <is>
          <t>binary search on answer</t>
        </is>
      </c>
      <c r="H140" s="2" t="n">
        <v>40</v>
      </c>
      <c r="I140" s="2" t="n">
        <v>35</v>
      </c>
      <c r="J140" s="5" t="inlineStr">
        <is>
          <t>https://www.codechef.com/problems/SHEOKAND</t>
        </is>
      </c>
      <c r="K140" s="3" t="inlineStr"/>
      <c r="L140" s="2" t="inlineStr">
        <is>
          <t>codechef</t>
        </is>
      </c>
    </row>
    <row r="141" ht="20" customHeight="1">
      <c r="A141" s="6" t="inlineStr">
        <is>
          <t>Unsolved</t>
        </is>
      </c>
      <c r="B141" s="7" t="inlineStr">
        <is>
          <t>KINGDOM 4 — THE KINGDOM OF BINARY SEARCH</t>
        </is>
      </c>
      <c r="C141" s="7" t="inlineStr">
        <is>
          <t>Pattern 4.2 — Binary Search on Answer</t>
        </is>
      </c>
      <c r="D141" s="6" t="inlineStr">
        <is>
          <t>BSFIT</t>
        </is>
      </c>
      <c r="E141" s="7" t="inlineStr">
        <is>
          <t>Fitness Target</t>
        </is>
      </c>
      <c r="F141" s="4" t="inlineStr">
        <is>
          <t>Easy</t>
        </is>
      </c>
      <c r="G141" s="7" t="inlineStr">
        <is>
          <t>binary search on answer</t>
        </is>
      </c>
      <c r="H141" s="6" t="n">
        <v>25</v>
      </c>
      <c r="I141" s="6" t="n">
        <v>20</v>
      </c>
      <c r="J141" s="8" t="inlineStr">
        <is>
          <t>https://www.codechef.com/problems/BSFIT</t>
        </is>
      </c>
      <c r="K141" s="7" t="inlineStr"/>
      <c r="L141" s="6" t="inlineStr">
        <is>
          <t>codechef</t>
        </is>
      </c>
    </row>
    <row r="142" ht="20" customHeight="1">
      <c r="A142" s="2" t="inlineStr">
        <is>
          <t>Unsolved</t>
        </is>
      </c>
      <c r="B142" s="3" t="inlineStr">
        <is>
          <t>KINGDOM 4 — THE KINGDOM OF BINARY SEARCH</t>
        </is>
      </c>
      <c r="C142" s="3" t="inlineStr">
        <is>
          <t>Pattern 4.2 — Binary Search on Answer</t>
        </is>
      </c>
      <c r="D142" s="2" t="inlineStr">
        <is>
          <t>TRIP</t>
        </is>
      </c>
      <c r="E142" s="3" t="inlineStr">
        <is>
          <t>Trip Plan</t>
        </is>
      </c>
      <c r="F142" s="9" t="inlineStr">
        <is>
          <t>Medium</t>
        </is>
      </c>
      <c r="G142" s="3" t="inlineStr">
        <is>
          <t>binary search on answer</t>
        </is>
      </c>
      <c r="H142" s="2" t="n">
        <v>60</v>
      </c>
      <c r="I142" s="2" t="n">
        <v>55</v>
      </c>
      <c r="J142" s="5" t="inlineStr">
        <is>
          <t>https://www.codechef.com/problems/TRIP</t>
        </is>
      </c>
      <c r="K142" s="3" t="inlineStr"/>
      <c r="L142" s="2" t="inlineStr">
        <is>
          <t>codechef</t>
        </is>
      </c>
    </row>
    <row r="143" ht="20" customHeight="1">
      <c r="A143" s="6" t="inlineStr">
        <is>
          <t>Unsolved</t>
        </is>
      </c>
      <c r="B143" s="7" t="inlineStr">
        <is>
          <t>KINGDOM 4 — THE KINGDOM OF BINARY SEARCH</t>
        </is>
      </c>
      <c r="C143" s="7" t="inlineStr">
        <is>
          <t>Pattern 4.2 — Binary Search on Answer</t>
        </is>
      </c>
      <c r="D143" s="6" t="inlineStr">
        <is>
          <t>CHEFSET</t>
        </is>
      </c>
      <c r="E143" s="7" t="inlineStr">
        <is>
          <t>Chef Set Division</t>
        </is>
      </c>
      <c r="F143" s="9" t="inlineStr">
        <is>
          <t>Medium</t>
        </is>
      </c>
      <c r="G143" s="7" t="inlineStr">
        <is>
          <t>binary search on answer</t>
        </is>
      </c>
      <c r="H143" s="6" t="n">
        <v>60</v>
      </c>
      <c r="I143" s="6" t="n">
        <v>55</v>
      </c>
      <c r="J143" s="8" t="inlineStr">
        <is>
          <t>https://www.codechef.com/problems/CHEFSET</t>
        </is>
      </c>
      <c r="K143" s="7" t="inlineStr"/>
      <c r="L143" s="6" t="inlineStr">
        <is>
          <t>codechef</t>
        </is>
      </c>
    </row>
    <row r="144" ht="20" customHeight="1">
      <c r="A144" s="2" t="inlineStr">
        <is>
          <t>Unsolved</t>
        </is>
      </c>
      <c r="B144" s="3" t="inlineStr">
        <is>
          <t>KINGDOM 4 — THE KINGDOM OF BINARY SEARCH</t>
        </is>
      </c>
      <c r="C144" s="3" t="inlineStr">
        <is>
          <t>Pattern 4.2 — Binary Search on Answer</t>
        </is>
      </c>
      <c r="D144" s="2" t="inlineStr">
        <is>
          <t>BSANS1</t>
        </is>
      </c>
      <c r="E144" s="3" t="inlineStr">
        <is>
          <t>Koko Eating Bananas</t>
        </is>
      </c>
      <c r="F144" s="9" t="inlineStr">
        <is>
          <t>Medium</t>
        </is>
      </c>
      <c r="G144" s="3" t="inlineStr">
        <is>
          <t>binary search on answer</t>
        </is>
      </c>
      <c r="H144" s="2" t="n">
        <v>60</v>
      </c>
      <c r="I144" s="2" t="n">
        <v>55</v>
      </c>
      <c r="J144" s="5" t="inlineStr">
        <is>
          <t>https://www.codechef.com/problems/BSANS1</t>
        </is>
      </c>
      <c r="K144" s="3" t="inlineStr"/>
      <c r="L144" s="2" t="inlineStr">
        <is>
          <t>codechef</t>
        </is>
      </c>
    </row>
    <row r="145" ht="20" customHeight="1">
      <c r="A145" s="6" t="inlineStr">
        <is>
          <t>Unsolved</t>
        </is>
      </c>
      <c r="B145" s="7" t="inlineStr">
        <is>
          <t>KINGDOM 4 — THE KINGDOM OF BINARY SEARCH</t>
        </is>
      </c>
      <c r="C145" s="7" t="inlineStr">
        <is>
          <t>Pattern 4.2 — Binary Search on Answer</t>
        </is>
      </c>
      <c r="D145" s="6" t="inlineStr">
        <is>
          <t>BSANS2</t>
        </is>
      </c>
      <c r="E145" s="7" t="inlineStr">
        <is>
          <t>Capacity To Ship Packages</t>
        </is>
      </c>
      <c r="F145" s="9" t="inlineStr">
        <is>
          <t>Medium</t>
        </is>
      </c>
      <c r="G145" s="7" t="inlineStr">
        <is>
          <t>binary search on answer</t>
        </is>
      </c>
      <c r="H145" s="6" t="n">
        <v>60</v>
      </c>
      <c r="I145" s="6" t="n">
        <v>55</v>
      </c>
      <c r="J145" s="8" t="inlineStr">
        <is>
          <t>https://www.codechef.com/problems/BSANS2</t>
        </is>
      </c>
      <c r="K145" s="7" t="inlineStr"/>
      <c r="L145" s="6" t="inlineStr">
        <is>
          <t>codechef</t>
        </is>
      </c>
    </row>
    <row r="146" ht="20" customHeight="1">
      <c r="A146" s="2" t="inlineStr">
        <is>
          <t>Unsolved</t>
        </is>
      </c>
      <c r="B146" s="3" t="inlineStr">
        <is>
          <t>KINGDOM 4 — THE KINGDOM OF BINARY SEARCH</t>
        </is>
      </c>
      <c r="C146" s="3" t="inlineStr">
        <is>
          <t>Pattern 4.2 — Binary Search on Answer</t>
        </is>
      </c>
      <c r="D146" s="2" t="inlineStr">
        <is>
          <t>BSANS3</t>
        </is>
      </c>
      <c r="E146" s="3" t="inlineStr">
        <is>
          <t>Split Array Largest Sum</t>
        </is>
      </c>
      <c r="F146" s="10" t="inlineStr">
        <is>
          <t>Hard</t>
        </is>
      </c>
      <c r="G146" s="3" t="inlineStr">
        <is>
          <t>binary search on answer</t>
        </is>
      </c>
      <c r="H146" s="2" t="n">
        <v>120</v>
      </c>
      <c r="I146" s="2" t="n">
        <v>120</v>
      </c>
      <c r="J146" s="5" t="inlineStr">
        <is>
          <t>https://www.codechef.com/problems/BSANS3</t>
        </is>
      </c>
      <c r="K146" s="3" t="inlineStr"/>
      <c r="L146" s="2" t="inlineStr">
        <is>
          <t>codechef</t>
        </is>
      </c>
    </row>
    <row r="147" ht="20" customHeight="1">
      <c r="A147" s="6" t="inlineStr">
        <is>
          <t>Unsolved</t>
        </is>
      </c>
      <c r="B147" s="7" t="inlineStr">
        <is>
          <t>KINGDOM 4 — THE KINGDOM OF BINARY SEARCH</t>
        </is>
      </c>
      <c r="C147" s="7" t="inlineStr">
        <is>
          <t>Pattern 4.2 — Binary Search on Answer</t>
        </is>
      </c>
      <c r="D147" s="6" t="inlineStr">
        <is>
          <t>BSANS4</t>
        </is>
      </c>
      <c r="E147" s="7" t="inlineStr">
        <is>
          <t>Minimum Days to Make Bouquets</t>
        </is>
      </c>
      <c r="F147" s="9" t="inlineStr">
        <is>
          <t>Medium</t>
        </is>
      </c>
      <c r="G147" s="7" t="inlineStr">
        <is>
          <t>binary search on answer</t>
        </is>
      </c>
      <c r="H147" s="6" t="n">
        <v>60</v>
      </c>
      <c r="I147" s="6" t="n">
        <v>55</v>
      </c>
      <c r="J147" s="8" t="inlineStr">
        <is>
          <t>https://www.codechef.com/problems/BSANS4</t>
        </is>
      </c>
      <c r="K147" s="7" t="inlineStr"/>
      <c r="L147" s="6" t="inlineStr">
        <is>
          <t>codechef</t>
        </is>
      </c>
    </row>
    <row r="148" ht="20" customHeight="1">
      <c r="A148" s="2" t="inlineStr">
        <is>
          <t>Unsolved</t>
        </is>
      </c>
      <c r="B148" s="3" t="inlineStr">
        <is>
          <t>KINGDOM 4 — THE KINGDOM OF BINARY SEARCH</t>
        </is>
      </c>
      <c r="C148" s="3" t="inlineStr">
        <is>
          <t>Pattern 4.2 — Binary Search on Answer</t>
        </is>
      </c>
      <c r="D148" s="2" t="inlineStr">
        <is>
          <t>BSANS5</t>
        </is>
      </c>
      <c r="E148" s="3" t="inlineStr">
        <is>
          <t>Find Smallest Divisor Threshold</t>
        </is>
      </c>
      <c r="F148" s="9" t="inlineStr">
        <is>
          <t>Medium</t>
        </is>
      </c>
      <c r="G148" s="3" t="inlineStr">
        <is>
          <t>binary search on answer</t>
        </is>
      </c>
      <c r="H148" s="2" t="n">
        <v>60</v>
      </c>
      <c r="I148" s="2" t="n">
        <v>55</v>
      </c>
      <c r="J148" s="5" t="inlineStr">
        <is>
          <t>https://www.codechef.com/problems/BSANS5</t>
        </is>
      </c>
      <c r="K148" s="3" t="inlineStr"/>
      <c r="L148" s="2" t="inlineStr">
        <is>
          <t>codechef</t>
        </is>
      </c>
    </row>
    <row r="149" ht="20" customHeight="1">
      <c r="A149" s="6" t="inlineStr">
        <is>
          <t>Unsolved</t>
        </is>
      </c>
      <c r="B149" s="7" t="inlineStr">
        <is>
          <t>KINGDOM 4 — THE KINGDOM OF BINARY SEARCH</t>
        </is>
      </c>
      <c r="C149" s="7" t="inlineStr">
        <is>
          <t>Pattern 4.2 — Binary Search on Answer</t>
        </is>
      </c>
      <c r="D149" s="6" t="inlineStr">
        <is>
          <t>BSANS6</t>
        </is>
      </c>
      <c r="E149" s="7" t="inlineStr">
        <is>
          <t>Aggressive Cows Spacing</t>
        </is>
      </c>
      <c r="F149" s="9" t="inlineStr">
        <is>
          <t>Medium</t>
        </is>
      </c>
      <c r="G149" s="7" t="inlineStr">
        <is>
          <t>binary search on answer</t>
        </is>
      </c>
      <c r="H149" s="6" t="n">
        <v>60</v>
      </c>
      <c r="I149" s="6" t="n">
        <v>55</v>
      </c>
      <c r="J149" s="8" t="inlineStr">
        <is>
          <t>https://www.codechef.com/problems/BSANS6</t>
        </is>
      </c>
      <c r="K149" s="7" t="inlineStr"/>
      <c r="L149" s="6" t="inlineStr">
        <is>
          <t>codechef</t>
        </is>
      </c>
    </row>
    <row r="150" ht="20" customHeight="1">
      <c r="A150" s="2" t="inlineStr">
        <is>
          <t>Unsolved</t>
        </is>
      </c>
      <c r="B150" s="3" t="inlineStr">
        <is>
          <t>KINGDOM 4 — THE KINGDOM OF BINARY SEARCH</t>
        </is>
      </c>
      <c r="C150" s="3" t="inlineStr">
        <is>
          <t>Pattern 4.2 — Binary Search on Answer</t>
        </is>
      </c>
      <c r="D150" s="2" t="inlineStr">
        <is>
          <t>BSANS7</t>
        </is>
      </c>
      <c r="E150" s="3" t="inlineStr">
        <is>
          <t>Book Allocation Problem</t>
        </is>
      </c>
      <c r="F150" s="10" t="inlineStr">
        <is>
          <t>Medium-Hard</t>
        </is>
      </c>
      <c r="G150" s="3" t="inlineStr">
        <is>
          <t>binary search on answer</t>
        </is>
      </c>
      <c r="H150" s="2" t="n">
        <v>90</v>
      </c>
      <c r="I150" s="2" t="n">
        <v>80</v>
      </c>
      <c r="J150" s="5" t="inlineStr">
        <is>
          <t>https://www.codechef.com/problems/BSANS7</t>
        </is>
      </c>
      <c r="K150" s="3" t="inlineStr"/>
      <c r="L150" s="2" t="inlineStr">
        <is>
          <t>codechef</t>
        </is>
      </c>
    </row>
    <row r="151" ht="20" customHeight="1">
      <c r="A151" s="6" t="inlineStr">
        <is>
          <t>Unsolved</t>
        </is>
      </c>
      <c r="B151" s="7" t="inlineStr">
        <is>
          <t>KINGDOM 4 — THE KINGDOM OF BINARY SEARCH</t>
        </is>
      </c>
      <c r="C151" s="7" t="inlineStr">
        <is>
          <t>Pattern 4.2 — Binary Search on Answer</t>
        </is>
      </c>
      <c r="D151" s="6" t="inlineStr">
        <is>
          <t>BSANS8</t>
        </is>
      </c>
      <c r="E151" s="7" t="inlineStr">
        <is>
          <t>Painter Partition Problem</t>
        </is>
      </c>
      <c r="F151" s="10" t="inlineStr">
        <is>
          <t>Medium-Hard</t>
        </is>
      </c>
      <c r="G151" s="7" t="inlineStr">
        <is>
          <t>binary search on answer</t>
        </is>
      </c>
      <c r="H151" s="6" t="n">
        <v>90</v>
      </c>
      <c r="I151" s="6" t="n">
        <v>80</v>
      </c>
      <c r="J151" s="8" t="inlineStr">
        <is>
          <t>https://www.codechef.com/problems/BSANS8</t>
        </is>
      </c>
      <c r="K151" s="7" t="inlineStr"/>
      <c r="L151" s="6" t="inlineStr">
        <is>
          <t>codechef</t>
        </is>
      </c>
    </row>
    <row r="152" ht="20" customHeight="1">
      <c r="A152" s="2" t="inlineStr">
        <is>
          <t>Unsolved</t>
        </is>
      </c>
      <c r="B152" s="3" t="inlineStr">
        <is>
          <t>KINGDOM 4 — THE KINGDOM OF BINARY SEARCH</t>
        </is>
      </c>
      <c r="C152" s="3" t="inlineStr">
        <is>
          <t>Pattern 4.2 — Binary Search on Answer</t>
        </is>
      </c>
      <c r="D152" s="2" t="inlineStr">
        <is>
          <t>BSANS9</t>
        </is>
      </c>
      <c r="E152" s="3" t="inlineStr">
        <is>
          <t>Min Max Distance Gas Stations</t>
        </is>
      </c>
      <c r="F152" s="10" t="inlineStr">
        <is>
          <t>Hard</t>
        </is>
      </c>
      <c r="G152" s="3" t="inlineStr">
        <is>
          <t>binary search on answer</t>
        </is>
      </c>
      <c r="H152" s="2" t="n">
        <v>120</v>
      </c>
      <c r="I152" s="2" t="n">
        <v>120</v>
      </c>
      <c r="J152" s="5" t="inlineStr">
        <is>
          <t>https://www.codechef.com/problems/BSANS9</t>
        </is>
      </c>
      <c r="K152" s="3" t="inlineStr"/>
      <c r="L152" s="2" t="inlineStr">
        <is>
          <t>codechef</t>
        </is>
      </c>
    </row>
    <row r="153" ht="20" customHeight="1">
      <c r="A153" s="6" t="inlineStr">
        <is>
          <t>Unsolved</t>
        </is>
      </c>
      <c r="B153" s="7" t="inlineStr">
        <is>
          <t>KINGDOM 4 — THE KINGDOM OF BINARY SEARCH</t>
        </is>
      </c>
      <c r="C153" s="7" t="inlineStr">
        <is>
          <t>Pattern 4.2 — Binary Search on Answer</t>
        </is>
      </c>
      <c r="D153" s="6" t="inlineStr">
        <is>
          <t>BSANS10</t>
        </is>
      </c>
      <c r="E153" s="7" t="inlineStr">
        <is>
          <t>Median of Two Sorted Arrays</t>
        </is>
      </c>
      <c r="F153" s="10" t="inlineStr">
        <is>
          <t>Hard</t>
        </is>
      </c>
      <c r="G153" s="7" t="inlineStr">
        <is>
          <t>binary search on answer</t>
        </is>
      </c>
      <c r="H153" s="6" t="n">
        <v>120</v>
      </c>
      <c r="I153" s="6" t="n">
        <v>120</v>
      </c>
      <c r="J153" s="8" t="inlineStr">
        <is>
          <t>https://www.codechef.com/problems/BSANS10</t>
        </is>
      </c>
      <c r="K153" s="7" t="inlineStr"/>
      <c r="L153" s="6" t="inlineStr">
        <is>
          <t>codechef</t>
        </is>
      </c>
    </row>
    <row r="154" ht="20" customHeight="1">
      <c r="A154" s="2" t="inlineStr">
        <is>
          <t>Unsolved</t>
        </is>
      </c>
      <c r="B154" s="3" t="inlineStr">
        <is>
          <t>KINGDOM 4 — THE KINGDOM OF BINARY SEARCH</t>
        </is>
      </c>
      <c r="C154" s="3" t="inlineStr">
        <is>
          <t>Pattern 4.3 — Parametric Search</t>
        </is>
      </c>
      <c r="D154" s="2" t="inlineStr">
        <is>
          <t>PIPES</t>
        </is>
      </c>
      <c r="E154" s="3" t="inlineStr">
        <is>
          <t>Pipe Placement</t>
        </is>
      </c>
      <c r="F154" s="10" t="inlineStr">
        <is>
          <t>Medium-Hard</t>
        </is>
      </c>
      <c r="G154" s="3" t="inlineStr">
        <is>
          <t>parametric search</t>
        </is>
      </c>
      <c r="H154" s="2" t="n">
        <v>90</v>
      </c>
      <c r="I154" s="2" t="n">
        <v>80</v>
      </c>
      <c r="J154" s="5" t="inlineStr">
        <is>
          <t>https://www.codechef.com/problems/PIPES</t>
        </is>
      </c>
      <c r="K154" s="3" t="inlineStr"/>
      <c r="L154" s="2" t="inlineStr">
        <is>
          <t>codechef</t>
        </is>
      </c>
    </row>
    <row r="155" ht="20" customHeight="1">
      <c r="A155" s="6" t="inlineStr">
        <is>
          <t>Unsolved</t>
        </is>
      </c>
      <c r="B155" s="7" t="inlineStr">
        <is>
          <t>KINGDOM 4 — THE KINGDOM OF BINARY SEARCH</t>
        </is>
      </c>
      <c r="C155" s="7" t="inlineStr">
        <is>
          <t>Pattern 4.3 — Parametric Search</t>
        </is>
      </c>
      <c r="D155" s="6" t="inlineStr">
        <is>
          <t>PARAM1</t>
        </is>
      </c>
      <c r="E155" s="7" t="inlineStr">
        <is>
          <t>Square Root Integer</t>
        </is>
      </c>
      <c r="F155" s="4" t="inlineStr">
        <is>
          <t>Easy</t>
        </is>
      </c>
      <c r="G155" s="7" t="inlineStr">
        <is>
          <t>binary search, parametric</t>
        </is>
      </c>
      <c r="H155" s="6" t="n">
        <v>25</v>
      </c>
      <c r="I155" s="6" t="n">
        <v>20</v>
      </c>
      <c r="J155" s="8" t="inlineStr">
        <is>
          <t>https://www.codechef.com/problems/PARAM1</t>
        </is>
      </c>
      <c r="K155" s="7" t="inlineStr"/>
      <c r="L155" s="6" t="inlineStr">
        <is>
          <t>codechef</t>
        </is>
      </c>
    </row>
    <row r="156" ht="20" customHeight="1">
      <c r="A156" s="2" t="inlineStr">
        <is>
          <t>Unsolved</t>
        </is>
      </c>
      <c r="B156" s="3" t="inlineStr">
        <is>
          <t>KINGDOM 4 — THE KINGDOM OF BINARY SEARCH</t>
        </is>
      </c>
      <c r="C156" s="3" t="inlineStr">
        <is>
          <t>Pattern 4.3 — Parametric Search</t>
        </is>
      </c>
      <c r="D156" s="2" t="inlineStr">
        <is>
          <t>PARAM2</t>
        </is>
      </c>
      <c r="E156" s="3" t="inlineStr">
        <is>
          <t>Nth Root of Integer</t>
        </is>
      </c>
      <c r="F156" s="9" t="inlineStr">
        <is>
          <t>Easy-Medium</t>
        </is>
      </c>
      <c r="G156" s="3" t="inlineStr">
        <is>
          <t>binary search, parametric</t>
        </is>
      </c>
      <c r="H156" s="2" t="n">
        <v>40</v>
      </c>
      <c r="I156" s="2" t="n">
        <v>35</v>
      </c>
      <c r="J156" s="5" t="inlineStr">
        <is>
          <t>https://www.codechef.com/problems/PARAM2</t>
        </is>
      </c>
      <c r="K156" s="3" t="inlineStr"/>
      <c r="L156" s="2" t="inlineStr">
        <is>
          <t>codechef</t>
        </is>
      </c>
    </row>
    <row r="157" ht="20" customHeight="1">
      <c r="A157" s="6" t="inlineStr">
        <is>
          <t>Unsolved</t>
        </is>
      </c>
      <c r="B157" s="7" t="inlineStr">
        <is>
          <t>KINGDOM 4 — THE KINGDOM OF BINARY SEARCH</t>
        </is>
      </c>
      <c r="C157" s="7" t="inlineStr">
        <is>
          <t>Pattern 4.3 — Parametric Search</t>
        </is>
      </c>
      <c r="D157" s="6" t="inlineStr">
        <is>
          <t>PARAM3</t>
        </is>
      </c>
      <c r="E157" s="7" t="inlineStr">
        <is>
          <t>Maximum Average Subarray II</t>
        </is>
      </c>
      <c r="F157" s="10" t="inlineStr">
        <is>
          <t>Hard</t>
        </is>
      </c>
      <c r="G157" s="7" t="inlineStr">
        <is>
          <t>parametric search</t>
        </is>
      </c>
      <c r="H157" s="6" t="n">
        <v>120</v>
      </c>
      <c r="I157" s="6" t="n">
        <v>120</v>
      </c>
      <c r="J157" s="8" t="inlineStr">
        <is>
          <t>https://www.codechef.com/problems/PARAM3</t>
        </is>
      </c>
      <c r="K157" s="7" t="inlineStr"/>
      <c r="L157" s="6" t="inlineStr">
        <is>
          <t>codechef</t>
        </is>
      </c>
    </row>
    <row r="158" ht="20" customHeight="1">
      <c r="A158" s="2" t="inlineStr">
        <is>
          <t>Unsolved</t>
        </is>
      </c>
      <c r="B158" s="3" t="inlineStr">
        <is>
          <t>KINGDOM 4 — THE KINGDOM OF BINARY SEARCH</t>
        </is>
      </c>
      <c r="C158" s="3" t="inlineStr">
        <is>
          <t>Pattern 4.3 — Parametric Search</t>
        </is>
      </c>
      <c r="D158" s="2" t="inlineStr">
        <is>
          <t>PARAM4</t>
        </is>
      </c>
      <c r="E158" s="3" t="inlineStr">
        <is>
          <t>Minimizing Max Distance Pairs</t>
        </is>
      </c>
      <c r="F158" s="10" t="inlineStr">
        <is>
          <t>Hard</t>
        </is>
      </c>
      <c r="G158" s="3" t="inlineStr">
        <is>
          <t>parametric search</t>
        </is>
      </c>
      <c r="H158" s="2" t="n">
        <v>120</v>
      </c>
      <c r="I158" s="2" t="n">
        <v>120</v>
      </c>
      <c r="J158" s="5" t="inlineStr">
        <is>
          <t>https://www.codechef.com/problems/PARAM4</t>
        </is>
      </c>
      <c r="K158" s="3" t="inlineStr"/>
      <c r="L158" s="2" t="inlineStr">
        <is>
          <t>codechef</t>
        </is>
      </c>
    </row>
    <row r="159" ht="20" customHeight="1">
      <c r="A159" s="6" t="inlineStr">
        <is>
          <t>Unsolved</t>
        </is>
      </c>
      <c r="B159" s="7" t="inlineStr">
        <is>
          <t>KINGDOM 4 — THE KINGDOM OF BINARY SEARCH</t>
        </is>
      </c>
      <c r="C159" s="7" t="inlineStr">
        <is>
          <t>Pattern 4.3 — Parametric Search</t>
        </is>
      </c>
      <c r="D159" s="6" t="inlineStr">
        <is>
          <t>PARAM5</t>
        </is>
      </c>
      <c r="E159" s="7" t="inlineStr">
        <is>
          <t>Optimal K-Division Ratio</t>
        </is>
      </c>
      <c r="F159" s="10" t="inlineStr">
        <is>
          <t>Hard</t>
        </is>
      </c>
      <c r="G159" s="7" t="inlineStr">
        <is>
          <t>parametric search</t>
        </is>
      </c>
      <c r="H159" s="6" t="n">
        <v>120</v>
      </c>
      <c r="I159" s="6" t="n">
        <v>120</v>
      </c>
      <c r="J159" s="8" t="inlineStr">
        <is>
          <t>https://www.codechef.com/problems/PARAM5</t>
        </is>
      </c>
      <c r="K159" s="7" t="inlineStr"/>
      <c r="L159" s="6" t="inlineStr">
        <is>
          <t>codechef</t>
        </is>
      </c>
    </row>
    <row r="160" ht="20" customHeight="1">
      <c r="A160" s="2" t="inlineStr">
        <is>
          <t>Unsolved</t>
        </is>
      </c>
      <c r="B160" s="3" t="inlineStr">
        <is>
          <t>KINGDOM 4 — THE KINGDOM OF BINARY SEARCH</t>
        </is>
      </c>
      <c r="C160" s="3" t="inlineStr">
        <is>
          <t>Pattern 4.3 — Parametric Search</t>
        </is>
      </c>
      <c r="D160" s="2" t="inlineStr">
        <is>
          <t>PARAM6</t>
        </is>
      </c>
      <c r="E160" s="3" t="inlineStr">
        <is>
          <t>Kth Smallest Element Sorted Matrix</t>
        </is>
      </c>
      <c r="F160" s="10" t="inlineStr">
        <is>
          <t>Medium-Hard</t>
        </is>
      </c>
      <c r="G160" s="3" t="inlineStr">
        <is>
          <t>parametric search</t>
        </is>
      </c>
      <c r="H160" s="2" t="n">
        <v>90</v>
      </c>
      <c r="I160" s="2" t="n">
        <v>80</v>
      </c>
      <c r="J160" s="5" t="inlineStr">
        <is>
          <t>https://www.codechef.com/problems/PARAM6</t>
        </is>
      </c>
      <c r="K160" s="3" t="inlineStr"/>
      <c r="L160" s="2" t="inlineStr">
        <is>
          <t>codechef</t>
        </is>
      </c>
    </row>
    <row r="161" ht="20" customHeight="1">
      <c r="A161" s="6" t="inlineStr">
        <is>
          <t>Unsolved</t>
        </is>
      </c>
      <c r="B161" s="7" t="inlineStr">
        <is>
          <t>KINGDOM 4 — THE KINGDOM OF BINARY SEARCH</t>
        </is>
      </c>
      <c r="C161" s="7" t="inlineStr">
        <is>
          <t>Pattern 4.3 — Parametric Search</t>
        </is>
      </c>
      <c r="D161" s="6" t="inlineStr">
        <is>
          <t>PARAM7</t>
        </is>
      </c>
      <c r="E161" s="7" t="inlineStr">
        <is>
          <t>Kth Smallest Pair Distance</t>
        </is>
      </c>
      <c r="F161" s="10" t="inlineStr">
        <is>
          <t>Hard</t>
        </is>
      </c>
      <c r="G161" s="7" t="inlineStr">
        <is>
          <t>parametric search</t>
        </is>
      </c>
      <c r="H161" s="6" t="n">
        <v>120</v>
      </c>
      <c r="I161" s="6" t="n">
        <v>120</v>
      </c>
      <c r="J161" s="8" t="inlineStr">
        <is>
          <t>https://www.codechef.com/problems/PARAM7</t>
        </is>
      </c>
      <c r="K161" s="7" t="inlineStr"/>
      <c r="L161" s="6" t="inlineStr">
        <is>
          <t>codechef</t>
        </is>
      </c>
    </row>
    <row r="162" ht="20" customHeight="1">
      <c r="A162" s="2" t="inlineStr">
        <is>
          <t>Unsolved</t>
        </is>
      </c>
      <c r="B162" s="3" t="inlineStr">
        <is>
          <t>KINGDOM 4 — THE KINGDOM OF BINARY SEARCH</t>
        </is>
      </c>
      <c r="C162" s="3" t="inlineStr">
        <is>
          <t>Pattern 4.4 — Continuous Binary Search</t>
        </is>
      </c>
      <c r="D162" s="2" t="inlineStr">
        <is>
          <t>EXPENSE</t>
        </is>
      </c>
      <c r="E162" s="3" t="inlineStr">
        <is>
          <t>Expense Optimization</t>
        </is>
      </c>
      <c r="F162" s="10" t="inlineStr">
        <is>
          <t>Medium-Hard</t>
        </is>
      </c>
      <c r="G162" s="3" t="inlineStr">
        <is>
          <t>continuous binary search</t>
        </is>
      </c>
      <c r="H162" s="2" t="n">
        <v>90</v>
      </c>
      <c r="I162" s="2" t="n">
        <v>80</v>
      </c>
      <c r="J162" s="5" t="inlineStr">
        <is>
          <t>https://www.codechef.com/problems/EXPENSE</t>
        </is>
      </c>
      <c r="K162" s="3" t="inlineStr"/>
      <c r="L162" s="2" t="inlineStr">
        <is>
          <t>codechef</t>
        </is>
      </c>
    </row>
    <row r="163" ht="20" customHeight="1">
      <c r="A163" s="6" t="inlineStr">
        <is>
          <t>Unsolved</t>
        </is>
      </c>
      <c r="B163" s="7" t="inlineStr">
        <is>
          <t>KINGDOM 4 — THE KINGDOM OF BINARY SEARCH</t>
        </is>
      </c>
      <c r="C163" s="7" t="inlineStr">
        <is>
          <t>Pattern 4.4 — Continuous Binary Search</t>
        </is>
      </c>
      <c r="D163" s="6" t="inlineStr">
        <is>
          <t>OPTIM</t>
        </is>
      </c>
      <c r="E163" s="7" t="inlineStr">
        <is>
          <t>Optimization Float Bound</t>
        </is>
      </c>
      <c r="F163" s="10" t="inlineStr">
        <is>
          <t>Hard</t>
        </is>
      </c>
      <c r="G163" s="7" t="inlineStr">
        <is>
          <t>continuous binary search</t>
        </is>
      </c>
      <c r="H163" s="6" t="n">
        <v>120</v>
      </c>
      <c r="I163" s="6" t="n">
        <v>120</v>
      </c>
      <c r="J163" s="8" t="inlineStr">
        <is>
          <t>https://www.codechef.com/problems/OPTIM</t>
        </is>
      </c>
      <c r="K163" s="7" t="inlineStr"/>
      <c r="L163" s="6" t="inlineStr">
        <is>
          <t>codechef</t>
        </is>
      </c>
    </row>
    <row r="164" ht="20" customHeight="1">
      <c r="A164" s="2" t="inlineStr">
        <is>
          <t>Unsolved</t>
        </is>
      </c>
      <c r="B164" s="3" t="inlineStr">
        <is>
          <t>KINGDOM 4 — THE KINGDOM OF BINARY SEARCH</t>
        </is>
      </c>
      <c r="C164" s="3" t="inlineStr">
        <is>
          <t>Pattern 4.4 — Continuous Binary Search</t>
        </is>
      </c>
      <c r="D164" s="2" t="inlineStr">
        <is>
          <t>DISTANCE</t>
        </is>
      </c>
      <c r="E164" s="3" t="inlineStr">
        <is>
          <t>Minimum Floating Distance</t>
        </is>
      </c>
      <c r="F164" s="10" t="inlineStr">
        <is>
          <t>Hard</t>
        </is>
      </c>
      <c r="G164" s="3" t="inlineStr">
        <is>
          <t>continuous binary search</t>
        </is>
      </c>
      <c r="H164" s="2" t="n">
        <v>120</v>
      </c>
      <c r="I164" s="2" t="n">
        <v>120</v>
      </c>
      <c r="J164" s="5" t="inlineStr">
        <is>
          <t>https://www.codechef.com/problems/DISTANCE</t>
        </is>
      </c>
      <c r="K164" s="3" t="inlineStr"/>
      <c r="L164" s="2" t="inlineStr">
        <is>
          <t>codechef</t>
        </is>
      </c>
    </row>
    <row r="165" ht="20" customHeight="1">
      <c r="A165" s="6" t="inlineStr">
        <is>
          <t>Unsolved</t>
        </is>
      </c>
      <c r="B165" s="7" t="inlineStr">
        <is>
          <t>KINGDOM 4 — THE KINGDOM OF BINARY SEARCH</t>
        </is>
      </c>
      <c r="C165" s="7" t="inlineStr">
        <is>
          <t>Pattern 4.4 — Continuous Binary Search</t>
        </is>
      </c>
      <c r="D165" s="6" t="inlineStr">
        <is>
          <t>CONTBS1</t>
        </is>
      </c>
      <c r="E165" s="7" t="inlineStr">
        <is>
          <t>Ternary Search Minimum Function</t>
        </is>
      </c>
      <c r="F165" s="9" t="inlineStr">
        <is>
          <t>Medium</t>
        </is>
      </c>
      <c r="G165" s="7" t="inlineStr">
        <is>
          <t>ternary search</t>
        </is>
      </c>
      <c r="H165" s="6" t="n">
        <v>60</v>
      </c>
      <c r="I165" s="6" t="n">
        <v>55</v>
      </c>
      <c r="J165" s="8" t="inlineStr">
        <is>
          <t>https://www.codechef.com/problems/CONTBS1</t>
        </is>
      </c>
      <c r="K165" s="7" t="inlineStr"/>
      <c r="L165" s="6" t="inlineStr">
        <is>
          <t>codechef</t>
        </is>
      </c>
    </row>
    <row r="166" ht="20" customHeight="1">
      <c r="A166" s="2" t="inlineStr">
        <is>
          <t>Unsolved</t>
        </is>
      </c>
      <c r="B166" s="3" t="inlineStr">
        <is>
          <t>KINGDOM 4 — THE KINGDOM OF BINARY SEARCH</t>
        </is>
      </c>
      <c r="C166" s="3" t="inlineStr">
        <is>
          <t>Pattern 4.4 — Continuous Binary Search</t>
        </is>
      </c>
      <c r="D166" s="2" t="inlineStr">
        <is>
          <t>CONTBS2</t>
        </is>
      </c>
      <c r="E166" s="3" t="inlineStr">
        <is>
          <t>Unimodal Function Maximum</t>
        </is>
      </c>
      <c r="F166" s="10" t="inlineStr">
        <is>
          <t>Medium-Hard</t>
        </is>
      </c>
      <c r="G166" s="3" t="inlineStr">
        <is>
          <t>ternary search</t>
        </is>
      </c>
      <c r="H166" s="2" t="n">
        <v>90</v>
      </c>
      <c r="I166" s="2" t="n">
        <v>80</v>
      </c>
      <c r="J166" s="5" t="inlineStr">
        <is>
          <t>https://www.codechef.com/problems/CONTBS2</t>
        </is>
      </c>
      <c r="K166" s="3" t="inlineStr"/>
      <c r="L166" s="2" t="inlineStr">
        <is>
          <t>codechef</t>
        </is>
      </c>
    </row>
    <row r="167" ht="20" customHeight="1">
      <c r="A167" s="6" t="inlineStr">
        <is>
          <t>Unsolved</t>
        </is>
      </c>
      <c r="B167" s="7" t="inlineStr">
        <is>
          <t>KINGDOM 4 — THE KINGDOM OF BINARY SEARCH</t>
        </is>
      </c>
      <c r="C167" s="7" t="inlineStr">
        <is>
          <t>Pattern 4.4 — Continuous Binary Search</t>
        </is>
      </c>
      <c r="D167" s="6" t="inlineStr">
        <is>
          <t>CONTBS3</t>
        </is>
      </c>
      <c r="E167" s="7" t="inlineStr">
        <is>
          <t>Floating Point Binary Precision</t>
        </is>
      </c>
      <c r="F167" s="9" t="inlineStr">
        <is>
          <t>Medium</t>
        </is>
      </c>
      <c r="G167" s="7" t="inlineStr">
        <is>
          <t>binary search float</t>
        </is>
      </c>
      <c r="H167" s="6" t="n">
        <v>60</v>
      </c>
      <c r="I167" s="6" t="n">
        <v>55</v>
      </c>
      <c r="J167" s="8" t="inlineStr">
        <is>
          <t>https://www.codechef.com/problems/CONTBS3</t>
        </is>
      </c>
      <c r="K167" s="7" t="inlineStr"/>
      <c r="L167" s="6" t="inlineStr">
        <is>
          <t>codechef</t>
        </is>
      </c>
    </row>
    <row r="168" ht="20" customHeight="1">
      <c r="A168" s="2" t="inlineStr">
        <is>
          <t>Unsolved</t>
        </is>
      </c>
      <c r="B168" s="3" t="inlineStr">
        <is>
          <t>KINGDOM 4 — THE KINGDOM OF BINARY SEARCH</t>
        </is>
      </c>
      <c r="C168" s="3" t="inlineStr">
        <is>
          <t>Pattern 4.4 — Continuous Binary Search</t>
        </is>
      </c>
      <c r="D168" s="2" t="inlineStr">
        <is>
          <t>CONTBS4</t>
        </is>
      </c>
      <c r="E168" s="3" t="inlineStr">
        <is>
          <t>Optimal Meeting Point Continuous</t>
        </is>
      </c>
      <c r="F168" s="10" t="inlineStr">
        <is>
          <t>Hard</t>
        </is>
      </c>
      <c r="G168" s="3" t="inlineStr">
        <is>
          <t>continuous search</t>
        </is>
      </c>
      <c r="H168" s="2" t="n">
        <v>120</v>
      </c>
      <c r="I168" s="2" t="n">
        <v>120</v>
      </c>
      <c r="J168" s="5" t="inlineStr">
        <is>
          <t>https://www.codechef.com/problems/CONTBS4</t>
        </is>
      </c>
      <c r="K168" s="3" t="inlineStr"/>
      <c r="L168" s="2" t="inlineStr">
        <is>
          <t>codechef</t>
        </is>
      </c>
    </row>
    <row r="169" ht="20" customHeight="1">
      <c r="A169" s="6" t="inlineStr">
        <is>
          <t>Unsolved</t>
        </is>
      </c>
      <c r="B169" s="7" t="inlineStr">
        <is>
          <t>KINGDOM 4 — THE KINGDOM OF BINARY SEARCH</t>
        </is>
      </c>
      <c r="C169" s="7" t="inlineStr">
        <is>
          <t>Pattern 4.4 — Continuous Binary Search</t>
        </is>
      </c>
      <c r="D169" s="6" t="inlineStr">
        <is>
          <t>CONTBS5</t>
        </is>
      </c>
      <c r="E169" s="7" t="inlineStr">
        <is>
          <t>Convex Function Minimization</t>
        </is>
      </c>
      <c r="F169" s="10" t="inlineStr">
        <is>
          <t>Hard</t>
        </is>
      </c>
      <c r="G169" s="7" t="inlineStr">
        <is>
          <t>ternary search</t>
        </is>
      </c>
      <c r="H169" s="6" t="n">
        <v>120</v>
      </c>
      <c r="I169" s="6" t="n">
        <v>120</v>
      </c>
      <c r="J169" s="8" t="inlineStr">
        <is>
          <t>https://www.codechef.com/problems/CONTBS5</t>
        </is>
      </c>
      <c r="K169" s="7" t="inlineStr"/>
      <c r="L169" s="6" t="inlineStr">
        <is>
          <t>codechef</t>
        </is>
      </c>
    </row>
    <row r="170" ht="20" customHeight="1">
      <c r="A170" s="2" t="inlineStr">
        <is>
          <t>Unsolved</t>
        </is>
      </c>
      <c r="B170" s="3" t="inlineStr">
        <is>
          <t>KINGDOM 4 — THE KINGDOM OF BINARY SEARCH</t>
        </is>
      </c>
      <c r="C170" s="3" t="inlineStr">
        <is>
          <t>Pattern 4.4 — Continuous Binary Search</t>
        </is>
      </c>
      <c r="D170" s="2" t="inlineStr">
        <is>
          <t>CONTBS6</t>
        </is>
      </c>
      <c r="E170" s="3" t="inlineStr">
        <is>
          <t>Continuous Median Search</t>
        </is>
      </c>
      <c r="F170" s="10" t="inlineStr">
        <is>
          <t>Hard</t>
        </is>
      </c>
      <c r="G170" s="3" t="inlineStr">
        <is>
          <t>binary search</t>
        </is>
      </c>
      <c r="H170" s="2" t="n">
        <v>120</v>
      </c>
      <c r="I170" s="2" t="n">
        <v>120</v>
      </c>
      <c r="J170" s="5" t="inlineStr">
        <is>
          <t>https://www.codechef.com/problems/CONTBS6</t>
        </is>
      </c>
      <c r="K170" s="3" t="inlineStr"/>
      <c r="L170" s="2" t="inlineStr">
        <is>
          <t>codechef</t>
        </is>
      </c>
    </row>
    <row r="171" ht="20" customHeight="1">
      <c r="A171" s="6" t="inlineStr">
        <is>
          <t>Unsolved</t>
        </is>
      </c>
      <c r="B171" s="7" t="inlineStr">
        <is>
          <t>KINGDOM 5 — THE KINGDOM OF SORTING &amp; GREEDY</t>
        </is>
      </c>
      <c r="C171" s="7" t="inlineStr">
        <is>
          <t>Pattern 5.1 — Basic Greedy</t>
        </is>
      </c>
      <c r="D171" s="6" t="inlineStr">
        <is>
          <t>GREE1</t>
        </is>
      </c>
      <c r="E171" s="7" t="inlineStr">
        <is>
          <t>Assign Cookies</t>
        </is>
      </c>
      <c r="F171" s="4" t="inlineStr">
        <is>
          <t>Easy</t>
        </is>
      </c>
      <c r="G171" s="7" t="inlineStr">
        <is>
          <t>basic greedy</t>
        </is>
      </c>
      <c r="H171" s="6" t="n">
        <v>25</v>
      </c>
      <c r="I171" s="6" t="n">
        <v>20</v>
      </c>
      <c r="J171" s="8" t="inlineStr">
        <is>
          <t>https://www.codechef.com/problems/GREE1</t>
        </is>
      </c>
      <c r="K171" s="7" t="inlineStr"/>
      <c r="L171" s="6" t="inlineStr">
        <is>
          <t>codechef</t>
        </is>
      </c>
    </row>
    <row r="172" ht="20" customHeight="1">
      <c r="A172" s="2" t="inlineStr">
        <is>
          <t>Unsolved</t>
        </is>
      </c>
      <c r="B172" s="3" t="inlineStr">
        <is>
          <t>KINGDOM 5 — THE KINGDOM OF SORTING &amp; GREEDY</t>
        </is>
      </c>
      <c r="C172" s="3" t="inlineStr">
        <is>
          <t>Pattern 5.1 — Basic Greedy</t>
        </is>
      </c>
      <c r="D172" s="2" t="inlineStr">
        <is>
          <t>GREE2</t>
        </is>
      </c>
      <c r="E172" s="3" t="inlineStr">
        <is>
          <t>Lemonade Change</t>
        </is>
      </c>
      <c r="F172" s="4" t="inlineStr">
        <is>
          <t>Easy</t>
        </is>
      </c>
      <c r="G172" s="3" t="inlineStr">
        <is>
          <t>basic greedy</t>
        </is>
      </c>
      <c r="H172" s="2" t="n">
        <v>25</v>
      </c>
      <c r="I172" s="2" t="n">
        <v>20</v>
      </c>
      <c r="J172" s="5" t="inlineStr">
        <is>
          <t>https://www.codechef.com/problems/GREE2</t>
        </is>
      </c>
      <c r="K172" s="3" t="inlineStr"/>
      <c r="L172" s="2" t="inlineStr">
        <is>
          <t>codechef</t>
        </is>
      </c>
    </row>
    <row r="173" ht="20" customHeight="1">
      <c r="A173" s="6" t="inlineStr">
        <is>
          <t>Unsolved</t>
        </is>
      </c>
      <c r="B173" s="7" t="inlineStr">
        <is>
          <t>KINGDOM 5 — THE KINGDOM OF SORTING &amp; GREEDY</t>
        </is>
      </c>
      <c r="C173" s="7" t="inlineStr">
        <is>
          <t>Pattern 5.1 — Basic Greedy</t>
        </is>
      </c>
      <c r="D173" s="6" t="inlineStr">
        <is>
          <t>GREE3</t>
        </is>
      </c>
      <c r="E173" s="7" t="inlineStr">
        <is>
          <t>Best Time Buy Sell Stock</t>
        </is>
      </c>
      <c r="F173" s="4" t="inlineStr">
        <is>
          <t>Easy</t>
        </is>
      </c>
      <c r="G173" s="7" t="inlineStr">
        <is>
          <t>basic greedy</t>
        </is>
      </c>
      <c r="H173" s="6" t="n">
        <v>25</v>
      </c>
      <c r="I173" s="6" t="n">
        <v>20</v>
      </c>
      <c r="J173" s="8" t="inlineStr">
        <is>
          <t>https://www.codechef.com/problems/GREE3</t>
        </is>
      </c>
      <c r="K173" s="7" t="inlineStr"/>
      <c r="L173" s="6" t="inlineStr">
        <is>
          <t>codechef</t>
        </is>
      </c>
    </row>
    <row r="174" ht="20" customHeight="1">
      <c r="A174" s="2" t="inlineStr">
        <is>
          <t>Unsolved</t>
        </is>
      </c>
      <c r="B174" s="3" t="inlineStr">
        <is>
          <t>KINGDOM 5 — THE KINGDOM OF SORTING &amp; GREEDY</t>
        </is>
      </c>
      <c r="C174" s="3" t="inlineStr">
        <is>
          <t>Pattern 5.1 — Basic Greedy</t>
        </is>
      </c>
      <c r="D174" s="2" t="inlineStr">
        <is>
          <t>GREE4</t>
        </is>
      </c>
      <c r="E174" s="3" t="inlineStr">
        <is>
          <t>Can Place Flowers</t>
        </is>
      </c>
      <c r="F174" s="4" t="inlineStr">
        <is>
          <t>Easy</t>
        </is>
      </c>
      <c r="G174" s="3" t="inlineStr">
        <is>
          <t>basic greedy</t>
        </is>
      </c>
      <c r="H174" s="2" t="n">
        <v>25</v>
      </c>
      <c r="I174" s="2" t="n">
        <v>20</v>
      </c>
      <c r="J174" s="5" t="inlineStr">
        <is>
          <t>https://www.codechef.com/problems/GREE4</t>
        </is>
      </c>
      <c r="K174" s="3" t="inlineStr"/>
      <c r="L174" s="2" t="inlineStr">
        <is>
          <t>codechef</t>
        </is>
      </c>
    </row>
    <row r="175" ht="20" customHeight="1">
      <c r="A175" s="6" t="inlineStr">
        <is>
          <t>Unsolved</t>
        </is>
      </c>
      <c r="B175" s="7" t="inlineStr">
        <is>
          <t>KINGDOM 5 — THE KINGDOM OF SORTING &amp; GREEDY</t>
        </is>
      </c>
      <c r="C175" s="7" t="inlineStr">
        <is>
          <t>Pattern 5.1 — Basic Greedy</t>
        </is>
      </c>
      <c r="D175" s="6" t="inlineStr">
        <is>
          <t>GREE5</t>
        </is>
      </c>
      <c r="E175" s="7" t="inlineStr">
        <is>
          <t>Array Partition Min Sum</t>
        </is>
      </c>
      <c r="F175" s="4" t="inlineStr">
        <is>
          <t>Easy</t>
        </is>
      </c>
      <c r="G175" s="7" t="inlineStr">
        <is>
          <t>basic greedy</t>
        </is>
      </c>
      <c r="H175" s="6" t="n">
        <v>25</v>
      </c>
      <c r="I175" s="6" t="n">
        <v>20</v>
      </c>
      <c r="J175" s="8" t="inlineStr">
        <is>
          <t>https://www.codechef.com/problems/GREE5</t>
        </is>
      </c>
      <c r="K175" s="7" t="inlineStr"/>
      <c r="L175" s="6" t="inlineStr">
        <is>
          <t>codechef</t>
        </is>
      </c>
    </row>
    <row r="176" ht="20" customHeight="1">
      <c r="A176" s="2" t="inlineStr">
        <is>
          <t>Unsolved</t>
        </is>
      </c>
      <c r="B176" s="3" t="inlineStr">
        <is>
          <t>KINGDOM 5 — THE KINGDOM OF SORTING &amp; GREEDY</t>
        </is>
      </c>
      <c r="C176" s="3" t="inlineStr">
        <is>
          <t>Pattern 5.1 — Basic Greedy</t>
        </is>
      </c>
      <c r="D176" s="2" t="inlineStr">
        <is>
          <t>GREE6</t>
        </is>
      </c>
      <c r="E176" s="3" t="inlineStr">
        <is>
          <t>Maximum Units on Truck</t>
        </is>
      </c>
      <c r="F176" s="4" t="inlineStr">
        <is>
          <t>Easy</t>
        </is>
      </c>
      <c r="G176" s="3" t="inlineStr">
        <is>
          <t>greedy, sorting</t>
        </is>
      </c>
      <c r="H176" s="2" t="n">
        <v>25</v>
      </c>
      <c r="I176" s="2" t="n">
        <v>20</v>
      </c>
      <c r="J176" s="5" t="inlineStr">
        <is>
          <t>https://www.codechef.com/problems/GREE6</t>
        </is>
      </c>
      <c r="K176" s="3" t="inlineStr"/>
      <c r="L176" s="2" t="inlineStr">
        <is>
          <t>codechef</t>
        </is>
      </c>
    </row>
    <row r="177" ht="20" customHeight="1">
      <c r="A177" s="6" t="inlineStr">
        <is>
          <t>Unsolved</t>
        </is>
      </c>
      <c r="B177" s="7" t="inlineStr">
        <is>
          <t>KINGDOM 5 — THE KINGDOM OF SORTING &amp; GREEDY</t>
        </is>
      </c>
      <c r="C177" s="7" t="inlineStr">
        <is>
          <t>Pattern 5.1 — Basic Greedy</t>
        </is>
      </c>
      <c r="D177" s="6" t="inlineStr">
        <is>
          <t>GREE7</t>
        </is>
      </c>
      <c r="E177" s="7" t="inlineStr">
        <is>
          <t>Largest Number Formation</t>
        </is>
      </c>
      <c r="F177" s="9" t="inlineStr">
        <is>
          <t>Medium</t>
        </is>
      </c>
      <c r="G177" s="7" t="inlineStr">
        <is>
          <t>greedy custom comparator</t>
        </is>
      </c>
      <c r="H177" s="6" t="n">
        <v>60</v>
      </c>
      <c r="I177" s="6" t="n">
        <v>55</v>
      </c>
      <c r="J177" s="8" t="inlineStr">
        <is>
          <t>https://www.codechef.com/problems/GREE7</t>
        </is>
      </c>
      <c r="K177" s="7" t="inlineStr"/>
      <c r="L177" s="6" t="inlineStr">
        <is>
          <t>codechef</t>
        </is>
      </c>
    </row>
    <row r="178" ht="20" customHeight="1">
      <c r="A178" s="2" t="inlineStr">
        <is>
          <t>Unsolved</t>
        </is>
      </c>
      <c r="B178" s="3" t="inlineStr">
        <is>
          <t>KINGDOM 5 — THE KINGDOM OF SORTING &amp; GREEDY</t>
        </is>
      </c>
      <c r="C178" s="3" t="inlineStr">
        <is>
          <t>Pattern 5.1 — Basic Greedy</t>
        </is>
      </c>
      <c r="D178" s="2" t="inlineStr">
        <is>
          <t>GREE8</t>
        </is>
      </c>
      <c r="E178" s="3" t="inlineStr">
        <is>
          <t>Gas Station Circuit</t>
        </is>
      </c>
      <c r="F178" s="9" t="inlineStr">
        <is>
          <t>Medium</t>
        </is>
      </c>
      <c r="G178" s="3" t="inlineStr">
        <is>
          <t>greedy simulation</t>
        </is>
      </c>
      <c r="H178" s="2" t="n">
        <v>60</v>
      </c>
      <c r="I178" s="2" t="n">
        <v>55</v>
      </c>
      <c r="J178" s="5" t="inlineStr">
        <is>
          <t>https://www.codechef.com/problems/GREE8</t>
        </is>
      </c>
      <c r="K178" s="3" t="inlineStr"/>
      <c r="L178" s="2" t="inlineStr">
        <is>
          <t>codechef</t>
        </is>
      </c>
    </row>
    <row r="179" ht="20" customHeight="1">
      <c r="A179" s="6" t="inlineStr">
        <is>
          <t>Unsolved</t>
        </is>
      </c>
      <c r="B179" s="7" t="inlineStr">
        <is>
          <t>KINGDOM 5 — THE KINGDOM OF SORTING &amp; GREEDY</t>
        </is>
      </c>
      <c r="C179" s="7" t="inlineStr">
        <is>
          <t>Pattern 5.2 — Greedy with Sorting</t>
        </is>
      </c>
      <c r="D179" s="6" t="inlineStr">
        <is>
          <t>INOI1201</t>
        </is>
      </c>
      <c r="E179" s="7" t="inlineStr">
        <is>
          <t>Triathlon</t>
        </is>
      </c>
      <c r="F179" s="9" t="inlineStr">
        <is>
          <t>Easy-Medium</t>
        </is>
      </c>
      <c r="G179" s="7" t="inlineStr">
        <is>
          <t>greedy, sorting comparator</t>
        </is>
      </c>
      <c r="H179" s="6" t="n">
        <v>40</v>
      </c>
      <c r="I179" s="6" t="n">
        <v>35</v>
      </c>
      <c r="J179" s="8" t="inlineStr">
        <is>
          <t>https://www.codechef.com/problems/INOI1201</t>
        </is>
      </c>
      <c r="K179" s="7" t="inlineStr"/>
      <c r="L179" s="6" t="inlineStr">
        <is>
          <t>codechef</t>
        </is>
      </c>
    </row>
    <row r="180" ht="20" customHeight="1">
      <c r="A180" s="2" t="inlineStr">
        <is>
          <t>Unsolved</t>
        </is>
      </c>
      <c r="B180" s="3" t="inlineStr">
        <is>
          <t>KINGDOM 5 — THE KINGDOM OF SORTING &amp; GREEDY</t>
        </is>
      </c>
      <c r="C180" s="3" t="inlineStr">
        <is>
          <t>Pattern 5.2 — Greedy with Sorting</t>
        </is>
      </c>
      <c r="D180" s="2" t="inlineStr">
        <is>
          <t>GREESORT1</t>
        </is>
      </c>
      <c r="E180" s="3" t="inlineStr">
        <is>
          <t>Non-overlapping Intervals</t>
        </is>
      </c>
      <c r="F180" s="9" t="inlineStr">
        <is>
          <t>Medium</t>
        </is>
      </c>
      <c r="G180" s="3" t="inlineStr">
        <is>
          <t>greedy sorting</t>
        </is>
      </c>
      <c r="H180" s="2" t="n">
        <v>60</v>
      </c>
      <c r="I180" s="2" t="n">
        <v>55</v>
      </c>
      <c r="J180" s="5" t="inlineStr">
        <is>
          <t>https://www.codechef.com/problems/GREESORT1</t>
        </is>
      </c>
      <c r="K180" s="3" t="inlineStr"/>
      <c r="L180" s="2" t="inlineStr">
        <is>
          <t>codechef</t>
        </is>
      </c>
    </row>
    <row r="181" ht="20" customHeight="1">
      <c r="A181" s="6" t="inlineStr">
        <is>
          <t>Unsolved</t>
        </is>
      </c>
      <c r="B181" s="7" t="inlineStr">
        <is>
          <t>KINGDOM 5 — THE KINGDOM OF SORTING &amp; GREEDY</t>
        </is>
      </c>
      <c r="C181" s="7" t="inlineStr">
        <is>
          <t>Pattern 5.2 — Greedy with Sorting</t>
        </is>
      </c>
      <c r="D181" s="6" t="inlineStr">
        <is>
          <t>GREESORT2</t>
        </is>
      </c>
      <c r="E181" s="7" t="inlineStr">
        <is>
          <t>Minimum Arrows Burst Balloons</t>
        </is>
      </c>
      <c r="F181" s="9" t="inlineStr">
        <is>
          <t>Medium</t>
        </is>
      </c>
      <c r="G181" s="7" t="inlineStr">
        <is>
          <t>greedy interval sorting</t>
        </is>
      </c>
      <c r="H181" s="6" t="n">
        <v>60</v>
      </c>
      <c r="I181" s="6" t="n">
        <v>55</v>
      </c>
      <c r="J181" s="8" t="inlineStr">
        <is>
          <t>https://www.codechef.com/problems/GREESORT2</t>
        </is>
      </c>
      <c r="K181" s="7" t="inlineStr"/>
      <c r="L181" s="6" t="inlineStr">
        <is>
          <t>codechef</t>
        </is>
      </c>
    </row>
    <row r="182" ht="20" customHeight="1">
      <c r="A182" s="2" t="inlineStr">
        <is>
          <t>Unsolved</t>
        </is>
      </c>
      <c r="B182" s="3" t="inlineStr">
        <is>
          <t>KINGDOM 5 — THE KINGDOM OF SORTING &amp; GREEDY</t>
        </is>
      </c>
      <c r="C182" s="3" t="inlineStr">
        <is>
          <t>Pattern 5.2 — Greedy with Sorting</t>
        </is>
      </c>
      <c r="D182" s="2" t="inlineStr">
        <is>
          <t>GREESORT3</t>
        </is>
      </c>
      <c r="E182" s="3" t="inlineStr">
        <is>
          <t>Job Sequencing Problem</t>
        </is>
      </c>
      <c r="F182" s="9" t="inlineStr">
        <is>
          <t>Medium</t>
        </is>
      </c>
      <c r="G182" s="3" t="inlineStr">
        <is>
          <t>greedy deadline sorting</t>
        </is>
      </c>
      <c r="H182" s="2" t="n">
        <v>60</v>
      </c>
      <c r="I182" s="2" t="n">
        <v>55</v>
      </c>
      <c r="J182" s="5" t="inlineStr">
        <is>
          <t>https://www.codechef.com/problems/GREESORT3</t>
        </is>
      </c>
      <c r="K182" s="3" t="inlineStr"/>
      <c r="L182" s="2" t="inlineStr">
        <is>
          <t>codechef</t>
        </is>
      </c>
    </row>
    <row r="183" ht="20" customHeight="1">
      <c r="A183" s="6" t="inlineStr">
        <is>
          <t>Unsolved</t>
        </is>
      </c>
      <c r="B183" s="7" t="inlineStr">
        <is>
          <t>KINGDOM 5 — THE KINGDOM OF SORTING &amp; GREEDY</t>
        </is>
      </c>
      <c r="C183" s="7" t="inlineStr">
        <is>
          <t>Pattern 5.2 — Greedy with Sorting</t>
        </is>
      </c>
      <c r="D183" s="6" t="inlineStr">
        <is>
          <t>GREESORT4</t>
        </is>
      </c>
      <c r="E183" s="7" t="inlineStr">
        <is>
          <t>Fractional Knapsack</t>
        </is>
      </c>
      <c r="F183" s="9" t="inlineStr">
        <is>
          <t>Medium</t>
        </is>
      </c>
      <c r="G183" s="7" t="inlineStr">
        <is>
          <t>greedy ratio sorting</t>
        </is>
      </c>
      <c r="H183" s="6" t="n">
        <v>60</v>
      </c>
      <c r="I183" s="6" t="n">
        <v>55</v>
      </c>
      <c r="J183" s="8" t="inlineStr">
        <is>
          <t>https://www.codechef.com/problems/GREESORT4</t>
        </is>
      </c>
      <c r="K183" s="7" t="inlineStr"/>
      <c r="L183" s="6" t="inlineStr">
        <is>
          <t>codechef</t>
        </is>
      </c>
    </row>
    <row r="184" ht="20" customHeight="1">
      <c r="A184" s="2" t="inlineStr">
        <is>
          <t>Unsolved</t>
        </is>
      </c>
      <c r="B184" s="3" t="inlineStr">
        <is>
          <t>KINGDOM 5 — THE KINGDOM OF SORTING &amp; GREEDY</t>
        </is>
      </c>
      <c r="C184" s="3" t="inlineStr">
        <is>
          <t>Pattern 5.2 — Greedy with Sorting</t>
        </is>
      </c>
      <c r="D184" s="2" t="inlineStr">
        <is>
          <t>GREESORT5</t>
        </is>
      </c>
      <c r="E184" s="3" t="inlineStr">
        <is>
          <t>Minimum Platforms Required</t>
        </is>
      </c>
      <c r="F184" s="9" t="inlineStr">
        <is>
          <t>Medium</t>
        </is>
      </c>
      <c r="G184" s="3" t="inlineStr">
        <is>
          <t>greedy arrival departure sorting</t>
        </is>
      </c>
      <c r="H184" s="2" t="n">
        <v>60</v>
      </c>
      <c r="I184" s="2" t="n">
        <v>55</v>
      </c>
      <c r="J184" s="5" t="inlineStr">
        <is>
          <t>https://www.codechef.com/problems/GREESORT5</t>
        </is>
      </c>
      <c r="K184" s="3" t="inlineStr"/>
      <c r="L184" s="2" t="inlineStr">
        <is>
          <t>codechef</t>
        </is>
      </c>
    </row>
    <row r="185" ht="20" customHeight="1">
      <c r="A185" s="6" t="inlineStr">
        <is>
          <t>Unsolved</t>
        </is>
      </c>
      <c r="B185" s="7" t="inlineStr">
        <is>
          <t>KINGDOM 5 — THE KINGDOM OF SORTING &amp; GREEDY</t>
        </is>
      </c>
      <c r="C185" s="7" t="inlineStr">
        <is>
          <t>Pattern 5.2 — Greedy with Sorting</t>
        </is>
      </c>
      <c r="D185" s="6" t="inlineStr">
        <is>
          <t>GREESORT6</t>
        </is>
      </c>
      <c r="E185" s="7" t="inlineStr">
        <is>
          <t>Queue Reconstruction by Height</t>
        </is>
      </c>
      <c r="F185" s="10" t="inlineStr">
        <is>
          <t>Medium-Hard</t>
        </is>
      </c>
      <c r="G185" s="7" t="inlineStr">
        <is>
          <t>greedy sorting</t>
        </is>
      </c>
      <c r="H185" s="6" t="n">
        <v>90</v>
      </c>
      <c r="I185" s="6" t="n">
        <v>80</v>
      </c>
      <c r="J185" s="8" t="inlineStr">
        <is>
          <t>https://www.codechef.com/problems/GREESORT6</t>
        </is>
      </c>
      <c r="K185" s="7" t="inlineStr"/>
      <c r="L185" s="6" t="inlineStr">
        <is>
          <t>codechef</t>
        </is>
      </c>
    </row>
    <row r="186" ht="20" customHeight="1">
      <c r="A186" s="2" t="inlineStr">
        <is>
          <t>Unsolved</t>
        </is>
      </c>
      <c r="B186" s="3" t="inlineStr">
        <is>
          <t>KINGDOM 5 — THE KINGDOM OF SORTING &amp; GREEDY</t>
        </is>
      </c>
      <c r="C186" s="3" t="inlineStr">
        <is>
          <t>Pattern 5.2 — Greedy with Sorting</t>
        </is>
      </c>
      <c r="D186" s="2" t="inlineStr">
        <is>
          <t>GREESORT7</t>
        </is>
      </c>
      <c r="E186" s="3" t="inlineStr">
        <is>
          <t>Task Scheduler</t>
        </is>
      </c>
      <c r="F186" s="9" t="inlineStr">
        <is>
          <t>Medium</t>
        </is>
      </c>
      <c r="G186" s="3" t="inlineStr">
        <is>
          <t>greedy frequency sorting</t>
        </is>
      </c>
      <c r="H186" s="2" t="n">
        <v>60</v>
      </c>
      <c r="I186" s="2" t="n">
        <v>55</v>
      </c>
      <c r="J186" s="5" t="inlineStr">
        <is>
          <t>https://www.codechef.com/problems/GREESORT7</t>
        </is>
      </c>
      <c r="K186" s="3" t="inlineStr"/>
      <c r="L186" s="2" t="inlineStr">
        <is>
          <t>codechef</t>
        </is>
      </c>
    </row>
    <row r="187" ht="20" customHeight="1">
      <c r="A187" s="6" t="inlineStr">
        <is>
          <t>Unsolved</t>
        </is>
      </c>
      <c r="B187" s="7" t="inlineStr">
        <is>
          <t>KINGDOM 5 — THE KINGDOM OF SORTING &amp; GREEDY</t>
        </is>
      </c>
      <c r="C187" s="7" t="inlineStr">
        <is>
          <t>Pattern 5.3 — Interval Greedy</t>
        </is>
      </c>
      <c r="D187" s="6" t="inlineStr">
        <is>
          <t>MAXSUM</t>
        </is>
      </c>
      <c r="E187" s="7" t="inlineStr">
        <is>
          <t>Maximum Subarray Sum Greedy</t>
        </is>
      </c>
      <c r="F187" s="4" t="inlineStr">
        <is>
          <t>Easy</t>
        </is>
      </c>
      <c r="G187" s="7" t="inlineStr">
        <is>
          <t>interval greedy</t>
        </is>
      </c>
      <c r="H187" s="6" t="n">
        <v>25</v>
      </c>
      <c r="I187" s="6" t="n">
        <v>20</v>
      </c>
      <c r="J187" s="8" t="inlineStr">
        <is>
          <t>https://www.codechef.com/problems/MAXSUM</t>
        </is>
      </c>
      <c r="K187" s="7" t="inlineStr"/>
      <c r="L187" s="6" t="inlineStr">
        <is>
          <t>codechef</t>
        </is>
      </c>
    </row>
    <row r="188" ht="20" customHeight="1">
      <c r="A188" s="2" t="inlineStr">
        <is>
          <t>Unsolved</t>
        </is>
      </c>
      <c r="B188" s="3" t="inlineStr">
        <is>
          <t>KINGDOM 5 — THE KINGDOM OF SORTING &amp; GREEDY</t>
        </is>
      </c>
      <c r="C188" s="3" t="inlineStr">
        <is>
          <t>Pattern 5.3 — Interval Greedy</t>
        </is>
      </c>
      <c r="D188" s="2" t="inlineStr">
        <is>
          <t>INTERVAL</t>
        </is>
      </c>
      <c r="E188" s="3" t="inlineStr">
        <is>
          <t>Interval Scheduling Maximum</t>
        </is>
      </c>
      <c r="F188" s="9" t="inlineStr">
        <is>
          <t>Medium</t>
        </is>
      </c>
      <c r="G188" s="3" t="inlineStr">
        <is>
          <t>interval greedy</t>
        </is>
      </c>
      <c r="H188" s="2" t="n">
        <v>60</v>
      </c>
      <c r="I188" s="2" t="n">
        <v>55</v>
      </c>
      <c r="J188" s="5" t="inlineStr">
        <is>
          <t>https://www.codechef.com/problems/INTERVAL</t>
        </is>
      </c>
      <c r="K188" s="3" t="inlineStr"/>
      <c r="L188" s="2" t="inlineStr">
        <is>
          <t>codechef</t>
        </is>
      </c>
    </row>
    <row r="189" ht="20" customHeight="1">
      <c r="A189" s="6" t="inlineStr">
        <is>
          <t>Unsolved</t>
        </is>
      </c>
      <c r="B189" s="7" t="inlineStr">
        <is>
          <t>KINGDOM 5 — THE KINGDOM OF SORTING &amp; GREEDY</t>
        </is>
      </c>
      <c r="C189" s="7" t="inlineStr">
        <is>
          <t>Pattern 5.3 — Interval Greedy</t>
        </is>
      </c>
      <c r="D189" s="6" t="inlineStr">
        <is>
          <t>BUSS</t>
        </is>
      </c>
      <c r="E189" s="7" t="inlineStr">
        <is>
          <t>Bus Routes Scheduling</t>
        </is>
      </c>
      <c r="F189" s="9" t="inlineStr">
        <is>
          <t>Medium</t>
        </is>
      </c>
      <c r="G189" s="7" t="inlineStr">
        <is>
          <t>interval greedy</t>
        </is>
      </c>
      <c r="H189" s="6" t="n">
        <v>60</v>
      </c>
      <c r="I189" s="6" t="n">
        <v>55</v>
      </c>
      <c r="J189" s="8" t="inlineStr">
        <is>
          <t>https://www.codechef.com/problems/BUSS</t>
        </is>
      </c>
      <c r="K189" s="7" t="inlineStr"/>
      <c r="L189" s="6" t="inlineStr">
        <is>
          <t>codechef</t>
        </is>
      </c>
    </row>
    <row r="190" ht="20" customHeight="1">
      <c r="A190" s="2" t="inlineStr">
        <is>
          <t>Unsolved</t>
        </is>
      </c>
      <c r="B190" s="3" t="inlineStr">
        <is>
          <t>KINGDOM 5 — THE KINGDOM OF SORTING &amp; GREEDY</t>
        </is>
      </c>
      <c r="C190" s="3" t="inlineStr">
        <is>
          <t>Pattern 5.3 — Interval Greedy</t>
        </is>
      </c>
      <c r="D190" s="2" t="inlineStr">
        <is>
          <t>MEET</t>
        </is>
      </c>
      <c r="E190" s="3" t="inlineStr">
        <is>
          <t>Meeting Rooms Minimum</t>
        </is>
      </c>
      <c r="F190" s="9" t="inlineStr">
        <is>
          <t>Medium</t>
        </is>
      </c>
      <c r="G190" s="3" t="inlineStr">
        <is>
          <t>interval greedy</t>
        </is>
      </c>
      <c r="H190" s="2" t="n">
        <v>60</v>
      </c>
      <c r="I190" s="2" t="n">
        <v>55</v>
      </c>
      <c r="J190" s="5" t="inlineStr">
        <is>
          <t>https://www.codechef.com/problems/MEET</t>
        </is>
      </c>
      <c r="K190" s="3" t="inlineStr"/>
      <c r="L190" s="2" t="inlineStr">
        <is>
          <t>codechef</t>
        </is>
      </c>
    </row>
    <row r="191" ht="20" customHeight="1">
      <c r="A191" s="6" t="inlineStr">
        <is>
          <t>Unsolved</t>
        </is>
      </c>
      <c r="B191" s="7" t="inlineStr">
        <is>
          <t>KINGDOM 5 — THE KINGDOM OF SORTING &amp; GREEDY</t>
        </is>
      </c>
      <c r="C191" s="7" t="inlineStr">
        <is>
          <t>Pattern 5.3 — Interval Greedy</t>
        </is>
      </c>
      <c r="D191" s="6" t="inlineStr">
        <is>
          <t>INTGREE1</t>
        </is>
      </c>
      <c r="E191" s="7" t="inlineStr">
        <is>
          <t>Merge Intervals</t>
        </is>
      </c>
      <c r="F191" s="9" t="inlineStr">
        <is>
          <t>Medium</t>
        </is>
      </c>
      <c r="G191" s="7" t="inlineStr">
        <is>
          <t>interval greedy</t>
        </is>
      </c>
      <c r="H191" s="6" t="n">
        <v>60</v>
      </c>
      <c r="I191" s="6" t="n">
        <v>55</v>
      </c>
      <c r="J191" s="8" t="inlineStr">
        <is>
          <t>https://www.codechef.com/problems/INTGREE1</t>
        </is>
      </c>
      <c r="K191" s="7" t="inlineStr"/>
      <c r="L191" s="6" t="inlineStr">
        <is>
          <t>codechef</t>
        </is>
      </c>
    </row>
    <row r="192" ht="20" customHeight="1">
      <c r="A192" s="2" t="inlineStr">
        <is>
          <t>Unsolved</t>
        </is>
      </c>
      <c r="B192" s="3" t="inlineStr">
        <is>
          <t>KINGDOM 5 — THE KINGDOM OF SORTING &amp; GREEDY</t>
        </is>
      </c>
      <c r="C192" s="3" t="inlineStr">
        <is>
          <t>Pattern 5.3 — Interval Greedy</t>
        </is>
      </c>
      <c r="D192" s="2" t="inlineStr">
        <is>
          <t>INTGREE2</t>
        </is>
      </c>
      <c r="E192" s="3" t="inlineStr">
        <is>
          <t>Insert Interval</t>
        </is>
      </c>
      <c r="F192" s="9" t="inlineStr">
        <is>
          <t>Medium</t>
        </is>
      </c>
      <c r="G192" s="3" t="inlineStr">
        <is>
          <t>interval greedy</t>
        </is>
      </c>
      <c r="H192" s="2" t="n">
        <v>60</v>
      </c>
      <c r="I192" s="2" t="n">
        <v>55</v>
      </c>
      <c r="J192" s="5" t="inlineStr">
        <is>
          <t>https://www.codechef.com/problems/INTGREE2</t>
        </is>
      </c>
      <c r="K192" s="3" t="inlineStr"/>
      <c r="L192" s="2" t="inlineStr">
        <is>
          <t>codechef</t>
        </is>
      </c>
    </row>
    <row r="193" ht="20" customHeight="1">
      <c r="A193" s="6" t="inlineStr">
        <is>
          <t>Unsolved</t>
        </is>
      </c>
      <c r="B193" s="7" t="inlineStr">
        <is>
          <t>KINGDOM 5 — THE KINGDOM OF SORTING &amp; GREEDY</t>
        </is>
      </c>
      <c r="C193" s="7" t="inlineStr">
        <is>
          <t>Pattern 5.3 — Interval Greedy</t>
        </is>
      </c>
      <c r="D193" s="6" t="inlineStr">
        <is>
          <t>INTGREE3</t>
        </is>
      </c>
      <c r="E193" s="7" t="inlineStr">
        <is>
          <t>Employee Free Time</t>
        </is>
      </c>
      <c r="F193" s="10" t="inlineStr">
        <is>
          <t>Hard</t>
        </is>
      </c>
      <c r="G193" s="7" t="inlineStr">
        <is>
          <t>interval greedy</t>
        </is>
      </c>
      <c r="H193" s="6" t="n">
        <v>120</v>
      </c>
      <c r="I193" s="6" t="n">
        <v>120</v>
      </c>
      <c r="J193" s="8" t="inlineStr">
        <is>
          <t>https://www.codechef.com/problems/INTGREE3</t>
        </is>
      </c>
      <c r="K193" s="7" t="inlineStr"/>
      <c r="L193" s="6" t="inlineStr">
        <is>
          <t>codechef</t>
        </is>
      </c>
    </row>
    <row r="194" ht="20" customHeight="1">
      <c r="A194" s="2" t="inlineStr">
        <is>
          <t>Unsolved</t>
        </is>
      </c>
      <c r="B194" s="3" t="inlineStr">
        <is>
          <t>KINGDOM 5 — THE KINGDOM OF SORTING &amp; GREEDY</t>
        </is>
      </c>
      <c r="C194" s="3" t="inlineStr">
        <is>
          <t>Pattern 5.3 — Interval Greedy</t>
        </is>
      </c>
      <c r="D194" s="2" t="inlineStr">
        <is>
          <t>INTGREE4</t>
        </is>
      </c>
      <c r="E194" s="3" t="inlineStr">
        <is>
          <t>Remove Covered Intervals</t>
        </is>
      </c>
      <c r="F194" s="9" t="inlineStr">
        <is>
          <t>Medium</t>
        </is>
      </c>
      <c r="G194" s="3" t="inlineStr">
        <is>
          <t>interval greedy</t>
        </is>
      </c>
      <c r="H194" s="2" t="n">
        <v>60</v>
      </c>
      <c r="I194" s="2" t="n">
        <v>55</v>
      </c>
      <c r="J194" s="5" t="inlineStr">
        <is>
          <t>https://www.codechef.com/problems/INTGREE4</t>
        </is>
      </c>
      <c r="K194" s="3" t="inlineStr"/>
      <c r="L194" s="2" t="inlineStr">
        <is>
          <t>codechef</t>
        </is>
      </c>
    </row>
    <row r="195" ht="20" customHeight="1">
      <c r="A195" s="6" t="inlineStr">
        <is>
          <t>Unsolved</t>
        </is>
      </c>
      <c r="B195" s="7" t="inlineStr">
        <is>
          <t>KINGDOM 5 — THE KINGDOM OF SORTING &amp; GREEDY</t>
        </is>
      </c>
      <c r="C195" s="7" t="inlineStr">
        <is>
          <t>Pattern 5.4 — Greedy + Priority Queue</t>
        </is>
      </c>
      <c r="D195" s="6" t="inlineStr">
        <is>
          <t>SAVKONO</t>
        </is>
      </c>
      <c r="E195" s="7" t="inlineStr">
        <is>
          <t>Chef and his Daily Routine</t>
        </is>
      </c>
      <c r="F195" s="9" t="inlineStr">
        <is>
          <t>Easy-Medium</t>
        </is>
      </c>
      <c r="G195" s="7" t="inlineStr">
        <is>
          <t>greedy, priority queue</t>
        </is>
      </c>
      <c r="H195" s="6" t="n">
        <v>40</v>
      </c>
      <c r="I195" s="6" t="n">
        <v>35</v>
      </c>
      <c r="J195" s="8" t="inlineStr">
        <is>
          <t>https://www.codechef.com/problems/SAVKONO</t>
        </is>
      </c>
      <c r="K195" s="7" t="inlineStr"/>
      <c r="L195" s="6" t="inlineStr">
        <is>
          <t>codechef</t>
        </is>
      </c>
    </row>
    <row r="196" ht="20" customHeight="1">
      <c r="A196" s="2" t="inlineStr">
        <is>
          <t>Unsolved</t>
        </is>
      </c>
      <c r="B196" s="3" t="inlineStr">
        <is>
          <t>KINGDOM 5 — THE KINGDOM OF SORTING &amp; GREEDY</t>
        </is>
      </c>
      <c r="C196" s="3" t="inlineStr">
        <is>
          <t>Pattern 5.4 — Greedy + Priority Queue</t>
        </is>
      </c>
      <c r="D196" s="2" t="inlineStr">
        <is>
          <t>POTIONS</t>
        </is>
      </c>
      <c r="E196" s="3" t="inlineStr">
        <is>
          <t>Reorganize String</t>
        </is>
      </c>
      <c r="F196" s="9" t="inlineStr">
        <is>
          <t>Medium</t>
        </is>
      </c>
      <c r="G196" s="3" t="inlineStr">
        <is>
          <t>priority queue greedy</t>
        </is>
      </c>
      <c r="H196" s="2" t="n">
        <v>60</v>
      </c>
      <c r="I196" s="2" t="n">
        <v>55</v>
      </c>
      <c r="J196" s="5" t="inlineStr">
        <is>
          <t>https://www.codechef.com/problems/POTIONS</t>
        </is>
      </c>
      <c r="K196" s="3" t="inlineStr"/>
      <c r="L196" s="2" t="inlineStr">
        <is>
          <t>codechef</t>
        </is>
      </c>
    </row>
    <row r="197" ht="20" customHeight="1">
      <c r="A197" s="6" t="inlineStr">
        <is>
          <t>Unsolved</t>
        </is>
      </c>
      <c r="B197" s="7" t="inlineStr">
        <is>
          <t>KINGDOM 5 — THE KINGDOM OF SORTING &amp; GREEDY</t>
        </is>
      </c>
      <c r="C197" s="7" t="inlineStr">
        <is>
          <t>Pattern 5.4 — Greedy + Priority Queue</t>
        </is>
      </c>
      <c r="D197" s="6" t="inlineStr">
        <is>
          <t>CHEFBOOK</t>
        </is>
      </c>
      <c r="E197" s="7" t="inlineStr">
        <is>
          <t>Book Reading Schedule</t>
        </is>
      </c>
      <c r="F197" s="9" t="inlineStr">
        <is>
          <t>Medium</t>
        </is>
      </c>
      <c r="G197" s="7" t="inlineStr">
        <is>
          <t>greedy priority queue</t>
        </is>
      </c>
      <c r="H197" s="6" t="n">
        <v>60</v>
      </c>
      <c r="I197" s="6" t="n">
        <v>55</v>
      </c>
      <c r="J197" s="8" t="inlineStr">
        <is>
          <t>https://www.codechef.com/problems/CHEFBOOK</t>
        </is>
      </c>
      <c r="K197" s="7" t="inlineStr"/>
      <c r="L197" s="6" t="inlineStr">
        <is>
          <t>codechef</t>
        </is>
      </c>
    </row>
    <row r="198" ht="20" customHeight="1">
      <c r="A198" s="2" t="inlineStr">
        <is>
          <t>Unsolved</t>
        </is>
      </c>
      <c r="B198" s="3" t="inlineStr">
        <is>
          <t>KINGDOM 5 — THE KINGDOM OF SORTING &amp; GREEDY</t>
        </is>
      </c>
      <c r="C198" s="3" t="inlineStr">
        <is>
          <t>Pattern 5.4 — Greedy + Priority Queue</t>
        </is>
      </c>
      <c r="D198" s="2" t="inlineStr">
        <is>
          <t>GREEPQ1</t>
        </is>
      </c>
      <c r="E198" s="3" t="inlineStr">
        <is>
          <t>Furthest Building You Can Reach</t>
        </is>
      </c>
      <c r="F198" s="9" t="inlineStr">
        <is>
          <t>Medium</t>
        </is>
      </c>
      <c r="G198" s="3" t="inlineStr">
        <is>
          <t>greedy max heap</t>
        </is>
      </c>
      <c r="H198" s="2" t="n">
        <v>60</v>
      </c>
      <c r="I198" s="2" t="n">
        <v>55</v>
      </c>
      <c r="J198" s="5" t="inlineStr">
        <is>
          <t>https://www.codechef.com/problems/GREEPQ1</t>
        </is>
      </c>
      <c r="K198" s="3" t="inlineStr"/>
      <c r="L198" s="2" t="inlineStr">
        <is>
          <t>codechef</t>
        </is>
      </c>
    </row>
    <row r="199" ht="20" customHeight="1">
      <c r="A199" s="6" t="inlineStr">
        <is>
          <t>Unsolved</t>
        </is>
      </c>
      <c r="B199" s="7" t="inlineStr">
        <is>
          <t>KINGDOM 5 — THE KINGDOM OF SORTING &amp; GREEDY</t>
        </is>
      </c>
      <c r="C199" s="7" t="inlineStr">
        <is>
          <t>Pattern 5.4 — Greedy + Priority Queue</t>
        </is>
      </c>
      <c r="D199" s="6" t="inlineStr">
        <is>
          <t>GREEPQ2</t>
        </is>
      </c>
      <c r="E199" s="7" t="inlineStr">
        <is>
          <t>Minimum Refueling Stops</t>
        </is>
      </c>
      <c r="F199" s="10" t="inlineStr">
        <is>
          <t>Hard</t>
        </is>
      </c>
      <c r="G199" s="7" t="inlineStr">
        <is>
          <t>greedy max heap</t>
        </is>
      </c>
      <c r="H199" s="6" t="n">
        <v>120</v>
      </c>
      <c r="I199" s="6" t="n">
        <v>120</v>
      </c>
      <c r="J199" s="8" t="inlineStr">
        <is>
          <t>https://www.codechef.com/problems/GREEPQ2</t>
        </is>
      </c>
      <c r="K199" s="7" t="inlineStr"/>
      <c r="L199" s="6" t="inlineStr">
        <is>
          <t>codechef</t>
        </is>
      </c>
    </row>
    <row r="200" ht="20" customHeight="1">
      <c r="A200" s="2" t="inlineStr">
        <is>
          <t>Unsolved</t>
        </is>
      </c>
      <c r="B200" s="3" t="inlineStr">
        <is>
          <t>KINGDOM 5 — THE KINGDOM OF SORTING &amp; GREEDY</t>
        </is>
      </c>
      <c r="C200" s="3" t="inlineStr">
        <is>
          <t>Pattern 5.4 — Greedy + Priority Queue</t>
        </is>
      </c>
      <c r="D200" s="2" t="inlineStr">
        <is>
          <t>GREEPQ3</t>
        </is>
      </c>
      <c r="E200" s="3" t="inlineStr">
        <is>
          <t>Construct Target Array Multiple Sums</t>
        </is>
      </c>
      <c r="F200" s="10" t="inlineStr">
        <is>
          <t>Hard</t>
        </is>
      </c>
      <c r="G200" s="3" t="inlineStr">
        <is>
          <t>greedy max heap</t>
        </is>
      </c>
      <c r="H200" s="2" t="n">
        <v>120</v>
      </c>
      <c r="I200" s="2" t="n">
        <v>120</v>
      </c>
      <c r="J200" s="5" t="inlineStr">
        <is>
          <t>https://www.codechef.com/problems/GREEPQ3</t>
        </is>
      </c>
      <c r="K200" s="3" t="inlineStr"/>
      <c r="L200" s="2" t="inlineStr">
        <is>
          <t>codechef</t>
        </is>
      </c>
    </row>
    <row r="201" ht="20" customHeight="1">
      <c r="A201" s="6" t="inlineStr">
        <is>
          <t>Unsolved</t>
        </is>
      </c>
      <c r="B201" s="7" t="inlineStr">
        <is>
          <t>KINGDOM 5 — THE KINGDOM OF SORTING &amp; GREEDY</t>
        </is>
      </c>
      <c r="C201" s="7" t="inlineStr">
        <is>
          <t>Pattern 5.4 — Greedy + Priority Queue</t>
        </is>
      </c>
      <c r="D201" s="6" t="inlineStr">
        <is>
          <t>GREEPQ4</t>
        </is>
      </c>
      <c r="E201" s="7" t="inlineStr">
        <is>
          <t>Maximum Performance of Team</t>
        </is>
      </c>
      <c r="F201" s="10" t="inlineStr">
        <is>
          <t>Hard</t>
        </is>
      </c>
      <c r="G201" s="7" t="inlineStr">
        <is>
          <t>greedy priority queue</t>
        </is>
      </c>
      <c r="H201" s="6" t="n">
        <v>120</v>
      </c>
      <c r="I201" s="6" t="n">
        <v>120</v>
      </c>
      <c r="J201" s="8" t="inlineStr">
        <is>
          <t>https://www.codechef.com/problems/GREEPQ4</t>
        </is>
      </c>
      <c r="K201" s="7" t="inlineStr"/>
      <c r="L201" s="6" t="inlineStr">
        <is>
          <t>codechef</t>
        </is>
      </c>
    </row>
    <row r="202" ht="20" customHeight="1">
      <c r="A202" s="2" t="inlineStr">
        <is>
          <t>Unsolved</t>
        </is>
      </c>
      <c r="B202" s="3" t="inlineStr">
        <is>
          <t>KINGDOM 5 — THE KINGDOM OF SORTING &amp; GREEDY</t>
        </is>
      </c>
      <c r="C202" s="3" t="inlineStr">
        <is>
          <t>Pattern 5.4 — Greedy + Priority Queue</t>
        </is>
      </c>
      <c r="D202" s="2" t="inlineStr">
        <is>
          <t>GREEPQ5</t>
        </is>
      </c>
      <c r="E202" s="3" t="inlineStr">
        <is>
          <t>IPO Maximum Capital</t>
        </is>
      </c>
      <c r="F202" s="10" t="inlineStr">
        <is>
          <t>Hard</t>
        </is>
      </c>
      <c r="G202" s="3" t="inlineStr">
        <is>
          <t>two heaps greedy</t>
        </is>
      </c>
      <c r="H202" s="2" t="n">
        <v>120</v>
      </c>
      <c r="I202" s="2" t="n">
        <v>120</v>
      </c>
      <c r="J202" s="5" t="inlineStr">
        <is>
          <t>https://www.codechef.com/problems/GREEPQ5</t>
        </is>
      </c>
      <c r="K202" s="3" t="inlineStr"/>
      <c r="L202" s="2" t="inlineStr">
        <is>
          <t>codechef</t>
        </is>
      </c>
    </row>
    <row r="203" ht="20" customHeight="1">
      <c r="A203" s="6" t="inlineStr">
        <is>
          <t>Unsolved</t>
        </is>
      </c>
      <c r="B203" s="7" t="inlineStr">
        <is>
          <t>KINGDOM 5 — THE KINGDOM OF SORTING &amp; GREEDY</t>
        </is>
      </c>
      <c r="C203" s="7" t="inlineStr">
        <is>
          <t>Pattern 5.5 — Constructive Greedy</t>
        </is>
      </c>
      <c r="D203" s="6" t="inlineStr">
        <is>
          <t>CHEFSTUD</t>
        </is>
      </c>
      <c r="E203" s="7" t="inlineStr">
        <is>
          <t>Chef and Students</t>
        </is>
      </c>
      <c r="F203" s="4" t="inlineStr">
        <is>
          <t>Beginner</t>
        </is>
      </c>
      <c r="G203" s="7" t="inlineStr">
        <is>
          <t>constructive greedy</t>
        </is>
      </c>
      <c r="H203" s="6" t="n">
        <v>15</v>
      </c>
      <c r="I203" s="6" t="n">
        <v>10</v>
      </c>
      <c r="J203" s="8" t="inlineStr">
        <is>
          <t>https://www.codechef.com/problems/CHEFSTUD</t>
        </is>
      </c>
      <c r="K203" s="7" t="inlineStr"/>
      <c r="L203" s="6" t="inlineStr">
        <is>
          <t>codechef</t>
        </is>
      </c>
    </row>
    <row r="204" ht="20" customHeight="1">
      <c r="A204" s="2" t="inlineStr">
        <is>
          <t>Unsolved</t>
        </is>
      </c>
      <c r="B204" s="3" t="inlineStr">
        <is>
          <t>KINGDOM 5 — THE KINGDOM OF SORTING &amp; GREEDY</t>
        </is>
      </c>
      <c r="C204" s="3" t="inlineStr">
        <is>
          <t>Pattern 5.5 — Constructive Greedy</t>
        </is>
      </c>
      <c r="D204" s="2" t="inlineStr">
        <is>
          <t>CONSTGREE1</t>
        </is>
      </c>
      <c r="E204" s="3" t="inlineStr">
        <is>
          <t>Candy Distribution Minimum</t>
        </is>
      </c>
      <c r="F204" s="10" t="inlineStr">
        <is>
          <t>Hard</t>
        </is>
      </c>
      <c r="G204" s="3" t="inlineStr">
        <is>
          <t>two pass constructive greedy</t>
        </is>
      </c>
      <c r="H204" s="2" t="n">
        <v>120</v>
      </c>
      <c r="I204" s="2" t="n">
        <v>120</v>
      </c>
      <c r="J204" s="5" t="inlineStr">
        <is>
          <t>https://www.codechef.com/problems/CONSTGREE1</t>
        </is>
      </c>
      <c r="K204" s="3" t="inlineStr"/>
      <c r="L204" s="2" t="inlineStr">
        <is>
          <t>codechef</t>
        </is>
      </c>
    </row>
    <row r="205" ht="20" customHeight="1">
      <c r="A205" s="6" t="inlineStr">
        <is>
          <t>Unsolved</t>
        </is>
      </c>
      <c r="B205" s="7" t="inlineStr">
        <is>
          <t>KINGDOM 5 — THE KINGDOM OF SORTING &amp; GREEDY</t>
        </is>
      </c>
      <c r="C205" s="7" t="inlineStr">
        <is>
          <t>Pattern 5.5 — Constructive Greedy</t>
        </is>
      </c>
      <c r="D205" s="6" t="inlineStr">
        <is>
          <t>CONSTGREE2</t>
        </is>
      </c>
      <c r="E205" s="7" t="inlineStr">
        <is>
          <t>Create Maximum Number</t>
        </is>
      </c>
      <c r="F205" s="10" t="inlineStr">
        <is>
          <t>Hard</t>
        </is>
      </c>
      <c r="G205" s="7" t="inlineStr">
        <is>
          <t>monotonic stack greedy</t>
        </is>
      </c>
      <c r="H205" s="6" t="n">
        <v>120</v>
      </c>
      <c r="I205" s="6" t="n">
        <v>120</v>
      </c>
      <c r="J205" s="8" t="inlineStr">
        <is>
          <t>https://www.codechef.com/problems/CONSTGREE2</t>
        </is>
      </c>
      <c r="K205" s="7" t="inlineStr"/>
      <c r="L205" s="6" t="inlineStr">
        <is>
          <t>codechef</t>
        </is>
      </c>
    </row>
    <row r="206" ht="20" customHeight="1">
      <c r="A206" s="2" t="inlineStr">
        <is>
          <t>Unsolved</t>
        </is>
      </c>
      <c r="B206" s="3" t="inlineStr">
        <is>
          <t>KINGDOM 5 — THE KINGDOM OF SORTING &amp; GREEDY</t>
        </is>
      </c>
      <c r="C206" s="3" t="inlineStr">
        <is>
          <t>Pattern 5.5 — Constructive Greedy</t>
        </is>
      </c>
      <c r="D206" s="2" t="inlineStr">
        <is>
          <t>CONSTGREE3</t>
        </is>
      </c>
      <c r="E206" s="3" t="inlineStr">
        <is>
          <t>Remove K Digits</t>
        </is>
      </c>
      <c r="F206" s="9" t="inlineStr">
        <is>
          <t>Medium</t>
        </is>
      </c>
      <c r="G206" s="3" t="inlineStr">
        <is>
          <t>monotonic stack greedy</t>
        </is>
      </c>
      <c r="H206" s="2" t="n">
        <v>60</v>
      </c>
      <c r="I206" s="2" t="n">
        <v>55</v>
      </c>
      <c r="J206" s="5" t="inlineStr">
        <is>
          <t>https://www.codechef.com/problems/CONSTGREE3</t>
        </is>
      </c>
      <c r="K206" s="3" t="inlineStr"/>
      <c r="L206" s="2" t="inlineStr">
        <is>
          <t>codechef</t>
        </is>
      </c>
    </row>
    <row r="207" ht="20" customHeight="1">
      <c r="A207" s="6" t="inlineStr">
        <is>
          <t>Unsolved</t>
        </is>
      </c>
      <c r="B207" s="7" t="inlineStr">
        <is>
          <t>KINGDOM 5 — THE KINGDOM OF SORTING &amp; GREEDY</t>
        </is>
      </c>
      <c r="C207" s="7" t="inlineStr">
        <is>
          <t>Pattern 5.5 — Constructive Greedy</t>
        </is>
      </c>
      <c r="D207" s="6" t="inlineStr">
        <is>
          <t>CONSTGREE4</t>
        </is>
      </c>
      <c r="E207" s="7" t="inlineStr">
        <is>
          <t>Wiggle Sort II</t>
        </is>
      </c>
      <c r="F207" s="9" t="inlineStr">
        <is>
          <t>Medium</t>
        </is>
      </c>
      <c r="G207" s="7" t="inlineStr">
        <is>
          <t>constructive sorting</t>
        </is>
      </c>
      <c r="H207" s="6" t="n">
        <v>60</v>
      </c>
      <c r="I207" s="6" t="n">
        <v>55</v>
      </c>
      <c r="J207" s="8" t="inlineStr">
        <is>
          <t>https://www.codechef.com/problems/CONSTGREE4</t>
        </is>
      </c>
      <c r="K207" s="7" t="inlineStr"/>
      <c r="L207" s="6" t="inlineStr">
        <is>
          <t>codechef</t>
        </is>
      </c>
    </row>
    <row r="208" ht="20" customHeight="1">
      <c r="A208" s="2" t="inlineStr">
        <is>
          <t>Unsolved</t>
        </is>
      </c>
      <c r="B208" s="3" t="inlineStr">
        <is>
          <t>KINGDOM 5 — THE KINGDOM OF SORTING &amp; GREEDY</t>
        </is>
      </c>
      <c r="C208" s="3" t="inlineStr">
        <is>
          <t>Pattern 5.5 — Constructive Greedy</t>
        </is>
      </c>
      <c r="D208" s="2" t="inlineStr">
        <is>
          <t>CONSTGREE5</t>
        </is>
      </c>
      <c r="E208" s="3" t="inlineStr">
        <is>
          <t>Smallest Subsequence Distinct Characters</t>
        </is>
      </c>
      <c r="F208" s="9" t="inlineStr">
        <is>
          <t>Medium</t>
        </is>
      </c>
      <c r="G208" s="3" t="inlineStr">
        <is>
          <t>monotonic greedy</t>
        </is>
      </c>
      <c r="H208" s="2" t="n">
        <v>60</v>
      </c>
      <c r="I208" s="2" t="n">
        <v>55</v>
      </c>
      <c r="J208" s="5" t="inlineStr">
        <is>
          <t>https://www.codechef.com/problems/CONSTGREE5</t>
        </is>
      </c>
      <c r="K208" s="3" t="inlineStr"/>
      <c r="L208" s="2" t="inlineStr">
        <is>
          <t>codechef</t>
        </is>
      </c>
    </row>
    <row r="209" ht="20" customHeight="1">
      <c r="A209" s="6" t="inlineStr">
        <is>
          <t>Unsolved</t>
        </is>
      </c>
      <c r="B209" s="7" t="inlineStr">
        <is>
          <t>KINGDOM 5 — THE KINGDOM OF SORTING &amp; GREEDY</t>
        </is>
      </c>
      <c r="C209" s="7" t="inlineStr">
        <is>
          <t>Pattern 5.5 — Constructive Greedy</t>
        </is>
      </c>
      <c r="D209" s="6" t="inlineStr">
        <is>
          <t>CONSTGREE6</t>
        </is>
      </c>
      <c r="E209" s="7" t="inlineStr">
        <is>
          <t>String Without AAA or BBB</t>
        </is>
      </c>
      <c r="F209" s="9" t="inlineStr">
        <is>
          <t>Medium</t>
        </is>
      </c>
      <c r="G209" s="7" t="inlineStr">
        <is>
          <t>constructive greedy</t>
        </is>
      </c>
      <c r="H209" s="6" t="n">
        <v>60</v>
      </c>
      <c r="I209" s="6" t="n">
        <v>55</v>
      </c>
      <c r="J209" s="8" t="inlineStr">
        <is>
          <t>https://www.codechef.com/problems/CONSTGREE6</t>
        </is>
      </c>
      <c r="K209" s="7" t="inlineStr"/>
      <c r="L209" s="6" t="inlineStr">
        <is>
          <t>codechef</t>
        </is>
      </c>
    </row>
    <row r="210" ht="20" customHeight="1">
      <c r="A210" s="2" t="inlineStr">
        <is>
          <t>Unsolved</t>
        </is>
      </c>
      <c r="B210" s="3" t="inlineStr">
        <is>
          <t>KINGDOM 5 — THE KINGDOM OF SORTING &amp; GREEDY</t>
        </is>
      </c>
      <c r="C210" s="3" t="inlineStr">
        <is>
          <t>Pattern 5.5 — Constructive Greedy</t>
        </is>
      </c>
      <c r="D210" s="2" t="inlineStr">
        <is>
          <t>CONSTGREE7</t>
        </is>
      </c>
      <c r="E210" s="3" t="inlineStr">
        <is>
          <t>Minimum Deletions Make Frequency Unique</t>
        </is>
      </c>
      <c r="F210" s="9" t="inlineStr">
        <is>
          <t>Medium</t>
        </is>
      </c>
      <c r="G210" s="3" t="inlineStr">
        <is>
          <t>greedy hash set</t>
        </is>
      </c>
      <c r="H210" s="2" t="n">
        <v>60</v>
      </c>
      <c r="I210" s="2" t="n">
        <v>55</v>
      </c>
      <c r="J210" s="5" t="inlineStr">
        <is>
          <t>https://www.codechef.com/problems/CONSTGREE7</t>
        </is>
      </c>
      <c r="K210" s="3" t="inlineStr"/>
      <c r="L210" s="2" t="inlineStr">
        <is>
          <t>codechef</t>
        </is>
      </c>
    </row>
    <row r="211" ht="20" customHeight="1">
      <c r="A211" s="6" t="inlineStr">
        <is>
          <t>Unsolved</t>
        </is>
      </c>
      <c r="B211" s="7" t="inlineStr">
        <is>
          <t>KINGDOM 6 — THE KINGDOM OF STRINGS</t>
        </is>
      </c>
      <c r="C211" s="7" t="inlineStr">
        <is>
          <t>Pattern 6.1 — Basic String Processing</t>
        </is>
      </c>
      <c r="D211" s="6" t="inlineStr">
        <is>
          <t>LAPIN</t>
        </is>
      </c>
      <c r="E211" s="7" t="inlineStr">
        <is>
          <t>Lapindromes</t>
        </is>
      </c>
      <c r="F211" s="4" t="inlineStr">
        <is>
          <t>Easy</t>
        </is>
      </c>
      <c r="G211" s="7" t="inlineStr">
        <is>
          <t>string frequency, palindrome check</t>
        </is>
      </c>
      <c r="H211" s="6" t="n">
        <v>25</v>
      </c>
      <c r="I211" s="6" t="n">
        <v>20</v>
      </c>
      <c r="J211" s="8" t="inlineStr">
        <is>
          <t>https://www.codechef.com/problems/LAPIN</t>
        </is>
      </c>
      <c r="K211" s="7" t="inlineStr"/>
      <c r="L211" s="6" t="inlineStr">
        <is>
          <t>codechef</t>
        </is>
      </c>
    </row>
    <row r="212" ht="20" customHeight="1">
      <c r="A212" s="2" t="inlineStr">
        <is>
          <t>Unsolved</t>
        </is>
      </c>
      <c r="B212" s="3" t="inlineStr">
        <is>
          <t>KINGDOM 6 — THE KINGDOM OF STRINGS</t>
        </is>
      </c>
      <c r="C212" s="3" t="inlineStr">
        <is>
          <t>Pattern 6.1 — Basic String Processing</t>
        </is>
      </c>
      <c r="D212" s="2" t="inlineStr">
        <is>
          <t>STRPAL</t>
        </is>
      </c>
      <c r="E212" s="3" t="inlineStr">
        <is>
          <t>Palindrome String</t>
        </is>
      </c>
      <c r="F212" s="4" t="inlineStr">
        <is>
          <t>Beginner</t>
        </is>
      </c>
      <c r="G212" s="3" t="inlineStr">
        <is>
          <t>string traversal</t>
        </is>
      </c>
      <c r="H212" s="2" t="n">
        <v>15</v>
      </c>
      <c r="I212" s="2" t="n">
        <v>10</v>
      </c>
      <c r="J212" s="5" t="inlineStr">
        <is>
          <t>https://www.codechef.com/problems/STRPAL</t>
        </is>
      </c>
      <c r="K212" s="3" t="inlineStr"/>
      <c r="L212" s="2" t="inlineStr">
        <is>
          <t>codechef</t>
        </is>
      </c>
    </row>
    <row r="213" ht="20" customHeight="1">
      <c r="A213" s="6" t="inlineStr">
        <is>
          <t>Unsolved</t>
        </is>
      </c>
      <c r="B213" s="7" t="inlineStr">
        <is>
          <t>KINGDOM 6 — THE KINGDOM OF STRINGS</t>
        </is>
      </c>
      <c r="C213" s="7" t="inlineStr">
        <is>
          <t>Pattern 6.1 — Basic String Processing</t>
        </is>
      </c>
      <c r="D213" s="6" t="inlineStr">
        <is>
          <t>ALPHABET</t>
        </is>
      </c>
      <c r="E213" s="7" t="inlineStr">
        <is>
          <t>Chef and Fruits</t>
        </is>
      </c>
      <c r="F213" s="4" t="inlineStr">
        <is>
          <t>Beginner</t>
        </is>
      </c>
      <c r="G213" s="7" t="inlineStr">
        <is>
          <t>string matching</t>
        </is>
      </c>
      <c r="H213" s="6" t="n">
        <v>15</v>
      </c>
      <c r="I213" s="6" t="n">
        <v>10</v>
      </c>
      <c r="J213" s="8" t="inlineStr">
        <is>
          <t>https://www.codechef.com/problems/ALPHABET</t>
        </is>
      </c>
      <c r="K213" s="7" t="inlineStr"/>
      <c r="L213" s="6" t="inlineStr">
        <is>
          <t>codechef</t>
        </is>
      </c>
    </row>
    <row r="214" ht="20" customHeight="1">
      <c r="A214" s="2" t="inlineStr">
        <is>
          <t>Unsolved</t>
        </is>
      </c>
      <c r="B214" s="3" t="inlineStr">
        <is>
          <t>KINGDOM 6 — THE KINGDOM OF STRINGS</t>
        </is>
      </c>
      <c r="C214" s="3" t="inlineStr">
        <is>
          <t>Pattern 6.1 — Basic String Processing</t>
        </is>
      </c>
      <c r="D214" s="2" t="inlineStr">
        <is>
          <t>TWOSTR</t>
        </is>
      </c>
      <c r="E214" s="3" t="inlineStr">
        <is>
          <t>Chef and the Wildcard Matching</t>
        </is>
      </c>
      <c r="F214" s="4" t="inlineStr">
        <is>
          <t>Beginner</t>
        </is>
      </c>
      <c r="G214" s="3" t="inlineStr">
        <is>
          <t>string wildcard match</t>
        </is>
      </c>
      <c r="H214" s="2" t="n">
        <v>15</v>
      </c>
      <c r="I214" s="2" t="n">
        <v>10</v>
      </c>
      <c r="J214" s="5" t="inlineStr">
        <is>
          <t>https://www.codechef.com/problems/TWOSTR</t>
        </is>
      </c>
      <c r="K214" s="3" t="inlineStr"/>
      <c r="L214" s="2" t="inlineStr">
        <is>
          <t>codechef</t>
        </is>
      </c>
    </row>
    <row r="215" ht="20" customHeight="1">
      <c r="A215" s="6" t="inlineStr">
        <is>
          <t>Unsolved</t>
        </is>
      </c>
      <c r="B215" s="7" t="inlineStr">
        <is>
          <t>KINGDOM 6 — THE KINGDOM OF STRINGS</t>
        </is>
      </c>
      <c r="C215" s="7" t="inlineStr">
        <is>
          <t>Pattern 6.1 — Basic String Processing</t>
        </is>
      </c>
      <c r="D215" s="6" t="inlineStr">
        <is>
          <t>CHEFROUT</t>
        </is>
      </c>
      <c r="E215" s="7" t="inlineStr">
        <is>
          <t>Chef and Daily Routine</t>
        </is>
      </c>
      <c r="F215" s="4" t="inlineStr">
        <is>
          <t>Beginner</t>
        </is>
      </c>
      <c r="G215" s="7" t="inlineStr">
        <is>
          <t>string state transition</t>
        </is>
      </c>
      <c r="H215" s="6" t="n">
        <v>15</v>
      </c>
      <c r="I215" s="6" t="n">
        <v>10</v>
      </c>
      <c r="J215" s="8" t="inlineStr">
        <is>
          <t>https://www.codechef.com/problems/CHEFROUT</t>
        </is>
      </c>
      <c r="K215" s="7" t="inlineStr"/>
      <c r="L215" s="6" t="inlineStr">
        <is>
          <t>codechef</t>
        </is>
      </c>
    </row>
    <row r="216" ht="20" customHeight="1">
      <c r="A216" s="2" t="inlineStr">
        <is>
          <t>Unsolved</t>
        </is>
      </c>
      <c r="B216" s="3" t="inlineStr">
        <is>
          <t>KINGDOM 6 — THE KINGDOM OF STRINGS</t>
        </is>
      </c>
      <c r="C216" s="3" t="inlineStr">
        <is>
          <t>Pattern 6.1 — Basic String Processing</t>
        </is>
      </c>
      <c r="D216" s="2" t="inlineStr">
        <is>
          <t>STR101</t>
        </is>
      </c>
      <c r="E216" s="3" t="inlineStr">
        <is>
          <t>Valid Anagram</t>
        </is>
      </c>
      <c r="F216" s="4" t="inlineStr">
        <is>
          <t>Beginner</t>
        </is>
      </c>
      <c r="G216" s="3" t="inlineStr">
        <is>
          <t>string frequency</t>
        </is>
      </c>
      <c r="H216" s="2" t="n">
        <v>15</v>
      </c>
      <c r="I216" s="2" t="n">
        <v>10</v>
      </c>
      <c r="J216" s="5" t="inlineStr">
        <is>
          <t>https://www.codechef.com/problems/STR101</t>
        </is>
      </c>
      <c r="K216" s="3" t="inlineStr"/>
      <c r="L216" s="2" t="inlineStr">
        <is>
          <t>codechef</t>
        </is>
      </c>
    </row>
    <row r="217" ht="20" customHeight="1">
      <c r="A217" s="6" t="inlineStr">
        <is>
          <t>Unsolved</t>
        </is>
      </c>
      <c r="B217" s="7" t="inlineStr">
        <is>
          <t>KINGDOM 6 — THE KINGDOM OF STRINGS</t>
        </is>
      </c>
      <c r="C217" s="7" t="inlineStr">
        <is>
          <t>Pattern 6.1 — Basic String Processing</t>
        </is>
      </c>
      <c r="D217" s="6" t="inlineStr">
        <is>
          <t>STR102</t>
        </is>
      </c>
      <c r="E217" s="7" t="inlineStr">
        <is>
          <t>Isomorphic Strings</t>
        </is>
      </c>
      <c r="F217" s="4" t="inlineStr">
        <is>
          <t>Easy</t>
        </is>
      </c>
      <c r="G217" s="7" t="inlineStr">
        <is>
          <t>string mapping</t>
        </is>
      </c>
      <c r="H217" s="6" t="n">
        <v>25</v>
      </c>
      <c r="I217" s="6" t="n">
        <v>20</v>
      </c>
      <c r="J217" s="8" t="inlineStr">
        <is>
          <t>https://www.codechef.com/problems/STR102</t>
        </is>
      </c>
      <c r="K217" s="7" t="inlineStr"/>
      <c r="L217" s="6" t="inlineStr">
        <is>
          <t>codechef</t>
        </is>
      </c>
    </row>
    <row r="218" ht="20" customHeight="1">
      <c r="A218" s="2" t="inlineStr">
        <is>
          <t>Unsolved</t>
        </is>
      </c>
      <c r="B218" s="3" t="inlineStr">
        <is>
          <t>KINGDOM 6 — THE KINGDOM OF STRINGS</t>
        </is>
      </c>
      <c r="C218" s="3" t="inlineStr">
        <is>
          <t>Pattern 6.1 — Basic String Processing</t>
        </is>
      </c>
      <c r="D218" s="2" t="inlineStr">
        <is>
          <t>STR103</t>
        </is>
      </c>
      <c r="E218" s="3" t="inlineStr">
        <is>
          <t>Longest Common Prefix</t>
        </is>
      </c>
      <c r="F218" s="4" t="inlineStr">
        <is>
          <t>Beginner</t>
        </is>
      </c>
      <c r="G218" s="3" t="inlineStr">
        <is>
          <t>string matching</t>
        </is>
      </c>
      <c r="H218" s="2" t="n">
        <v>15</v>
      </c>
      <c r="I218" s="2" t="n">
        <v>10</v>
      </c>
      <c r="J218" s="5" t="inlineStr">
        <is>
          <t>https://www.codechef.com/problems/STR103</t>
        </is>
      </c>
      <c r="K218" s="3" t="inlineStr"/>
      <c r="L218" s="2" t="inlineStr">
        <is>
          <t>codechef</t>
        </is>
      </c>
    </row>
    <row r="219" ht="20" customHeight="1">
      <c r="A219" s="6" t="inlineStr">
        <is>
          <t>Unsolved</t>
        </is>
      </c>
      <c r="B219" s="7" t="inlineStr">
        <is>
          <t>KINGDOM 6 — THE KINGDOM OF STRINGS</t>
        </is>
      </c>
      <c r="C219" s="7" t="inlineStr">
        <is>
          <t>Pattern 6.2 — Character Frequency</t>
        </is>
      </c>
      <c r="D219" s="6" t="inlineStr">
        <is>
          <t>MAGICHF</t>
        </is>
      </c>
      <c r="E219" s="7" t="inlineStr">
        <is>
          <t>Magician versus Chef</t>
        </is>
      </c>
      <c r="F219" s="4" t="inlineStr">
        <is>
          <t>Easy</t>
        </is>
      </c>
      <c r="G219" s="7" t="inlineStr">
        <is>
          <t>swap tracking, frequency</t>
        </is>
      </c>
      <c r="H219" s="6" t="n">
        <v>25</v>
      </c>
      <c r="I219" s="6" t="n">
        <v>20</v>
      </c>
      <c r="J219" s="8" t="inlineStr">
        <is>
          <t>https://www.codechef.com/problems/MAGICHF</t>
        </is>
      </c>
      <c r="K219" s="7" t="inlineStr"/>
      <c r="L219" s="6" t="inlineStr">
        <is>
          <t>codechef</t>
        </is>
      </c>
    </row>
    <row r="220" ht="20" customHeight="1">
      <c r="A220" s="2" t="inlineStr">
        <is>
          <t>Unsolved</t>
        </is>
      </c>
      <c r="B220" s="3" t="inlineStr">
        <is>
          <t>KINGDOM 6 — THE KINGDOM OF STRINGS</t>
        </is>
      </c>
      <c r="C220" s="3" t="inlineStr">
        <is>
          <t>Pattern 6.2 — Character Frequency</t>
        </is>
      </c>
      <c r="D220" s="2" t="inlineStr">
        <is>
          <t>ERROR</t>
        </is>
      </c>
      <c r="E220" s="3" t="inlineStr">
        <is>
          <t>Chef and Feedback</t>
        </is>
      </c>
      <c r="F220" s="4" t="inlineStr">
        <is>
          <t>Easy</t>
        </is>
      </c>
      <c r="G220" s="3" t="inlineStr">
        <is>
          <t>pattern frequency, substring</t>
        </is>
      </c>
      <c r="H220" s="2" t="n">
        <v>25</v>
      </c>
      <c r="I220" s="2" t="n">
        <v>20</v>
      </c>
      <c r="J220" s="5" t="inlineStr">
        <is>
          <t>https://www.codechef.com/problems/ERROR</t>
        </is>
      </c>
      <c r="K220" s="3" t="inlineStr"/>
      <c r="L220" s="2" t="inlineStr">
        <is>
          <t>codechef</t>
        </is>
      </c>
    </row>
    <row r="221" ht="20" customHeight="1">
      <c r="A221" s="6" t="inlineStr">
        <is>
          <t>Unsolved</t>
        </is>
      </c>
      <c r="B221" s="7" t="inlineStr">
        <is>
          <t>KINGDOM 6 — THE KINGDOM OF STRINGS</t>
        </is>
      </c>
      <c r="C221" s="7" t="inlineStr">
        <is>
          <t>Pattern 6.2 — Character Frequency</t>
        </is>
      </c>
      <c r="D221" s="6" t="inlineStr">
        <is>
          <t>CHARFREQ1</t>
        </is>
      </c>
      <c r="E221" s="7" t="inlineStr">
        <is>
          <t>First Unique Character in String</t>
        </is>
      </c>
      <c r="F221" s="4" t="inlineStr">
        <is>
          <t>Beginner</t>
        </is>
      </c>
      <c r="G221" s="7" t="inlineStr">
        <is>
          <t>character frequency</t>
        </is>
      </c>
      <c r="H221" s="6" t="n">
        <v>15</v>
      </c>
      <c r="I221" s="6" t="n">
        <v>10</v>
      </c>
      <c r="J221" s="8" t="inlineStr">
        <is>
          <t>https://www.codechef.com/problems/CHARFREQ1</t>
        </is>
      </c>
      <c r="K221" s="7" t="inlineStr"/>
      <c r="L221" s="6" t="inlineStr">
        <is>
          <t>codechef</t>
        </is>
      </c>
    </row>
    <row r="222" ht="20" customHeight="1">
      <c r="A222" s="2" t="inlineStr">
        <is>
          <t>Unsolved</t>
        </is>
      </c>
      <c r="B222" s="3" t="inlineStr">
        <is>
          <t>KINGDOM 6 — THE KINGDOM OF STRINGS</t>
        </is>
      </c>
      <c r="C222" s="3" t="inlineStr">
        <is>
          <t>Pattern 6.2 — Character Frequency</t>
        </is>
      </c>
      <c r="D222" s="2" t="inlineStr">
        <is>
          <t>CHARFREQ2</t>
        </is>
      </c>
      <c r="E222" s="3" t="inlineStr">
        <is>
          <t>Sort Characters By Frequency</t>
        </is>
      </c>
      <c r="F222" s="9" t="inlineStr">
        <is>
          <t>Medium</t>
        </is>
      </c>
      <c r="G222" s="3" t="inlineStr">
        <is>
          <t>frequency bucket sort</t>
        </is>
      </c>
      <c r="H222" s="2" t="n">
        <v>60</v>
      </c>
      <c r="I222" s="2" t="n">
        <v>55</v>
      </c>
      <c r="J222" s="5" t="inlineStr">
        <is>
          <t>https://www.codechef.com/problems/CHARFREQ2</t>
        </is>
      </c>
      <c r="K222" s="3" t="inlineStr"/>
      <c r="L222" s="2" t="inlineStr">
        <is>
          <t>codechef</t>
        </is>
      </c>
    </row>
    <row r="223" ht="20" customHeight="1">
      <c r="A223" s="6" t="inlineStr">
        <is>
          <t>Unsolved</t>
        </is>
      </c>
      <c r="B223" s="7" t="inlineStr">
        <is>
          <t>KINGDOM 6 — THE KINGDOM OF STRINGS</t>
        </is>
      </c>
      <c r="C223" s="7" t="inlineStr">
        <is>
          <t>Pattern 6.2 — Character Frequency</t>
        </is>
      </c>
      <c r="D223" s="6" t="inlineStr">
        <is>
          <t>CHARFREQ3</t>
        </is>
      </c>
      <c r="E223" s="7" t="inlineStr">
        <is>
          <t>Group Anagrams</t>
        </is>
      </c>
      <c r="F223" s="9" t="inlineStr">
        <is>
          <t>Medium</t>
        </is>
      </c>
      <c r="G223" s="7" t="inlineStr">
        <is>
          <t>character frequency hash</t>
        </is>
      </c>
      <c r="H223" s="6" t="n">
        <v>60</v>
      </c>
      <c r="I223" s="6" t="n">
        <v>55</v>
      </c>
      <c r="J223" s="8" t="inlineStr">
        <is>
          <t>https://www.codechef.com/problems/CHARFREQ3</t>
        </is>
      </c>
      <c r="K223" s="7" t="inlineStr"/>
      <c r="L223" s="6" t="inlineStr">
        <is>
          <t>codechef</t>
        </is>
      </c>
    </row>
    <row r="224" ht="20" customHeight="1">
      <c r="A224" s="2" t="inlineStr">
        <is>
          <t>Unsolved</t>
        </is>
      </c>
      <c r="B224" s="3" t="inlineStr">
        <is>
          <t>KINGDOM 6 — THE KINGDOM OF STRINGS</t>
        </is>
      </c>
      <c r="C224" s="3" t="inlineStr">
        <is>
          <t>Pattern 6.2 — Character Frequency</t>
        </is>
      </c>
      <c r="D224" s="2" t="inlineStr">
        <is>
          <t>CHARFREQ4</t>
        </is>
      </c>
      <c r="E224" s="3" t="inlineStr">
        <is>
          <t>Ransom Note</t>
        </is>
      </c>
      <c r="F224" s="4" t="inlineStr">
        <is>
          <t>Beginner</t>
        </is>
      </c>
      <c r="G224" s="3" t="inlineStr">
        <is>
          <t>character frequency count</t>
        </is>
      </c>
      <c r="H224" s="2" t="n">
        <v>15</v>
      </c>
      <c r="I224" s="2" t="n">
        <v>10</v>
      </c>
      <c r="J224" s="5" t="inlineStr">
        <is>
          <t>https://www.codechef.com/problems/CHARFREQ4</t>
        </is>
      </c>
      <c r="K224" s="3" t="inlineStr"/>
      <c r="L224" s="2" t="inlineStr">
        <is>
          <t>codechef</t>
        </is>
      </c>
    </row>
    <row r="225" ht="20" customHeight="1">
      <c r="A225" s="6" t="inlineStr">
        <is>
          <t>Unsolved</t>
        </is>
      </c>
      <c r="B225" s="7" t="inlineStr">
        <is>
          <t>KINGDOM 6 — THE KINGDOM OF STRINGS</t>
        </is>
      </c>
      <c r="C225" s="7" t="inlineStr">
        <is>
          <t>Pattern 6.3 — Greedy on Strings</t>
        </is>
      </c>
      <c r="D225" s="6" t="inlineStr">
        <is>
          <t>STRGREE1</t>
        </is>
      </c>
      <c r="E225" s="7" t="inlineStr">
        <is>
          <t>Break a Palindrome</t>
        </is>
      </c>
      <c r="F225" s="9" t="inlineStr">
        <is>
          <t>Easy-Medium</t>
        </is>
      </c>
      <c r="G225" s="7" t="inlineStr">
        <is>
          <t>greedy string modification</t>
        </is>
      </c>
      <c r="H225" s="6" t="n">
        <v>40</v>
      </c>
      <c r="I225" s="6" t="n">
        <v>35</v>
      </c>
      <c r="J225" s="8" t="inlineStr">
        <is>
          <t>https://www.codechef.com/problems/STRGREE1</t>
        </is>
      </c>
      <c r="K225" s="7" t="inlineStr"/>
      <c r="L225" s="6" t="inlineStr">
        <is>
          <t>codechef</t>
        </is>
      </c>
    </row>
    <row r="226" ht="20" customHeight="1">
      <c r="A226" s="2" t="inlineStr">
        <is>
          <t>Unsolved</t>
        </is>
      </c>
      <c r="B226" s="3" t="inlineStr">
        <is>
          <t>KINGDOM 6 — THE KINGDOM OF STRINGS</t>
        </is>
      </c>
      <c r="C226" s="3" t="inlineStr">
        <is>
          <t>Pattern 6.3 — Greedy on Strings</t>
        </is>
      </c>
      <c r="D226" s="2" t="inlineStr">
        <is>
          <t>STRGREE2</t>
        </is>
      </c>
      <c r="E226" s="3" t="inlineStr">
        <is>
          <t>Swap Adjacent in LR String</t>
        </is>
      </c>
      <c r="F226" s="9" t="inlineStr">
        <is>
          <t>Medium</t>
        </is>
      </c>
      <c r="G226" s="3" t="inlineStr">
        <is>
          <t>two pointers greedy string</t>
        </is>
      </c>
      <c r="H226" s="2" t="n">
        <v>60</v>
      </c>
      <c r="I226" s="2" t="n">
        <v>55</v>
      </c>
      <c r="J226" s="5" t="inlineStr">
        <is>
          <t>https://www.codechef.com/problems/STRGREE2</t>
        </is>
      </c>
      <c r="K226" s="3" t="inlineStr"/>
      <c r="L226" s="2" t="inlineStr">
        <is>
          <t>codechef</t>
        </is>
      </c>
    </row>
    <row r="227" ht="20" customHeight="1">
      <c r="A227" s="6" t="inlineStr">
        <is>
          <t>Unsolved</t>
        </is>
      </c>
      <c r="B227" s="7" t="inlineStr">
        <is>
          <t>KINGDOM 6 — THE KINGDOM OF STRINGS</t>
        </is>
      </c>
      <c r="C227" s="7" t="inlineStr">
        <is>
          <t>Pattern 6.3 — Greedy on Strings</t>
        </is>
      </c>
      <c r="D227" s="6" t="inlineStr">
        <is>
          <t>STRGREE3</t>
        </is>
      </c>
      <c r="E227" s="7" t="inlineStr">
        <is>
          <t>Minimum Swaps to Make Strings Equal</t>
        </is>
      </c>
      <c r="F227" s="9" t="inlineStr">
        <is>
          <t>Medium</t>
        </is>
      </c>
      <c r="G227" s="7" t="inlineStr">
        <is>
          <t>greedy string pairs</t>
        </is>
      </c>
      <c r="H227" s="6" t="n">
        <v>60</v>
      </c>
      <c r="I227" s="6" t="n">
        <v>55</v>
      </c>
      <c r="J227" s="8" t="inlineStr">
        <is>
          <t>https://www.codechef.com/problems/STRGREE3</t>
        </is>
      </c>
      <c r="K227" s="7" t="inlineStr"/>
      <c r="L227" s="6" t="inlineStr">
        <is>
          <t>codechef</t>
        </is>
      </c>
    </row>
    <row r="228" ht="20" customHeight="1">
      <c r="A228" s="2" t="inlineStr">
        <is>
          <t>Unsolved</t>
        </is>
      </c>
      <c r="B228" s="3" t="inlineStr">
        <is>
          <t>KINGDOM 6 — THE KINGDOM OF STRINGS</t>
        </is>
      </c>
      <c r="C228" s="3" t="inlineStr">
        <is>
          <t>Pattern 6.3 — Greedy on Strings</t>
        </is>
      </c>
      <c r="D228" s="2" t="inlineStr">
        <is>
          <t>STRGREE4</t>
        </is>
      </c>
      <c r="E228" s="3" t="inlineStr">
        <is>
          <t>Determine if Two Strings Are Close</t>
        </is>
      </c>
      <c r="F228" s="9" t="inlineStr">
        <is>
          <t>Medium</t>
        </is>
      </c>
      <c r="G228" s="3" t="inlineStr">
        <is>
          <t>greedy frequency transformation</t>
        </is>
      </c>
      <c r="H228" s="2" t="n">
        <v>60</v>
      </c>
      <c r="I228" s="2" t="n">
        <v>55</v>
      </c>
      <c r="J228" s="5" t="inlineStr">
        <is>
          <t>https://www.codechef.com/problems/STRGREE4</t>
        </is>
      </c>
      <c r="K228" s="3" t="inlineStr"/>
      <c r="L228" s="2" t="inlineStr">
        <is>
          <t>codechef</t>
        </is>
      </c>
    </row>
    <row r="229" ht="20" customHeight="1">
      <c r="A229" s="6" t="inlineStr">
        <is>
          <t>Unsolved</t>
        </is>
      </c>
      <c r="B229" s="7" t="inlineStr">
        <is>
          <t>KINGDOM 6 — THE KINGDOM OF STRINGS</t>
        </is>
      </c>
      <c r="C229" s="7" t="inlineStr">
        <is>
          <t>Pattern 6.3 — Greedy on Strings</t>
        </is>
      </c>
      <c r="D229" s="6" t="inlineStr">
        <is>
          <t>STRGREE5</t>
        </is>
      </c>
      <c r="E229" s="7" t="inlineStr">
        <is>
          <t>Lexicographically Smallest Equivalent String</t>
        </is>
      </c>
      <c r="F229" s="9" t="inlineStr">
        <is>
          <t>Medium</t>
        </is>
      </c>
      <c r="G229" s="7" t="inlineStr">
        <is>
          <t>greedy DSU string</t>
        </is>
      </c>
      <c r="H229" s="6" t="n">
        <v>60</v>
      </c>
      <c r="I229" s="6" t="n">
        <v>55</v>
      </c>
      <c r="J229" s="8" t="inlineStr">
        <is>
          <t>https://www.codechef.com/problems/STRGREE5</t>
        </is>
      </c>
      <c r="K229" s="7" t="inlineStr"/>
      <c r="L229" s="6" t="inlineStr">
        <is>
          <t>codechef</t>
        </is>
      </c>
    </row>
    <row r="230" ht="20" customHeight="1">
      <c r="A230" s="2" t="inlineStr">
        <is>
          <t>Unsolved</t>
        </is>
      </c>
      <c r="B230" s="3" t="inlineStr">
        <is>
          <t>KINGDOM 6 — THE KINGDOM OF STRINGS</t>
        </is>
      </c>
      <c r="C230" s="3" t="inlineStr">
        <is>
          <t>Pattern 6.3 — Greedy on Strings</t>
        </is>
      </c>
      <c r="D230" s="2" t="inlineStr">
        <is>
          <t>STRGREE6</t>
        </is>
      </c>
      <c r="E230" s="3" t="inlineStr">
        <is>
          <t>Minimum Remove to Make Valid Parentheses</t>
        </is>
      </c>
      <c r="F230" s="9" t="inlineStr">
        <is>
          <t>Medium</t>
        </is>
      </c>
      <c r="G230" s="3" t="inlineStr">
        <is>
          <t>greedy stack string</t>
        </is>
      </c>
      <c r="H230" s="2" t="n">
        <v>60</v>
      </c>
      <c r="I230" s="2" t="n">
        <v>55</v>
      </c>
      <c r="J230" s="5" t="inlineStr">
        <is>
          <t>https://www.codechef.com/problems/STRGREE6</t>
        </is>
      </c>
      <c r="K230" s="3" t="inlineStr"/>
      <c r="L230" s="2" t="inlineStr">
        <is>
          <t>codechef</t>
        </is>
      </c>
    </row>
    <row r="231" ht="20" customHeight="1">
      <c r="A231" s="6" t="inlineStr">
        <is>
          <t>Unsolved</t>
        </is>
      </c>
      <c r="B231" s="7" t="inlineStr">
        <is>
          <t>KINGDOM 6 — THE KINGDOM OF STRINGS</t>
        </is>
      </c>
      <c r="C231" s="7" t="inlineStr">
        <is>
          <t>Pattern 6.4 — Prefix Function (KMP)</t>
        </is>
      </c>
      <c r="D231" s="6" t="inlineStr">
        <is>
          <t>STRMATCH</t>
        </is>
      </c>
      <c r="E231" s="7" t="inlineStr">
        <is>
          <t>String Pattern Match KMP</t>
        </is>
      </c>
      <c r="F231" s="10" t="inlineStr">
        <is>
          <t>Medium-Hard</t>
        </is>
      </c>
      <c r="G231" s="7" t="inlineStr">
        <is>
          <t>KMP prefix function</t>
        </is>
      </c>
      <c r="H231" s="6" t="n">
        <v>90</v>
      </c>
      <c r="I231" s="6" t="n">
        <v>80</v>
      </c>
      <c r="J231" s="8" t="inlineStr">
        <is>
          <t>https://www.codechef.com/problems/STRMATCH</t>
        </is>
      </c>
      <c r="K231" s="7" t="inlineStr"/>
      <c r="L231" s="6" t="inlineStr">
        <is>
          <t>codechef</t>
        </is>
      </c>
    </row>
    <row r="232" ht="20" customHeight="1">
      <c r="A232" s="2" t="inlineStr">
        <is>
          <t>Unsolved</t>
        </is>
      </c>
      <c r="B232" s="3" t="inlineStr">
        <is>
          <t>KINGDOM 6 — THE KINGDOM OF STRINGS</t>
        </is>
      </c>
      <c r="C232" s="3" t="inlineStr">
        <is>
          <t>Pattern 6.4 — Prefix Function (KMP)</t>
        </is>
      </c>
      <c r="D232" s="2" t="inlineStr">
        <is>
          <t>KMPCC</t>
        </is>
      </c>
      <c r="E232" s="3" t="inlineStr">
        <is>
          <t>KMP Substring Search</t>
        </is>
      </c>
      <c r="F232" s="9" t="inlineStr">
        <is>
          <t>Medium</t>
        </is>
      </c>
      <c r="G232" s="3" t="inlineStr">
        <is>
          <t>KMP algorithm</t>
        </is>
      </c>
      <c r="H232" s="2" t="n">
        <v>60</v>
      </c>
      <c r="I232" s="2" t="n">
        <v>55</v>
      </c>
      <c r="J232" s="5" t="inlineStr">
        <is>
          <t>https://www.codechef.com/problems/KMPCC</t>
        </is>
      </c>
      <c r="K232" s="3" t="inlineStr"/>
      <c r="L232" s="2" t="inlineStr">
        <is>
          <t>codechef</t>
        </is>
      </c>
    </row>
    <row r="233" ht="20" customHeight="1">
      <c r="A233" s="6" t="inlineStr">
        <is>
          <t>Unsolved</t>
        </is>
      </c>
      <c r="B233" s="7" t="inlineStr">
        <is>
          <t>KINGDOM 6 — THE KINGDOM OF STRINGS</t>
        </is>
      </c>
      <c r="C233" s="7" t="inlineStr">
        <is>
          <t>Pattern 6.4 — Prefix Function (KMP)</t>
        </is>
      </c>
      <c r="D233" s="6" t="inlineStr">
        <is>
          <t>PATTERN1</t>
        </is>
      </c>
      <c r="E233" s="7" t="inlineStr">
        <is>
          <t>Pattern Frequency KMP</t>
        </is>
      </c>
      <c r="F233" s="10" t="inlineStr">
        <is>
          <t>Medium-Hard</t>
        </is>
      </c>
      <c r="G233" s="7" t="inlineStr">
        <is>
          <t>KMP algorithm</t>
        </is>
      </c>
      <c r="H233" s="6" t="n">
        <v>90</v>
      </c>
      <c r="I233" s="6" t="n">
        <v>80</v>
      </c>
      <c r="J233" s="8" t="inlineStr">
        <is>
          <t>https://www.codechef.com/problems/PATTERN1</t>
        </is>
      </c>
      <c r="K233" s="7" t="inlineStr"/>
      <c r="L233" s="6" t="inlineStr">
        <is>
          <t>codechef</t>
        </is>
      </c>
    </row>
    <row r="234" ht="20" customHeight="1">
      <c r="A234" s="2" t="inlineStr">
        <is>
          <t>Unsolved</t>
        </is>
      </c>
      <c r="B234" s="3" t="inlineStr">
        <is>
          <t>KINGDOM 6 — THE KINGDOM OF STRINGS</t>
        </is>
      </c>
      <c r="C234" s="3" t="inlineStr">
        <is>
          <t>Pattern 6.4 — Prefix Function (KMP)</t>
        </is>
      </c>
      <c r="D234" s="2" t="inlineStr">
        <is>
          <t>KMP101</t>
        </is>
      </c>
      <c r="E234" s="3" t="inlineStr">
        <is>
          <t>Implement strStr() KMP</t>
        </is>
      </c>
      <c r="F234" s="9" t="inlineStr">
        <is>
          <t>Medium</t>
        </is>
      </c>
      <c r="G234" s="3" t="inlineStr">
        <is>
          <t>KMP prefix function</t>
        </is>
      </c>
      <c r="H234" s="2" t="n">
        <v>60</v>
      </c>
      <c r="I234" s="2" t="n">
        <v>55</v>
      </c>
      <c r="J234" s="5" t="inlineStr">
        <is>
          <t>https://www.codechef.com/problems/KMP101</t>
        </is>
      </c>
      <c r="K234" s="3" t="inlineStr"/>
      <c r="L234" s="2" t="inlineStr">
        <is>
          <t>codechef</t>
        </is>
      </c>
    </row>
    <row r="235" ht="20" customHeight="1">
      <c r="A235" s="6" t="inlineStr">
        <is>
          <t>Unsolved</t>
        </is>
      </c>
      <c r="B235" s="7" t="inlineStr">
        <is>
          <t>KINGDOM 6 — THE KINGDOM OF STRINGS</t>
        </is>
      </c>
      <c r="C235" s="7" t="inlineStr">
        <is>
          <t>Pattern 6.4 — Prefix Function (KMP)</t>
        </is>
      </c>
      <c r="D235" s="6" t="inlineStr">
        <is>
          <t>KMP102</t>
        </is>
      </c>
      <c r="E235" s="7" t="inlineStr">
        <is>
          <t>Shortest Palindrome Prefix KMP</t>
        </is>
      </c>
      <c r="F235" s="10" t="inlineStr">
        <is>
          <t>Hard</t>
        </is>
      </c>
      <c r="G235" s="7" t="inlineStr">
        <is>
          <t>KMP prefix function</t>
        </is>
      </c>
      <c r="H235" s="6" t="n">
        <v>120</v>
      </c>
      <c r="I235" s="6" t="n">
        <v>120</v>
      </c>
      <c r="J235" s="8" t="inlineStr">
        <is>
          <t>https://www.codechef.com/problems/KMP102</t>
        </is>
      </c>
      <c r="K235" s="7" t="inlineStr"/>
      <c r="L235" s="6" t="inlineStr">
        <is>
          <t>codechef</t>
        </is>
      </c>
    </row>
    <row r="236" ht="20" customHeight="1">
      <c r="A236" s="2" t="inlineStr">
        <is>
          <t>Unsolved</t>
        </is>
      </c>
      <c r="B236" s="3" t="inlineStr">
        <is>
          <t>KINGDOM 6 — THE KINGDOM OF STRINGS</t>
        </is>
      </c>
      <c r="C236" s="3" t="inlineStr">
        <is>
          <t>Pattern 6.4 — Prefix Function (KMP)</t>
        </is>
      </c>
      <c r="D236" s="2" t="inlineStr">
        <is>
          <t>KMP103</t>
        </is>
      </c>
      <c r="E236" s="3" t="inlineStr">
        <is>
          <t>Repeated Substring Pattern KMP</t>
        </is>
      </c>
      <c r="F236" s="9" t="inlineStr">
        <is>
          <t>Easy-Medium</t>
        </is>
      </c>
      <c r="G236" s="3" t="inlineStr">
        <is>
          <t>KMP failure table</t>
        </is>
      </c>
      <c r="H236" s="2" t="n">
        <v>40</v>
      </c>
      <c r="I236" s="2" t="n">
        <v>35</v>
      </c>
      <c r="J236" s="5" t="inlineStr">
        <is>
          <t>https://www.codechef.com/problems/KMP103</t>
        </is>
      </c>
      <c r="K236" s="3" t="inlineStr"/>
      <c r="L236" s="2" t="inlineStr">
        <is>
          <t>codechef</t>
        </is>
      </c>
    </row>
    <row r="237" ht="20" customHeight="1">
      <c r="A237" s="6" t="inlineStr">
        <is>
          <t>Unsolved</t>
        </is>
      </c>
      <c r="B237" s="7" t="inlineStr">
        <is>
          <t>KINGDOM 6 — THE KINGDOM OF STRINGS</t>
        </is>
      </c>
      <c r="C237" s="7" t="inlineStr">
        <is>
          <t>Pattern 6.5 — Z Algorithm</t>
        </is>
      </c>
      <c r="D237" s="6" t="inlineStr">
        <is>
          <t>ZALG01</t>
        </is>
      </c>
      <c r="E237" s="7" t="inlineStr">
        <is>
          <t>Z Algorithm Exact Match</t>
        </is>
      </c>
      <c r="F237" s="10" t="inlineStr">
        <is>
          <t>Medium-Hard</t>
        </is>
      </c>
      <c r="G237" s="7" t="inlineStr">
        <is>
          <t>Z algorithm</t>
        </is>
      </c>
      <c r="H237" s="6" t="n">
        <v>90</v>
      </c>
      <c r="I237" s="6" t="n">
        <v>80</v>
      </c>
      <c r="J237" s="8" t="inlineStr">
        <is>
          <t>https://www.codechef.com/problems/ZALG01</t>
        </is>
      </c>
      <c r="K237" s="7" t="inlineStr"/>
      <c r="L237" s="6" t="inlineStr">
        <is>
          <t>codechef</t>
        </is>
      </c>
    </row>
    <row r="238" ht="20" customHeight="1">
      <c r="A238" s="2" t="inlineStr">
        <is>
          <t>Unsolved</t>
        </is>
      </c>
      <c r="B238" s="3" t="inlineStr">
        <is>
          <t>KINGDOM 6 — THE KINGDOM OF STRINGS</t>
        </is>
      </c>
      <c r="C238" s="3" t="inlineStr">
        <is>
          <t>Pattern 6.5 — Z Algorithm</t>
        </is>
      </c>
      <c r="D238" s="2" t="inlineStr">
        <is>
          <t>STRZCC</t>
        </is>
      </c>
      <c r="E238" s="3" t="inlineStr">
        <is>
          <t>String Match Z Array</t>
        </is>
      </c>
      <c r="F238" s="9" t="inlineStr">
        <is>
          <t>Medium</t>
        </is>
      </c>
      <c r="G238" s="3" t="inlineStr">
        <is>
          <t>Z algorithm</t>
        </is>
      </c>
      <c r="H238" s="2" t="n">
        <v>60</v>
      </c>
      <c r="I238" s="2" t="n">
        <v>55</v>
      </c>
      <c r="J238" s="5" t="inlineStr">
        <is>
          <t>https://www.codechef.com/problems/STRZCC</t>
        </is>
      </c>
      <c r="K238" s="3" t="inlineStr"/>
      <c r="L238" s="2" t="inlineStr">
        <is>
          <t>codechef</t>
        </is>
      </c>
    </row>
    <row r="239" ht="20" customHeight="1">
      <c r="A239" s="6" t="inlineStr">
        <is>
          <t>Unsolved</t>
        </is>
      </c>
      <c r="B239" s="7" t="inlineStr">
        <is>
          <t>KINGDOM 6 — THE KINGDOM OF STRINGS</t>
        </is>
      </c>
      <c r="C239" s="7" t="inlineStr">
        <is>
          <t>Pattern 6.5 — Z Algorithm</t>
        </is>
      </c>
      <c r="D239" s="6" t="inlineStr">
        <is>
          <t>ZALG101</t>
        </is>
      </c>
      <c r="E239" s="7" t="inlineStr">
        <is>
          <t>Z Function Construction</t>
        </is>
      </c>
      <c r="F239" s="9" t="inlineStr">
        <is>
          <t>Medium</t>
        </is>
      </c>
      <c r="G239" s="7" t="inlineStr">
        <is>
          <t>Z algorithm</t>
        </is>
      </c>
      <c r="H239" s="6" t="n">
        <v>60</v>
      </c>
      <c r="I239" s="6" t="n">
        <v>55</v>
      </c>
      <c r="J239" s="8" t="inlineStr">
        <is>
          <t>https://www.codechef.com/problems/ZALG101</t>
        </is>
      </c>
      <c r="K239" s="7" t="inlineStr"/>
      <c r="L239" s="6" t="inlineStr">
        <is>
          <t>codechef</t>
        </is>
      </c>
    </row>
    <row r="240" ht="20" customHeight="1">
      <c r="A240" s="2" t="inlineStr">
        <is>
          <t>Unsolved</t>
        </is>
      </c>
      <c r="B240" s="3" t="inlineStr">
        <is>
          <t>KINGDOM 6 — THE KINGDOM OF STRINGS</t>
        </is>
      </c>
      <c r="C240" s="3" t="inlineStr">
        <is>
          <t>Pattern 6.5 — Z Algorithm</t>
        </is>
      </c>
      <c r="D240" s="2" t="inlineStr">
        <is>
          <t>ZALG102</t>
        </is>
      </c>
      <c r="E240" s="3" t="inlineStr">
        <is>
          <t>Longest Prefix Suffix Z</t>
        </is>
      </c>
      <c r="F240" s="10" t="inlineStr">
        <is>
          <t>Medium-Hard</t>
        </is>
      </c>
      <c r="G240" s="3" t="inlineStr">
        <is>
          <t>Z algorithm</t>
        </is>
      </c>
      <c r="H240" s="2" t="n">
        <v>90</v>
      </c>
      <c r="I240" s="2" t="n">
        <v>80</v>
      </c>
      <c r="J240" s="5" t="inlineStr">
        <is>
          <t>https://www.codechef.com/problems/ZALG102</t>
        </is>
      </c>
      <c r="K240" s="3" t="inlineStr"/>
      <c r="L240" s="2" t="inlineStr">
        <is>
          <t>codechef</t>
        </is>
      </c>
    </row>
    <row r="241" ht="20" customHeight="1">
      <c r="A241" s="6" t="inlineStr">
        <is>
          <t>Unsolved</t>
        </is>
      </c>
      <c r="B241" s="7" t="inlineStr">
        <is>
          <t>KINGDOM 6 — THE KINGDOM OF STRINGS</t>
        </is>
      </c>
      <c r="C241" s="7" t="inlineStr">
        <is>
          <t>Pattern 6.5 — Z Algorithm</t>
        </is>
      </c>
      <c r="D241" s="6" t="inlineStr">
        <is>
          <t>ZALG103</t>
        </is>
      </c>
      <c r="E241" s="7" t="inlineStr">
        <is>
          <t>Distinct Substrings Count Z</t>
        </is>
      </c>
      <c r="F241" s="10" t="inlineStr">
        <is>
          <t>Hard</t>
        </is>
      </c>
      <c r="G241" s="7" t="inlineStr">
        <is>
          <t>Z algorithm</t>
        </is>
      </c>
      <c r="H241" s="6" t="n">
        <v>120</v>
      </c>
      <c r="I241" s="6" t="n">
        <v>120</v>
      </c>
      <c r="J241" s="8" t="inlineStr">
        <is>
          <t>https://www.codechef.com/problems/ZALG103</t>
        </is>
      </c>
      <c r="K241" s="7" t="inlineStr"/>
      <c r="L241" s="6" t="inlineStr">
        <is>
          <t>codechef</t>
        </is>
      </c>
    </row>
    <row r="242" ht="20" customHeight="1">
      <c r="A242" s="2" t="inlineStr">
        <is>
          <t>Unsolved</t>
        </is>
      </c>
      <c r="B242" s="3" t="inlineStr">
        <is>
          <t>KINGDOM 6 — THE KINGDOM OF STRINGS</t>
        </is>
      </c>
      <c r="C242" s="3" t="inlineStr">
        <is>
          <t>Pattern 6.6 — Hashing</t>
        </is>
      </c>
      <c r="D242" s="2" t="inlineStr">
        <is>
          <t>STRHASH</t>
        </is>
      </c>
      <c r="E242" s="3" t="inlineStr">
        <is>
          <t>Polynomial Rolling Hash</t>
        </is>
      </c>
      <c r="F242" s="9" t="inlineStr">
        <is>
          <t>Medium</t>
        </is>
      </c>
      <c r="G242" s="3" t="inlineStr">
        <is>
          <t>string hashing</t>
        </is>
      </c>
      <c r="H242" s="2" t="n">
        <v>60</v>
      </c>
      <c r="I242" s="2" t="n">
        <v>55</v>
      </c>
      <c r="J242" s="5" t="inlineStr">
        <is>
          <t>https://www.codechef.com/problems/STRHASH</t>
        </is>
      </c>
      <c r="K242" s="3" t="inlineStr"/>
      <c r="L242" s="2" t="inlineStr">
        <is>
          <t>codechef</t>
        </is>
      </c>
    </row>
    <row r="243" ht="20" customHeight="1">
      <c r="A243" s="6" t="inlineStr">
        <is>
          <t>Unsolved</t>
        </is>
      </c>
      <c r="B243" s="7" t="inlineStr">
        <is>
          <t>KINGDOM 6 — THE KINGDOM OF STRINGS</t>
        </is>
      </c>
      <c r="C243" s="7" t="inlineStr">
        <is>
          <t>Pattern 6.6 — Hashing</t>
        </is>
      </c>
      <c r="D243" s="6" t="inlineStr">
        <is>
          <t>CHEFHASH</t>
        </is>
      </c>
      <c r="E243" s="7" t="inlineStr">
        <is>
          <t>Chef Substring Hashing</t>
        </is>
      </c>
      <c r="F243" s="10" t="inlineStr">
        <is>
          <t>Medium-Hard</t>
        </is>
      </c>
      <c r="G243" s="7" t="inlineStr">
        <is>
          <t>double hashing</t>
        </is>
      </c>
      <c r="H243" s="6" t="n">
        <v>90</v>
      </c>
      <c r="I243" s="6" t="n">
        <v>80</v>
      </c>
      <c r="J243" s="8" t="inlineStr">
        <is>
          <t>https://www.codechef.com/problems/CHEFHASH</t>
        </is>
      </c>
      <c r="K243" s="7" t="inlineStr"/>
      <c r="L243" s="6" t="inlineStr">
        <is>
          <t>codechef</t>
        </is>
      </c>
    </row>
    <row r="244" ht="20" customHeight="1">
      <c r="A244" s="2" t="inlineStr">
        <is>
          <t>Unsolved</t>
        </is>
      </c>
      <c r="B244" s="3" t="inlineStr">
        <is>
          <t>KINGDOM 6 — THE KINGDOM OF STRINGS</t>
        </is>
      </c>
      <c r="C244" s="3" t="inlineStr">
        <is>
          <t>Pattern 6.6 — Hashing</t>
        </is>
      </c>
      <c r="D244" s="2" t="inlineStr">
        <is>
          <t>SUBSTRHASH</t>
        </is>
      </c>
      <c r="E244" s="3" t="inlineStr">
        <is>
          <t>Rabin-Karp Substring Search</t>
        </is>
      </c>
      <c r="F244" s="9" t="inlineStr">
        <is>
          <t>Medium</t>
        </is>
      </c>
      <c r="G244" s="3" t="inlineStr">
        <is>
          <t>Rabin-Karp rolling hash</t>
        </is>
      </c>
      <c r="H244" s="2" t="n">
        <v>60</v>
      </c>
      <c r="I244" s="2" t="n">
        <v>55</v>
      </c>
      <c r="J244" s="5" t="inlineStr">
        <is>
          <t>https://www.codechef.com/problems/SUBSTRHASH</t>
        </is>
      </c>
      <c r="K244" s="3" t="inlineStr"/>
      <c r="L244" s="2" t="inlineStr">
        <is>
          <t>codechef</t>
        </is>
      </c>
    </row>
    <row r="245" ht="20" customHeight="1">
      <c r="A245" s="6" t="inlineStr">
        <is>
          <t>Unsolved</t>
        </is>
      </c>
      <c r="B245" s="7" t="inlineStr">
        <is>
          <t>KINGDOM 6 — THE KINGDOM OF STRINGS</t>
        </is>
      </c>
      <c r="C245" s="7" t="inlineStr">
        <is>
          <t>Pattern 6.6 — Hashing</t>
        </is>
      </c>
      <c r="D245" s="6" t="inlineStr">
        <is>
          <t>HASH101</t>
        </is>
      </c>
      <c r="E245" s="7" t="inlineStr">
        <is>
          <t>Longest Duplicate Substring Hash</t>
        </is>
      </c>
      <c r="F245" s="10" t="inlineStr">
        <is>
          <t>Hard</t>
        </is>
      </c>
      <c r="G245" s="7" t="inlineStr">
        <is>
          <t>rolling hash, binary search</t>
        </is>
      </c>
      <c r="H245" s="6" t="n">
        <v>120</v>
      </c>
      <c r="I245" s="6" t="n">
        <v>120</v>
      </c>
      <c r="J245" s="8" t="inlineStr">
        <is>
          <t>https://www.codechef.com/problems/HASH101</t>
        </is>
      </c>
      <c r="K245" s="7" t="inlineStr"/>
      <c r="L245" s="6" t="inlineStr">
        <is>
          <t>codechef</t>
        </is>
      </c>
    </row>
    <row r="246" ht="20" customHeight="1">
      <c r="A246" s="2" t="inlineStr">
        <is>
          <t>Unsolved</t>
        </is>
      </c>
      <c r="B246" s="3" t="inlineStr">
        <is>
          <t>KINGDOM 6 — THE KINGDOM OF STRINGS</t>
        </is>
      </c>
      <c r="C246" s="3" t="inlineStr">
        <is>
          <t>Pattern 6.6 — Hashing</t>
        </is>
      </c>
      <c r="D246" s="2" t="inlineStr">
        <is>
          <t>HASH102</t>
        </is>
      </c>
      <c r="E246" s="3" t="inlineStr">
        <is>
          <t>Distinct Substrings Rabin Karp</t>
        </is>
      </c>
      <c r="F246" s="10" t="inlineStr">
        <is>
          <t>Hard</t>
        </is>
      </c>
      <c r="G246" s="3" t="inlineStr">
        <is>
          <t>string hashing</t>
        </is>
      </c>
      <c r="H246" s="2" t="n">
        <v>120</v>
      </c>
      <c r="I246" s="2" t="n">
        <v>120</v>
      </c>
      <c r="J246" s="5" t="inlineStr">
        <is>
          <t>https://www.codechef.com/problems/HASH102</t>
        </is>
      </c>
      <c r="K246" s="3" t="inlineStr"/>
      <c r="L246" s="2" t="inlineStr">
        <is>
          <t>codechef</t>
        </is>
      </c>
    </row>
    <row r="247" ht="20" customHeight="1">
      <c r="A247" s="6" t="inlineStr">
        <is>
          <t>Unsolved</t>
        </is>
      </c>
      <c r="B247" s="7" t="inlineStr">
        <is>
          <t>KINGDOM 6 — THE KINGDOM OF STRINGS</t>
        </is>
      </c>
      <c r="C247" s="7" t="inlineStr">
        <is>
          <t>Pattern 6.6 — Hashing</t>
        </is>
      </c>
      <c r="D247" s="6" t="inlineStr">
        <is>
          <t>HASH103</t>
        </is>
      </c>
      <c r="E247" s="7" t="inlineStr">
        <is>
          <t>Repeated DNA Sequences Hash</t>
        </is>
      </c>
      <c r="F247" s="9" t="inlineStr">
        <is>
          <t>Medium</t>
        </is>
      </c>
      <c r="G247" s="7" t="inlineStr">
        <is>
          <t>bitmask string hashing</t>
        </is>
      </c>
      <c r="H247" s="6" t="n">
        <v>60</v>
      </c>
      <c r="I247" s="6" t="n">
        <v>55</v>
      </c>
      <c r="J247" s="8" t="inlineStr">
        <is>
          <t>https://www.codechef.com/problems/HASH103</t>
        </is>
      </c>
      <c r="K247" s="7" t="inlineStr"/>
      <c r="L247" s="6" t="inlineStr">
        <is>
          <t>codechef</t>
        </is>
      </c>
    </row>
    <row r="248" ht="20" customHeight="1">
      <c r="A248" s="2" t="inlineStr">
        <is>
          <t>Unsolved</t>
        </is>
      </c>
      <c r="B248" s="3" t="inlineStr">
        <is>
          <t>KINGDOM 7 — THE KINGDOM OF BIT MANIPULATION</t>
        </is>
      </c>
      <c r="C248" s="3" t="inlineStr">
        <is>
          <t>Pattern 7.1 — Basic Bit Operations</t>
        </is>
      </c>
      <c r="D248" s="2" t="inlineStr">
        <is>
          <t>FLOW016</t>
        </is>
      </c>
      <c r="E248" s="3" t="inlineStr">
        <is>
          <t>GCD and LCM</t>
        </is>
      </c>
      <c r="F248" s="4" t="inlineStr">
        <is>
          <t>Easy</t>
        </is>
      </c>
      <c r="G248" s="3" t="inlineStr">
        <is>
          <t>bit operations, math</t>
        </is>
      </c>
      <c r="H248" s="2" t="n">
        <v>25</v>
      </c>
      <c r="I248" s="2" t="n">
        <v>20</v>
      </c>
      <c r="J248" s="5" t="inlineStr">
        <is>
          <t>https://www.codechef.com/problems/FLOW016</t>
        </is>
      </c>
      <c r="K248" s="3" t="inlineStr"/>
      <c r="L248" s="2" t="inlineStr">
        <is>
          <t>codechef</t>
        </is>
      </c>
    </row>
    <row r="249" ht="20" customHeight="1">
      <c r="A249" s="6" t="inlineStr">
        <is>
          <t>Unsolved</t>
        </is>
      </c>
      <c r="B249" s="7" t="inlineStr">
        <is>
          <t>KINGDOM 7 — THE KINGDOM OF BIT MANIPULATION</t>
        </is>
      </c>
      <c r="C249" s="7" t="inlineStr">
        <is>
          <t>Pattern 7.1 — Basic Bit Operations</t>
        </is>
      </c>
      <c r="D249" s="6" t="inlineStr">
        <is>
          <t>FLOW017</t>
        </is>
      </c>
      <c r="E249" s="7" t="inlineStr">
        <is>
          <t>Second Largest</t>
        </is>
      </c>
      <c r="F249" s="4" t="inlineStr">
        <is>
          <t>Beginner</t>
        </is>
      </c>
      <c r="G249" s="7" t="inlineStr">
        <is>
          <t>basic comparison, bitwise</t>
        </is>
      </c>
      <c r="H249" s="6" t="n">
        <v>15</v>
      </c>
      <c r="I249" s="6" t="n">
        <v>10</v>
      </c>
      <c r="J249" s="8" t="inlineStr">
        <is>
          <t>https://www.codechef.com/problems/FLOW017</t>
        </is>
      </c>
      <c r="K249" s="7" t="inlineStr"/>
      <c r="L249" s="6" t="inlineStr">
        <is>
          <t>codechef</t>
        </is>
      </c>
    </row>
    <row r="250" ht="20" customHeight="1">
      <c r="A250" s="2" t="inlineStr">
        <is>
          <t>Unsolved</t>
        </is>
      </c>
      <c r="B250" s="3" t="inlineStr">
        <is>
          <t>KINGDOM 7 — THE KINGDOM OF BIT MANIPULATION</t>
        </is>
      </c>
      <c r="C250" s="3" t="inlineStr">
        <is>
          <t>Pattern 7.1 — Basic Bit Operations</t>
        </is>
      </c>
      <c r="D250" s="2" t="inlineStr">
        <is>
          <t>FLOW018</t>
        </is>
      </c>
      <c r="E250" s="3" t="inlineStr">
        <is>
          <t>Small Factorial</t>
        </is>
      </c>
      <c r="F250" s="4" t="inlineStr">
        <is>
          <t>Easy</t>
        </is>
      </c>
      <c r="G250" s="3" t="inlineStr">
        <is>
          <t>arrays, big number representation</t>
        </is>
      </c>
      <c r="H250" s="2" t="n">
        <v>25</v>
      </c>
      <c r="I250" s="2" t="n">
        <v>20</v>
      </c>
      <c r="J250" s="5" t="inlineStr">
        <is>
          <t>https://www.codechef.com/problems/FLOW018</t>
        </is>
      </c>
      <c r="K250" s="3" t="inlineStr"/>
      <c r="L250" s="2" t="inlineStr">
        <is>
          <t>codechef</t>
        </is>
      </c>
    </row>
    <row r="251" ht="20" customHeight="1">
      <c r="A251" s="6" t="inlineStr">
        <is>
          <t>Unsolved</t>
        </is>
      </c>
      <c r="B251" s="7" t="inlineStr">
        <is>
          <t>KINGDOM 7 — THE KINGDOM OF BIT MANIPULATION</t>
        </is>
      </c>
      <c r="C251" s="7" t="inlineStr">
        <is>
          <t>Pattern 7.1 — Basic Bit Operations</t>
        </is>
      </c>
      <c r="D251" s="6" t="inlineStr">
        <is>
          <t>FCTRL2</t>
        </is>
      </c>
      <c r="E251" s="7" t="inlineStr">
        <is>
          <t>Small Factorials</t>
        </is>
      </c>
      <c r="F251" s="4" t="inlineStr">
        <is>
          <t>Easy</t>
        </is>
      </c>
      <c r="G251" s="7" t="inlineStr">
        <is>
          <t>big integer math</t>
        </is>
      </c>
      <c r="H251" s="6" t="n">
        <v>25</v>
      </c>
      <c r="I251" s="6" t="n">
        <v>20</v>
      </c>
      <c r="J251" s="8" t="inlineStr">
        <is>
          <t>https://www.codechef.com/problems/FCTRL2</t>
        </is>
      </c>
      <c r="K251" s="7" t="inlineStr"/>
      <c r="L251" s="6" t="inlineStr">
        <is>
          <t>codechef</t>
        </is>
      </c>
    </row>
    <row r="252" ht="20" customHeight="1">
      <c r="A252" s="2" t="inlineStr">
        <is>
          <t>Unsolved</t>
        </is>
      </c>
      <c r="B252" s="3" t="inlineStr">
        <is>
          <t>KINGDOM 7 — THE KINGDOM OF BIT MANIPULATION</t>
        </is>
      </c>
      <c r="C252" s="3" t="inlineStr">
        <is>
          <t>Pattern 7.1 — Basic Bit Operations</t>
        </is>
      </c>
      <c r="D252" s="2" t="inlineStr">
        <is>
          <t>FCTRL</t>
        </is>
      </c>
      <c r="E252" s="3" t="inlineStr">
        <is>
          <t>Factorial</t>
        </is>
      </c>
      <c r="F252" s="4" t="inlineStr">
        <is>
          <t>Easy</t>
        </is>
      </c>
      <c r="G252" s="3" t="inlineStr">
        <is>
          <t>trailing zeros, bit math</t>
        </is>
      </c>
      <c r="H252" s="2" t="n">
        <v>25</v>
      </c>
      <c r="I252" s="2" t="n">
        <v>20</v>
      </c>
      <c r="J252" s="5" t="inlineStr">
        <is>
          <t>https://www.codechef.com/problems/FCTRL</t>
        </is>
      </c>
      <c r="K252" s="3" t="inlineStr"/>
      <c r="L252" s="2" t="inlineStr">
        <is>
          <t>codechef</t>
        </is>
      </c>
    </row>
    <row r="253" ht="20" customHeight="1">
      <c r="A253" s="6" t="inlineStr">
        <is>
          <t>Unsolved</t>
        </is>
      </c>
      <c r="B253" s="7" t="inlineStr">
        <is>
          <t>KINGDOM 7 — THE KINGDOM OF BIT MANIPULATION</t>
        </is>
      </c>
      <c r="C253" s="7" t="inlineStr">
        <is>
          <t>Pattern 7.1 — Basic Bit Operations</t>
        </is>
      </c>
      <c r="D253" s="6" t="inlineStr">
        <is>
          <t>MARBLES</t>
        </is>
      </c>
      <c r="E253" s="7" t="inlineStr">
        <is>
          <t>Marbles</t>
        </is>
      </c>
      <c r="F253" s="9" t="inlineStr">
        <is>
          <t>Easy-Medium</t>
        </is>
      </c>
      <c r="G253" s="7" t="inlineStr">
        <is>
          <t>combinatorics, bitwise overflow prevention</t>
        </is>
      </c>
      <c r="H253" s="6" t="n">
        <v>40</v>
      </c>
      <c r="I253" s="6" t="n">
        <v>35</v>
      </c>
      <c r="J253" s="8" t="inlineStr">
        <is>
          <t>https://www.codechef.com/problems/MARBLES</t>
        </is>
      </c>
      <c r="K253" s="7" t="inlineStr"/>
      <c r="L253" s="6" t="inlineStr">
        <is>
          <t>codechef</t>
        </is>
      </c>
    </row>
    <row r="254" ht="20" customHeight="1">
      <c r="A254" s="2" t="inlineStr">
        <is>
          <t>Unsolved</t>
        </is>
      </c>
      <c r="B254" s="3" t="inlineStr">
        <is>
          <t>KINGDOM 7 — THE KINGDOM OF BIT MANIPULATION</t>
        </is>
      </c>
      <c r="C254" s="3" t="inlineStr">
        <is>
          <t>Pattern 7.1 — Basic Bit Operations</t>
        </is>
      </c>
      <c r="D254" s="2" t="inlineStr">
        <is>
          <t>BIT101</t>
        </is>
      </c>
      <c r="E254" s="3" t="inlineStr">
        <is>
          <t>Number of 1 Bits</t>
        </is>
      </c>
      <c r="F254" s="4" t="inlineStr">
        <is>
          <t>Beginner</t>
        </is>
      </c>
      <c r="G254" s="3" t="inlineStr">
        <is>
          <t>popcount, bitwise AND</t>
        </is>
      </c>
      <c r="H254" s="2" t="n">
        <v>15</v>
      </c>
      <c r="I254" s="2" t="n">
        <v>10</v>
      </c>
      <c r="J254" s="5" t="inlineStr">
        <is>
          <t>https://www.codechef.com/problems/BIT101</t>
        </is>
      </c>
      <c r="K254" s="3" t="inlineStr"/>
      <c r="L254" s="2" t="inlineStr">
        <is>
          <t>codechef</t>
        </is>
      </c>
    </row>
    <row r="255" ht="20" customHeight="1">
      <c r="A255" s="6" t="inlineStr">
        <is>
          <t>Unsolved</t>
        </is>
      </c>
      <c r="B255" s="7" t="inlineStr">
        <is>
          <t>KINGDOM 7 — THE KINGDOM OF BIT MANIPULATION</t>
        </is>
      </c>
      <c r="C255" s="7" t="inlineStr">
        <is>
          <t>Pattern 7.1 — Basic Bit Operations</t>
        </is>
      </c>
      <c r="D255" s="6" t="inlineStr">
        <is>
          <t>BIT102</t>
        </is>
      </c>
      <c r="E255" s="7" t="inlineStr">
        <is>
          <t>Counting Bits 0 to N</t>
        </is>
      </c>
      <c r="F255" s="4" t="inlineStr">
        <is>
          <t>Easy</t>
        </is>
      </c>
      <c r="G255" s="7" t="inlineStr">
        <is>
          <t>DP, bitwise shift</t>
        </is>
      </c>
      <c r="H255" s="6" t="n">
        <v>25</v>
      </c>
      <c r="I255" s="6" t="n">
        <v>20</v>
      </c>
      <c r="J255" s="8" t="inlineStr">
        <is>
          <t>https://www.codechef.com/problems/BIT102</t>
        </is>
      </c>
      <c r="K255" s="7" t="inlineStr"/>
      <c r="L255" s="6" t="inlineStr">
        <is>
          <t>codechef</t>
        </is>
      </c>
    </row>
    <row r="256" ht="20" customHeight="1">
      <c r="A256" s="2" t="inlineStr">
        <is>
          <t>Unsolved</t>
        </is>
      </c>
      <c r="B256" s="3" t="inlineStr">
        <is>
          <t>KINGDOM 7 — THE KINGDOM OF BIT MANIPULATION</t>
        </is>
      </c>
      <c r="C256" s="3" t="inlineStr">
        <is>
          <t>Pattern 7.1 — Basic Bit Operations</t>
        </is>
      </c>
      <c r="D256" s="2" t="inlineStr">
        <is>
          <t>BIT103</t>
        </is>
      </c>
      <c r="E256" s="3" t="inlineStr">
        <is>
          <t>Power of Two Check</t>
        </is>
      </c>
      <c r="F256" s="4" t="inlineStr">
        <is>
          <t>Beginner</t>
        </is>
      </c>
      <c r="G256" s="3" t="inlineStr">
        <is>
          <t>n &amp; (n - 1)</t>
        </is>
      </c>
      <c r="H256" s="2" t="n">
        <v>15</v>
      </c>
      <c r="I256" s="2" t="n">
        <v>10</v>
      </c>
      <c r="J256" s="5" t="inlineStr">
        <is>
          <t>https://www.codechef.com/problems/BIT103</t>
        </is>
      </c>
      <c r="K256" s="3" t="inlineStr"/>
      <c r="L256" s="2" t="inlineStr">
        <is>
          <t>codechef</t>
        </is>
      </c>
    </row>
    <row r="257" ht="20" customHeight="1">
      <c r="A257" s="6" t="inlineStr">
        <is>
          <t>Unsolved</t>
        </is>
      </c>
      <c r="B257" s="7" t="inlineStr">
        <is>
          <t>KINGDOM 7 — THE KINGDOM OF BIT MANIPULATION</t>
        </is>
      </c>
      <c r="C257" s="7" t="inlineStr">
        <is>
          <t>Pattern 7.1 — Basic Bit Operations</t>
        </is>
      </c>
      <c r="D257" s="6" t="inlineStr">
        <is>
          <t>BIT104</t>
        </is>
      </c>
      <c r="E257" s="7" t="inlineStr">
        <is>
          <t>Reverse Bits</t>
        </is>
      </c>
      <c r="F257" s="4" t="inlineStr">
        <is>
          <t>Easy</t>
        </is>
      </c>
      <c r="G257" s="7" t="inlineStr">
        <is>
          <t>bitwise bit shift</t>
        </is>
      </c>
      <c r="H257" s="6" t="n">
        <v>25</v>
      </c>
      <c r="I257" s="6" t="n">
        <v>20</v>
      </c>
      <c r="J257" s="8" t="inlineStr">
        <is>
          <t>https://www.codechef.com/problems/BIT104</t>
        </is>
      </c>
      <c r="K257" s="7" t="inlineStr"/>
      <c r="L257" s="6" t="inlineStr">
        <is>
          <t>codechef</t>
        </is>
      </c>
    </row>
    <row r="258" ht="20" customHeight="1">
      <c r="A258" s="2" t="inlineStr">
        <is>
          <t>Unsolved</t>
        </is>
      </c>
      <c r="B258" s="3" t="inlineStr">
        <is>
          <t>KINGDOM 7 — THE KINGDOM OF BIT MANIPULATION</t>
        </is>
      </c>
      <c r="C258" s="3" t="inlineStr">
        <is>
          <t>Pattern 7.2 — XOR Properties</t>
        </is>
      </c>
      <c r="D258" s="2" t="inlineStr">
        <is>
          <t>XORAGAIN</t>
        </is>
      </c>
      <c r="E258" s="3" t="inlineStr">
        <is>
          <t>XOR Again</t>
        </is>
      </c>
      <c r="F258" s="4" t="inlineStr">
        <is>
          <t>Easy</t>
        </is>
      </c>
      <c r="G258" s="3" t="inlineStr">
        <is>
          <t>XOR properties</t>
        </is>
      </c>
      <c r="H258" s="2" t="n">
        <v>25</v>
      </c>
      <c r="I258" s="2" t="n">
        <v>20</v>
      </c>
      <c r="J258" s="5" t="inlineStr">
        <is>
          <t>https://www.codechef.com/problems/XORAGAIN</t>
        </is>
      </c>
      <c r="K258" s="3" t="inlineStr"/>
      <c r="L258" s="2" t="inlineStr">
        <is>
          <t>codechef</t>
        </is>
      </c>
    </row>
    <row r="259" ht="20" customHeight="1">
      <c r="A259" s="6" t="inlineStr">
        <is>
          <t>Unsolved</t>
        </is>
      </c>
      <c r="B259" s="7" t="inlineStr">
        <is>
          <t>KINGDOM 7 — THE KINGDOM OF BIT MANIPULATION</t>
        </is>
      </c>
      <c r="C259" s="7" t="inlineStr">
        <is>
          <t>Pattern 7.2 — XOR Properties</t>
        </is>
      </c>
      <c r="D259" s="6" t="inlineStr">
        <is>
          <t>XOR101</t>
        </is>
      </c>
      <c r="E259" s="7" t="inlineStr">
        <is>
          <t>Single Number I</t>
        </is>
      </c>
      <c r="F259" s="4" t="inlineStr">
        <is>
          <t>Beginner</t>
        </is>
      </c>
      <c r="G259" s="7" t="inlineStr">
        <is>
          <t>XOR cancellation</t>
        </is>
      </c>
      <c r="H259" s="6" t="n">
        <v>15</v>
      </c>
      <c r="I259" s="6" t="n">
        <v>10</v>
      </c>
      <c r="J259" s="8" t="inlineStr">
        <is>
          <t>https://www.codechef.com/problems/XOR101</t>
        </is>
      </c>
      <c r="K259" s="7" t="inlineStr"/>
      <c r="L259" s="6" t="inlineStr">
        <is>
          <t>codechef</t>
        </is>
      </c>
    </row>
    <row r="260" ht="20" customHeight="1">
      <c r="A260" s="2" t="inlineStr">
        <is>
          <t>Unsolved</t>
        </is>
      </c>
      <c r="B260" s="3" t="inlineStr">
        <is>
          <t>KINGDOM 7 — THE KINGDOM OF BIT MANIPULATION</t>
        </is>
      </c>
      <c r="C260" s="3" t="inlineStr">
        <is>
          <t>Pattern 7.2 — XOR Properties</t>
        </is>
      </c>
      <c r="D260" s="2" t="inlineStr">
        <is>
          <t>XOR102</t>
        </is>
      </c>
      <c r="E260" s="3" t="inlineStr">
        <is>
          <t>Single Number II</t>
        </is>
      </c>
      <c r="F260" s="9" t="inlineStr">
        <is>
          <t>Medium</t>
        </is>
      </c>
      <c r="G260" s="3" t="inlineStr">
        <is>
          <t>bitwise state machine</t>
        </is>
      </c>
      <c r="H260" s="2" t="n">
        <v>60</v>
      </c>
      <c r="I260" s="2" t="n">
        <v>55</v>
      </c>
      <c r="J260" s="5" t="inlineStr">
        <is>
          <t>https://www.codechef.com/problems/XOR102</t>
        </is>
      </c>
      <c r="K260" s="3" t="inlineStr"/>
      <c r="L260" s="2" t="inlineStr">
        <is>
          <t>codechef</t>
        </is>
      </c>
    </row>
    <row r="261" ht="20" customHeight="1">
      <c r="A261" s="6" t="inlineStr">
        <is>
          <t>Unsolved</t>
        </is>
      </c>
      <c r="B261" s="7" t="inlineStr">
        <is>
          <t>KINGDOM 7 — THE KINGDOM OF BIT MANIPULATION</t>
        </is>
      </c>
      <c r="C261" s="7" t="inlineStr">
        <is>
          <t>Pattern 7.2 — XOR Properties</t>
        </is>
      </c>
      <c r="D261" s="6" t="inlineStr">
        <is>
          <t>XOR103</t>
        </is>
      </c>
      <c r="E261" s="7" t="inlineStr">
        <is>
          <t>Single Number III</t>
        </is>
      </c>
      <c r="F261" s="9" t="inlineStr">
        <is>
          <t>Medium</t>
        </is>
      </c>
      <c r="G261" s="7" t="inlineStr">
        <is>
          <t>two unique elements XOR diff bit</t>
        </is>
      </c>
      <c r="H261" s="6" t="n">
        <v>60</v>
      </c>
      <c r="I261" s="6" t="n">
        <v>55</v>
      </c>
      <c r="J261" s="8" t="inlineStr">
        <is>
          <t>https://www.codechef.com/problems/XOR103</t>
        </is>
      </c>
      <c r="K261" s="7" t="inlineStr"/>
      <c r="L261" s="6" t="inlineStr">
        <is>
          <t>codechef</t>
        </is>
      </c>
    </row>
    <row r="262" ht="20" customHeight="1">
      <c r="A262" s="2" t="inlineStr">
        <is>
          <t>Unsolved</t>
        </is>
      </c>
      <c r="B262" s="3" t="inlineStr">
        <is>
          <t>KINGDOM 7 — THE KINGDOM OF BIT MANIPULATION</t>
        </is>
      </c>
      <c r="C262" s="3" t="inlineStr">
        <is>
          <t>Pattern 7.2 — XOR Properties</t>
        </is>
      </c>
      <c r="D262" s="2" t="inlineStr">
        <is>
          <t>XOR104</t>
        </is>
      </c>
      <c r="E262" s="3" t="inlineStr">
        <is>
          <t>Missing Number 0 to N</t>
        </is>
      </c>
      <c r="F262" s="4" t="inlineStr">
        <is>
          <t>Beginner</t>
        </is>
      </c>
      <c r="G262" s="3" t="inlineStr">
        <is>
          <t>XOR range property</t>
        </is>
      </c>
      <c r="H262" s="2" t="n">
        <v>15</v>
      </c>
      <c r="I262" s="2" t="n">
        <v>10</v>
      </c>
      <c r="J262" s="5" t="inlineStr">
        <is>
          <t>https://www.codechef.com/problems/XOR104</t>
        </is>
      </c>
      <c r="K262" s="3" t="inlineStr"/>
      <c r="L262" s="2" t="inlineStr">
        <is>
          <t>codechef</t>
        </is>
      </c>
    </row>
    <row r="263" ht="20" customHeight="1">
      <c r="A263" s="6" t="inlineStr">
        <is>
          <t>Unsolved</t>
        </is>
      </c>
      <c r="B263" s="7" t="inlineStr">
        <is>
          <t>KINGDOM 7 — THE KINGDOM OF BIT MANIPULATION</t>
        </is>
      </c>
      <c r="C263" s="7" t="inlineStr">
        <is>
          <t>Pattern 7.2 — XOR Properties</t>
        </is>
      </c>
      <c r="D263" s="6" t="inlineStr">
        <is>
          <t>XOR105</t>
        </is>
      </c>
      <c r="E263" s="7" t="inlineStr">
        <is>
          <t>XOR Operation in Array</t>
        </is>
      </c>
      <c r="F263" s="4" t="inlineStr">
        <is>
          <t>Beginner</t>
        </is>
      </c>
      <c r="G263" s="7" t="inlineStr">
        <is>
          <t>XOR summation</t>
        </is>
      </c>
      <c r="H263" s="6" t="n">
        <v>15</v>
      </c>
      <c r="I263" s="6" t="n">
        <v>10</v>
      </c>
      <c r="J263" s="8" t="inlineStr">
        <is>
          <t>https://www.codechef.com/problems/XOR105</t>
        </is>
      </c>
      <c r="K263" s="7" t="inlineStr"/>
      <c r="L263" s="6" t="inlineStr">
        <is>
          <t>codechef</t>
        </is>
      </c>
    </row>
    <row r="264" ht="20" customHeight="1">
      <c r="A264" s="2" t="inlineStr">
        <is>
          <t>Unsolved</t>
        </is>
      </c>
      <c r="B264" s="3" t="inlineStr">
        <is>
          <t>KINGDOM 7 — THE KINGDOM OF BIT MANIPULATION</t>
        </is>
      </c>
      <c r="C264" s="3" t="inlineStr">
        <is>
          <t>Pattern 7.2 — XOR Properties</t>
        </is>
      </c>
      <c r="D264" s="2" t="inlineStr">
        <is>
          <t>XOR106</t>
        </is>
      </c>
      <c r="E264" s="3" t="inlineStr">
        <is>
          <t>Find Kth Largest XOR Pair</t>
        </is>
      </c>
      <c r="F264" s="10" t="inlineStr">
        <is>
          <t>Hard</t>
        </is>
      </c>
      <c r="G264" s="3" t="inlineStr">
        <is>
          <t>trie XOR properties</t>
        </is>
      </c>
      <c r="H264" s="2" t="n">
        <v>120</v>
      </c>
      <c r="I264" s="2" t="n">
        <v>120</v>
      </c>
      <c r="J264" s="5" t="inlineStr">
        <is>
          <t>https://www.codechef.com/problems/XOR106</t>
        </is>
      </c>
      <c r="K264" s="3" t="inlineStr"/>
      <c r="L264" s="2" t="inlineStr">
        <is>
          <t>codechef</t>
        </is>
      </c>
    </row>
    <row r="265" ht="20" customHeight="1">
      <c r="A265" s="6" t="inlineStr">
        <is>
          <t>Unsolved</t>
        </is>
      </c>
      <c r="B265" s="7" t="inlineStr">
        <is>
          <t>KINGDOM 7 — THE KINGDOM OF BIT MANIPULATION</t>
        </is>
      </c>
      <c r="C265" s="7" t="inlineStr">
        <is>
          <t>Pattern 7.2 — XOR Properties</t>
        </is>
      </c>
      <c r="D265" s="6" t="inlineStr">
        <is>
          <t>XOR107</t>
        </is>
      </c>
      <c r="E265" s="7" t="inlineStr">
        <is>
          <t>Bitwise AND of Numbers Range</t>
        </is>
      </c>
      <c r="F265" s="9" t="inlineStr">
        <is>
          <t>Medium</t>
        </is>
      </c>
      <c r="G265" s="7" t="inlineStr">
        <is>
          <t>common bit prefix</t>
        </is>
      </c>
      <c r="H265" s="6" t="n">
        <v>60</v>
      </c>
      <c r="I265" s="6" t="n">
        <v>55</v>
      </c>
      <c r="J265" s="8" t="inlineStr">
        <is>
          <t>https://www.codechef.com/problems/XOR107</t>
        </is>
      </c>
      <c r="K265" s="7" t="inlineStr"/>
      <c r="L265" s="6" t="inlineStr">
        <is>
          <t>codechef</t>
        </is>
      </c>
    </row>
    <row r="266" ht="20" customHeight="1">
      <c r="A266" s="2" t="inlineStr">
        <is>
          <t>Unsolved</t>
        </is>
      </c>
      <c r="B266" s="3" t="inlineStr">
        <is>
          <t>KINGDOM 7 — THE KINGDOM OF BIT MANIPULATION</t>
        </is>
      </c>
      <c r="C266" s="3" t="inlineStr">
        <is>
          <t>Pattern 7.2 — XOR Properties</t>
        </is>
      </c>
      <c r="D266" s="2" t="inlineStr">
        <is>
          <t>XOR108</t>
        </is>
      </c>
      <c r="E266" s="3" t="inlineStr">
        <is>
          <t>Minimum Flips to Make a OR b Equal c</t>
        </is>
      </c>
      <c r="F266" s="9" t="inlineStr">
        <is>
          <t>Medium</t>
        </is>
      </c>
      <c r="G266" s="3" t="inlineStr">
        <is>
          <t>bitwise manipulation</t>
        </is>
      </c>
      <c r="H266" s="2" t="n">
        <v>60</v>
      </c>
      <c r="I266" s="2" t="n">
        <v>55</v>
      </c>
      <c r="J266" s="5" t="inlineStr">
        <is>
          <t>https://www.codechef.com/problems/XOR108</t>
        </is>
      </c>
      <c r="K266" s="3" t="inlineStr"/>
      <c r="L266" s="2" t="inlineStr">
        <is>
          <t>codechef</t>
        </is>
      </c>
    </row>
    <row r="267" ht="20" customHeight="1">
      <c r="A267" s="6" t="inlineStr">
        <is>
          <t>Unsolved</t>
        </is>
      </c>
      <c r="B267" s="7" t="inlineStr">
        <is>
          <t>KINGDOM 7 — THE KINGDOM OF BIT MANIPULATION</t>
        </is>
      </c>
      <c r="C267" s="7" t="inlineStr">
        <is>
          <t>Pattern 7.3 — Bitmask Enumeration</t>
        </is>
      </c>
      <c r="D267" s="6" t="inlineStr">
        <is>
          <t>BITMASK1</t>
        </is>
      </c>
      <c r="E267" s="7" t="inlineStr">
        <is>
          <t>All Subsets Generation Bitmask</t>
        </is>
      </c>
      <c r="F267" s="9" t="inlineStr">
        <is>
          <t>Easy-Medium</t>
        </is>
      </c>
      <c r="G267" s="7" t="inlineStr">
        <is>
          <t>bitmask enumeration</t>
        </is>
      </c>
      <c r="H267" s="6" t="n">
        <v>40</v>
      </c>
      <c r="I267" s="6" t="n">
        <v>35</v>
      </c>
      <c r="J267" s="8" t="inlineStr">
        <is>
          <t>https://www.codechef.com/problems/BITMASK1</t>
        </is>
      </c>
      <c r="K267" s="7" t="inlineStr"/>
      <c r="L267" s="6" t="inlineStr">
        <is>
          <t>codechef</t>
        </is>
      </c>
    </row>
    <row r="268" ht="20" customHeight="1">
      <c r="A268" s="2" t="inlineStr">
        <is>
          <t>Unsolved</t>
        </is>
      </c>
      <c r="B268" s="3" t="inlineStr">
        <is>
          <t>KINGDOM 7 — THE KINGDOM OF BIT MANIPULATION</t>
        </is>
      </c>
      <c r="C268" s="3" t="inlineStr">
        <is>
          <t>Pattern 7.3 — Bitmask Enumeration</t>
        </is>
      </c>
      <c r="D268" s="2" t="inlineStr">
        <is>
          <t>SUBSETBIT</t>
        </is>
      </c>
      <c r="E268" s="3" t="inlineStr">
        <is>
          <t>Submask Enumeration Traversal</t>
        </is>
      </c>
      <c r="F268" s="9" t="inlineStr">
        <is>
          <t>Medium</t>
        </is>
      </c>
      <c r="G268" s="3" t="inlineStr">
        <is>
          <t>submask bitwise loop</t>
        </is>
      </c>
      <c r="H268" s="2" t="n">
        <v>60</v>
      </c>
      <c r="I268" s="2" t="n">
        <v>55</v>
      </c>
      <c r="J268" s="5" t="inlineStr">
        <is>
          <t>https://www.codechef.com/problems/SUBSETBIT</t>
        </is>
      </c>
      <c r="K268" s="3" t="inlineStr"/>
      <c r="L268" s="2" t="inlineStr">
        <is>
          <t>codechef</t>
        </is>
      </c>
    </row>
    <row r="269" ht="20" customHeight="1">
      <c r="A269" s="6" t="inlineStr">
        <is>
          <t>Unsolved</t>
        </is>
      </c>
      <c r="B269" s="7" t="inlineStr">
        <is>
          <t>KINGDOM 7 — THE KINGDOM OF BIT MANIPULATION</t>
        </is>
      </c>
      <c r="C269" s="7" t="inlineStr">
        <is>
          <t>Pattern 7.3 — Bitmask Enumeration</t>
        </is>
      </c>
      <c r="D269" s="6" t="inlineStr">
        <is>
          <t>CHEFBIT</t>
        </is>
      </c>
      <c r="E269" s="7" t="inlineStr">
        <is>
          <t>Chef Bitmask Assignment</t>
        </is>
      </c>
      <c r="F269" s="10" t="inlineStr">
        <is>
          <t>Medium-Hard</t>
        </is>
      </c>
      <c r="G269" s="7" t="inlineStr">
        <is>
          <t>bitmask DP</t>
        </is>
      </c>
      <c r="H269" s="6" t="n">
        <v>90</v>
      </c>
      <c r="I269" s="6" t="n">
        <v>80</v>
      </c>
      <c r="J269" s="8" t="inlineStr">
        <is>
          <t>https://www.codechef.com/problems/CHEFBIT</t>
        </is>
      </c>
      <c r="K269" s="7" t="inlineStr"/>
      <c r="L269" s="6" t="inlineStr">
        <is>
          <t>codechef</t>
        </is>
      </c>
    </row>
    <row r="270" ht="20" customHeight="1">
      <c r="A270" s="2" t="inlineStr">
        <is>
          <t>Unsolved</t>
        </is>
      </c>
      <c r="B270" s="3" t="inlineStr">
        <is>
          <t>KINGDOM 7 — THE KINGDOM OF BIT MANIPULATION</t>
        </is>
      </c>
      <c r="C270" s="3" t="inlineStr">
        <is>
          <t>Pattern 7.3 — Bitmask Enumeration</t>
        </is>
      </c>
      <c r="D270" s="2" t="inlineStr">
        <is>
          <t>MASK101</t>
        </is>
      </c>
      <c r="E270" s="3" t="inlineStr">
        <is>
          <t>Subsets Power Set Bitmask</t>
        </is>
      </c>
      <c r="F270" s="9" t="inlineStr">
        <is>
          <t>Medium</t>
        </is>
      </c>
      <c r="G270" s="3" t="inlineStr">
        <is>
          <t>bitmask generation</t>
        </is>
      </c>
      <c r="H270" s="2" t="n">
        <v>60</v>
      </c>
      <c r="I270" s="2" t="n">
        <v>55</v>
      </c>
      <c r="J270" s="5" t="inlineStr">
        <is>
          <t>https://www.codechef.com/problems/MASK101</t>
        </is>
      </c>
      <c r="K270" s="3" t="inlineStr"/>
      <c r="L270" s="2" t="inlineStr">
        <is>
          <t>codechef</t>
        </is>
      </c>
    </row>
    <row r="271" ht="20" customHeight="1">
      <c r="A271" s="6" t="inlineStr">
        <is>
          <t>Unsolved</t>
        </is>
      </c>
      <c r="B271" s="7" t="inlineStr">
        <is>
          <t>KINGDOM 7 — THE KINGDOM OF BIT MANIPULATION</t>
        </is>
      </c>
      <c r="C271" s="7" t="inlineStr">
        <is>
          <t>Pattern 7.3 — Bitmask Enumeration</t>
        </is>
      </c>
      <c r="D271" s="6" t="inlineStr">
        <is>
          <t>MASK102</t>
        </is>
      </c>
      <c r="E271" s="7" t="inlineStr">
        <is>
          <t>Can I Win Game Bitmask</t>
        </is>
      </c>
      <c r="F271" s="10" t="inlineStr">
        <is>
          <t>Hard</t>
        </is>
      </c>
      <c r="G271" s="7" t="inlineStr">
        <is>
          <t>bitmask memoization</t>
        </is>
      </c>
      <c r="H271" s="6" t="n">
        <v>120</v>
      </c>
      <c r="I271" s="6" t="n">
        <v>120</v>
      </c>
      <c r="J271" s="8" t="inlineStr">
        <is>
          <t>https://www.codechef.com/problems/MASK102</t>
        </is>
      </c>
      <c r="K271" s="7" t="inlineStr"/>
      <c r="L271" s="6" t="inlineStr">
        <is>
          <t>codechef</t>
        </is>
      </c>
    </row>
    <row r="272" ht="20" customHeight="1">
      <c r="A272" s="2" t="inlineStr">
        <is>
          <t>Unsolved</t>
        </is>
      </c>
      <c r="B272" s="3" t="inlineStr">
        <is>
          <t>KINGDOM 7 — THE KINGDOM OF BIT MANIPULATION</t>
        </is>
      </c>
      <c r="C272" s="3" t="inlineStr">
        <is>
          <t>Pattern 7.3 — Bitmask Enumeration</t>
        </is>
      </c>
      <c r="D272" s="2" t="inlineStr">
        <is>
          <t>MASK103</t>
        </is>
      </c>
      <c r="E272" s="3" t="inlineStr">
        <is>
          <t>Partition to K Equal Sum Subsets</t>
        </is>
      </c>
      <c r="F272" s="10" t="inlineStr">
        <is>
          <t>Medium-Hard</t>
        </is>
      </c>
      <c r="G272" s="3" t="inlineStr">
        <is>
          <t>bitmask DP</t>
        </is>
      </c>
      <c r="H272" s="2" t="n">
        <v>90</v>
      </c>
      <c r="I272" s="2" t="n">
        <v>80</v>
      </c>
      <c r="J272" s="5" t="inlineStr">
        <is>
          <t>https://www.codechef.com/problems/MASK103</t>
        </is>
      </c>
      <c r="K272" s="3" t="inlineStr"/>
      <c r="L272" s="2" t="inlineStr">
        <is>
          <t>codechef</t>
        </is>
      </c>
    </row>
    <row r="273" ht="20" customHeight="1">
      <c r="A273" s="6" t="inlineStr">
        <is>
          <t>Unsolved</t>
        </is>
      </c>
      <c r="B273" s="7" t="inlineStr">
        <is>
          <t>KINGDOM 7 — THE KINGDOM OF BIT MANIPULATION</t>
        </is>
      </c>
      <c r="C273" s="7" t="inlineStr">
        <is>
          <t>Pattern 7.3 — Bitmask Enumeration</t>
        </is>
      </c>
      <c r="D273" s="6" t="inlineStr">
        <is>
          <t>MASK104</t>
        </is>
      </c>
      <c r="E273" s="7" t="inlineStr">
        <is>
          <t>Smallest Sufficient Team</t>
        </is>
      </c>
      <c r="F273" s="10" t="inlineStr">
        <is>
          <t>Hard</t>
        </is>
      </c>
      <c r="G273" s="7" t="inlineStr">
        <is>
          <t>bitmask DP</t>
        </is>
      </c>
      <c r="H273" s="6" t="n">
        <v>120</v>
      </c>
      <c r="I273" s="6" t="n">
        <v>120</v>
      </c>
      <c r="J273" s="8" t="inlineStr">
        <is>
          <t>https://www.codechef.com/problems/MASK104</t>
        </is>
      </c>
      <c r="K273" s="7" t="inlineStr"/>
      <c r="L273" s="6" t="inlineStr">
        <is>
          <t>codechef</t>
        </is>
      </c>
    </row>
    <row r="274" ht="20" customHeight="1">
      <c r="A274" s="2" t="inlineStr">
        <is>
          <t>Unsolved</t>
        </is>
      </c>
      <c r="B274" s="3" t="inlineStr">
        <is>
          <t>KINGDOM 7 — THE KINGDOM OF BIT MANIPULATION</t>
        </is>
      </c>
      <c r="C274" s="3" t="inlineStr">
        <is>
          <t>Pattern 7.3 — Bitmask Enumeration</t>
        </is>
      </c>
      <c r="D274" s="2" t="inlineStr">
        <is>
          <t>MASK105</t>
        </is>
      </c>
      <c r="E274" s="3" t="inlineStr">
        <is>
          <t>Matchsticks to Square</t>
        </is>
      </c>
      <c r="F274" s="9" t="inlineStr">
        <is>
          <t>Medium</t>
        </is>
      </c>
      <c r="G274" s="3" t="inlineStr">
        <is>
          <t>bitmask DP</t>
        </is>
      </c>
      <c r="H274" s="2" t="n">
        <v>60</v>
      </c>
      <c r="I274" s="2" t="n">
        <v>55</v>
      </c>
      <c r="J274" s="5" t="inlineStr">
        <is>
          <t>https://www.codechef.com/problems/MASK105</t>
        </is>
      </c>
      <c r="K274" s="3" t="inlineStr"/>
      <c r="L274" s="2" t="inlineStr">
        <is>
          <t>codechef</t>
        </is>
      </c>
    </row>
    <row r="275" ht="20" customHeight="1">
      <c r="A275" s="6" t="inlineStr">
        <is>
          <t>Unsolved</t>
        </is>
      </c>
      <c r="B275" s="7" t="inlineStr">
        <is>
          <t>KINGDOM 7 — THE KINGDOM OF BIT MANIPULATION</t>
        </is>
      </c>
      <c r="C275" s="7" t="inlineStr">
        <is>
          <t>Pattern 7.4 — Trie + XOR</t>
        </is>
      </c>
      <c r="D275" s="6" t="inlineStr">
        <is>
          <t>XORPAIR</t>
        </is>
      </c>
      <c r="E275" s="7" t="inlineStr">
        <is>
          <t>Max XOR Pair in Array Trie</t>
        </is>
      </c>
      <c r="F275" s="10" t="inlineStr">
        <is>
          <t>Medium-Hard</t>
        </is>
      </c>
      <c r="G275" s="7" t="inlineStr">
        <is>
          <t>binary trie XOR</t>
        </is>
      </c>
      <c r="H275" s="6" t="n">
        <v>90</v>
      </c>
      <c r="I275" s="6" t="n">
        <v>80</v>
      </c>
      <c r="J275" s="8" t="inlineStr">
        <is>
          <t>https://www.codechef.com/problems/XORPAIR</t>
        </is>
      </c>
      <c r="K275" s="7" t="inlineStr"/>
      <c r="L275" s="6" t="inlineStr">
        <is>
          <t>codechef</t>
        </is>
      </c>
    </row>
    <row r="276" ht="20" customHeight="1">
      <c r="A276" s="2" t="inlineStr">
        <is>
          <t>Unsolved</t>
        </is>
      </c>
      <c r="B276" s="3" t="inlineStr">
        <is>
          <t>KINGDOM 7 — THE KINGDOM OF BIT MANIPULATION</t>
        </is>
      </c>
      <c r="C276" s="3" t="inlineStr">
        <is>
          <t>Pattern 7.4 — Trie + XOR</t>
        </is>
      </c>
      <c r="D276" s="2" t="inlineStr">
        <is>
          <t>TRIEXOR</t>
        </is>
      </c>
      <c r="E276" s="3" t="inlineStr">
        <is>
          <t>Maximum XOR With Element From Array</t>
        </is>
      </c>
      <c r="F276" s="10" t="inlineStr">
        <is>
          <t>Hard</t>
        </is>
      </c>
      <c r="G276" s="3" t="inlineStr">
        <is>
          <t>trie offline queries</t>
        </is>
      </c>
      <c r="H276" s="2" t="n">
        <v>120</v>
      </c>
      <c r="I276" s="2" t="n">
        <v>120</v>
      </c>
      <c r="J276" s="5" t="inlineStr">
        <is>
          <t>https://www.codechef.com/problems/TRIEXOR</t>
        </is>
      </c>
      <c r="K276" s="3" t="inlineStr"/>
      <c r="L276" s="2" t="inlineStr">
        <is>
          <t>codechef</t>
        </is>
      </c>
    </row>
    <row r="277" ht="20" customHeight="1">
      <c r="A277" s="6" t="inlineStr">
        <is>
          <t>Unsolved</t>
        </is>
      </c>
      <c r="B277" s="7" t="inlineStr">
        <is>
          <t>KINGDOM 7 — THE KINGDOM OF BIT MANIPULATION</t>
        </is>
      </c>
      <c r="C277" s="7" t="inlineStr">
        <is>
          <t>Pattern 7.4 — Trie + XOR</t>
        </is>
      </c>
      <c r="D277" s="6" t="inlineStr">
        <is>
          <t>TRIEXOR101</t>
        </is>
      </c>
      <c r="E277" s="7" t="inlineStr">
        <is>
          <t>Maximum XOR of Two Numbers</t>
        </is>
      </c>
      <c r="F277" s="10" t="inlineStr">
        <is>
          <t>Medium-Hard</t>
        </is>
      </c>
      <c r="G277" s="7" t="inlineStr">
        <is>
          <t>binary trie</t>
        </is>
      </c>
      <c r="H277" s="6" t="n">
        <v>90</v>
      </c>
      <c r="I277" s="6" t="n">
        <v>80</v>
      </c>
      <c r="J277" s="8" t="inlineStr">
        <is>
          <t>https://www.codechef.com/problems/TRIEXOR101</t>
        </is>
      </c>
      <c r="K277" s="7" t="inlineStr"/>
      <c r="L277" s="6" t="inlineStr">
        <is>
          <t>codechef</t>
        </is>
      </c>
    </row>
    <row r="278" ht="20" customHeight="1">
      <c r="A278" s="2" t="inlineStr">
        <is>
          <t>Unsolved</t>
        </is>
      </c>
      <c r="B278" s="3" t="inlineStr">
        <is>
          <t>KINGDOM 7 — THE KINGDOM OF BIT MANIPULATION</t>
        </is>
      </c>
      <c r="C278" s="3" t="inlineStr">
        <is>
          <t>Pattern 7.4 — Trie + XOR</t>
        </is>
      </c>
      <c r="D278" s="2" t="inlineStr">
        <is>
          <t>TRIEXOR102</t>
        </is>
      </c>
      <c r="E278" s="3" t="inlineStr">
        <is>
          <t>Count Pairs With XOR in Range</t>
        </is>
      </c>
      <c r="F278" s="10" t="inlineStr">
        <is>
          <t>Hard</t>
        </is>
      </c>
      <c r="G278" s="3" t="inlineStr">
        <is>
          <t>binary trie count</t>
        </is>
      </c>
      <c r="H278" s="2" t="n">
        <v>120</v>
      </c>
      <c r="I278" s="2" t="n">
        <v>120</v>
      </c>
      <c r="J278" s="5" t="inlineStr">
        <is>
          <t>https://www.codechef.com/problems/TRIEXOR102</t>
        </is>
      </c>
      <c r="K278" s="3" t="inlineStr"/>
      <c r="L278" s="2" t="inlineStr">
        <is>
          <t>codechef</t>
        </is>
      </c>
    </row>
    <row r="279" ht="20" customHeight="1">
      <c r="A279" s="6" t="inlineStr">
        <is>
          <t>Unsolved</t>
        </is>
      </c>
      <c r="B279" s="7" t="inlineStr">
        <is>
          <t>KINGDOM 7 — THE KINGDOM OF BIT MANIPULATION</t>
        </is>
      </c>
      <c r="C279" s="7" t="inlineStr">
        <is>
          <t>Pattern 7.4 — Trie + XOR</t>
        </is>
      </c>
      <c r="D279" s="6" t="inlineStr">
        <is>
          <t>TRIEXOR103</t>
        </is>
      </c>
      <c r="E279" s="7" t="inlineStr">
        <is>
          <t>Maximum Subarray XOR Trie</t>
        </is>
      </c>
      <c r="F279" s="10" t="inlineStr">
        <is>
          <t>Hard</t>
        </is>
      </c>
      <c r="G279" s="7" t="inlineStr">
        <is>
          <t>prefix XOR binary trie</t>
        </is>
      </c>
      <c r="H279" s="6" t="n">
        <v>120</v>
      </c>
      <c r="I279" s="6" t="n">
        <v>120</v>
      </c>
      <c r="J279" s="8" t="inlineStr">
        <is>
          <t>https://www.codechef.com/problems/TRIEXOR103</t>
        </is>
      </c>
      <c r="K279" s="7" t="inlineStr"/>
      <c r="L279" s="6" t="inlineStr">
        <is>
          <t>codechef</t>
        </is>
      </c>
    </row>
    <row r="280" ht="20" customHeight="1">
      <c r="A280" s="2" t="inlineStr">
        <is>
          <t>Unsolved</t>
        </is>
      </c>
      <c r="B280" s="3" t="inlineStr">
        <is>
          <t>KINGDOM 7 — THE KINGDOM OF BIT MANIPULATION</t>
        </is>
      </c>
      <c r="C280" s="3" t="inlineStr">
        <is>
          <t>Pattern 7.4 — Trie + XOR</t>
        </is>
      </c>
      <c r="D280" s="2" t="inlineStr">
        <is>
          <t>TRIEXOR104</t>
        </is>
      </c>
      <c r="E280" s="3" t="inlineStr">
        <is>
          <t>XOR Query Path on Tree Trie</t>
        </is>
      </c>
      <c r="F280" s="10" t="inlineStr">
        <is>
          <t>Hard</t>
        </is>
      </c>
      <c r="G280" s="3" t="inlineStr">
        <is>
          <t>trie, tree path</t>
        </is>
      </c>
      <c r="H280" s="2" t="n">
        <v>120</v>
      </c>
      <c r="I280" s="2" t="n">
        <v>120</v>
      </c>
      <c r="J280" s="5" t="inlineStr">
        <is>
          <t>https://www.codechef.com/problems/TRIEXOR104</t>
        </is>
      </c>
      <c r="K280" s="3" t="inlineStr"/>
      <c r="L280" s="2" t="inlineStr">
        <is>
          <t>codechef</t>
        </is>
      </c>
    </row>
    <row r="281" ht="20" customHeight="1">
      <c r="A281" s="6" t="inlineStr">
        <is>
          <t>Unsolved</t>
        </is>
      </c>
      <c r="B281" s="7" t="inlineStr">
        <is>
          <t>KINGDOM 7 — THE KINGDOM OF BIT MANIPULATION</t>
        </is>
      </c>
      <c r="C281" s="7" t="inlineStr">
        <is>
          <t>Pattern 7.4 — Trie + XOR</t>
        </is>
      </c>
      <c r="D281" s="6" t="inlineStr">
        <is>
          <t>TRIEXOR105</t>
        </is>
      </c>
      <c r="E281" s="7" t="inlineStr">
        <is>
          <t>Persistent Trie Max XOR</t>
        </is>
      </c>
      <c r="F281" s="11" t="inlineStr">
        <is>
          <t>Expert</t>
        </is>
      </c>
      <c r="G281" s="7" t="inlineStr">
        <is>
          <t>persistent binary trie</t>
        </is>
      </c>
      <c r="H281" s="6" t="n">
        <v>180</v>
      </c>
      <c r="I281" s="6" t="n">
        <v>180</v>
      </c>
      <c r="J281" s="8" t="inlineStr">
        <is>
          <t>https://www.codechef.com/problems/TRIEXOR105</t>
        </is>
      </c>
      <c r="K281" s="7" t="inlineStr"/>
      <c r="L281" s="6" t="inlineStr">
        <is>
          <t>codechef</t>
        </is>
      </c>
    </row>
    <row r="282" ht="20" customHeight="1">
      <c r="A282" s="2" t="inlineStr">
        <is>
          <t>Unsolved</t>
        </is>
      </c>
      <c r="B282" s="3" t="inlineStr">
        <is>
          <t>KINGDOM 7 — THE KINGDOM OF BIT MANIPULATION</t>
        </is>
      </c>
      <c r="C282" s="3" t="inlineStr">
        <is>
          <t>Pattern 7.4 — Trie + XOR</t>
        </is>
      </c>
      <c r="D282" s="2" t="inlineStr">
        <is>
          <t>TRIEXOR106</t>
        </is>
      </c>
      <c r="E282" s="3" t="inlineStr">
        <is>
          <t>Dynamic Trie Max XOR Insert Delete</t>
        </is>
      </c>
      <c r="F282" s="11" t="inlineStr">
        <is>
          <t>Expert</t>
        </is>
      </c>
      <c r="G282" s="3" t="inlineStr">
        <is>
          <t>trie lazy update</t>
        </is>
      </c>
      <c r="H282" s="2" t="n">
        <v>180</v>
      </c>
      <c r="I282" s="2" t="n">
        <v>180</v>
      </c>
      <c r="J282" s="5" t="inlineStr">
        <is>
          <t>https://www.codechef.com/problems/TRIEXOR106</t>
        </is>
      </c>
      <c r="K282" s="3" t="inlineStr"/>
      <c r="L282" s="2" t="inlineStr">
        <is>
          <t>codechef</t>
        </is>
      </c>
    </row>
    <row r="283" ht="20" customHeight="1">
      <c r="A283" s="6" t="inlineStr">
        <is>
          <t>Unsolved</t>
        </is>
      </c>
      <c r="B283" s="7" t="inlineStr">
        <is>
          <t>KINGDOM 8 — THE KINGDOM OF MATHEMATICS &amp; NUMBER THEORY</t>
        </is>
      </c>
      <c r="C283" s="7" t="inlineStr">
        <is>
          <t>Pattern 8.1 — Basic Mathematics</t>
        </is>
      </c>
      <c r="D283" s="6" t="inlineStr">
        <is>
          <t>FLOW009</t>
        </is>
      </c>
      <c r="E283" s="7" t="inlineStr">
        <is>
          <t>Total Expenses</t>
        </is>
      </c>
      <c r="F283" s="4" t="inlineStr">
        <is>
          <t>Beginner</t>
        </is>
      </c>
      <c r="G283" s="7" t="inlineStr">
        <is>
          <t>basic math, percentage</t>
        </is>
      </c>
      <c r="H283" s="6" t="n">
        <v>15</v>
      </c>
      <c r="I283" s="6" t="n">
        <v>10</v>
      </c>
      <c r="J283" s="8" t="inlineStr">
        <is>
          <t>https://www.codechef.com/problems/FLOW009</t>
        </is>
      </c>
      <c r="K283" s="7" t="inlineStr"/>
      <c r="L283" s="6" t="inlineStr">
        <is>
          <t>codechef</t>
        </is>
      </c>
    </row>
    <row r="284" ht="20" customHeight="1">
      <c r="A284" s="2" t="inlineStr">
        <is>
          <t>Unsolved</t>
        </is>
      </c>
      <c r="B284" s="3" t="inlineStr">
        <is>
          <t>KINGDOM 8 — THE KINGDOM OF MATHEMATICS &amp; NUMBER THEORY</t>
        </is>
      </c>
      <c r="C284" s="3" t="inlineStr">
        <is>
          <t>Pattern 8.1 — Basic Mathematics</t>
        </is>
      </c>
      <c r="D284" s="2" t="inlineStr">
        <is>
          <t>FLOW010</t>
        </is>
      </c>
      <c r="E284" s="3" t="inlineStr">
        <is>
          <t>Id and Ship</t>
        </is>
      </c>
      <c r="F284" s="4" t="inlineStr">
        <is>
          <t>Beginner</t>
        </is>
      </c>
      <c r="G284" s="3" t="inlineStr">
        <is>
          <t>if-else, basic mapping</t>
        </is>
      </c>
      <c r="H284" s="2" t="n">
        <v>15</v>
      </c>
      <c r="I284" s="2" t="n">
        <v>10</v>
      </c>
      <c r="J284" s="5" t="inlineStr">
        <is>
          <t>https://www.codechef.com/problems/FLOW010</t>
        </is>
      </c>
      <c r="K284" s="3" t="inlineStr"/>
      <c r="L284" s="2" t="inlineStr">
        <is>
          <t>codechef</t>
        </is>
      </c>
    </row>
    <row r="285" ht="20" customHeight="1">
      <c r="A285" s="6" t="inlineStr">
        <is>
          <t>Unsolved</t>
        </is>
      </c>
      <c r="B285" s="7" t="inlineStr">
        <is>
          <t>KINGDOM 8 — THE KINGDOM OF MATHEMATICS &amp; NUMBER THEORY</t>
        </is>
      </c>
      <c r="C285" s="7" t="inlineStr">
        <is>
          <t>Pattern 8.1 — Basic Mathematics</t>
        </is>
      </c>
      <c r="D285" s="6" t="inlineStr">
        <is>
          <t>FLOW011</t>
        </is>
      </c>
      <c r="E285" s="7" t="inlineStr">
        <is>
          <t>Gross Salary</t>
        </is>
      </c>
      <c r="F285" s="4" t="inlineStr">
        <is>
          <t>Beginner</t>
        </is>
      </c>
      <c r="G285" s="7" t="inlineStr">
        <is>
          <t>formula evaluation</t>
        </is>
      </c>
      <c r="H285" s="6" t="n">
        <v>15</v>
      </c>
      <c r="I285" s="6" t="n">
        <v>10</v>
      </c>
      <c r="J285" s="8" t="inlineStr">
        <is>
          <t>https://www.codechef.com/problems/FLOW011</t>
        </is>
      </c>
      <c r="K285" s="7" t="inlineStr"/>
      <c r="L285" s="6" t="inlineStr">
        <is>
          <t>codechef</t>
        </is>
      </c>
    </row>
    <row r="286" ht="20" customHeight="1">
      <c r="A286" s="2" t="inlineStr">
        <is>
          <t>Unsolved</t>
        </is>
      </c>
      <c r="B286" s="3" t="inlineStr">
        <is>
          <t>KINGDOM 8 — THE KINGDOM OF MATHEMATICS &amp; NUMBER THEORY</t>
        </is>
      </c>
      <c r="C286" s="3" t="inlineStr">
        <is>
          <t>Pattern 8.1 — Basic Mathematics</t>
        </is>
      </c>
      <c r="D286" s="2" t="inlineStr">
        <is>
          <t>FLOW013</t>
        </is>
      </c>
      <c r="E286" s="3" t="inlineStr">
        <is>
          <t>Valid Triangles</t>
        </is>
      </c>
      <c r="F286" s="4" t="inlineStr">
        <is>
          <t>Beginner</t>
        </is>
      </c>
      <c r="G286" s="3" t="inlineStr">
        <is>
          <t>triangle angle sum</t>
        </is>
      </c>
      <c r="H286" s="2" t="n">
        <v>15</v>
      </c>
      <c r="I286" s="2" t="n">
        <v>10</v>
      </c>
      <c r="J286" s="5" t="inlineStr">
        <is>
          <t>https://www.codechef.com/problems/FLOW013</t>
        </is>
      </c>
      <c r="K286" s="3" t="inlineStr"/>
      <c r="L286" s="2" t="inlineStr">
        <is>
          <t>codechef</t>
        </is>
      </c>
    </row>
    <row r="287" ht="20" customHeight="1">
      <c r="A287" s="6" t="inlineStr">
        <is>
          <t>Unsolved</t>
        </is>
      </c>
      <c r="B287" s="7" t="inlineStr">
        <is>
          <t>KINGDOM 8 — THE KINGDOM OF MATHEMATICS &amp; NUMBER THEORY</t>
        </is>
      </c>
      <c r="C287" s="7" t="inlineStr">
        <is>
          <t>Pattern 8.1 — Basic Mathematics</t>
        </is>
      </c>
      <c r="D287" s="6" t="inlineStr">
        <is>
          <t>FLOW014</t>
        </is>
      </c>
      <c r="E287" s="7" t="inlineStr">
        <is>
          <t>Grade The Steel</t>
        </is>
      </c>
      <c r="F287" s="4" t="inlineStr">
        <is>
          <t>Beginner</t>
        </is>
      </c>
      <c r="G287" s="7" t="inlineStr">
        <is>
          <t>multi-condition logic</t>
        </is>
      </c>
      <c r="H287" s="6" t="n">
        <v>15</v>
      </c>
      <c r="I287" s="6" t="n">
        <v>10</v>
      </c>
      <c r="J287" s="8" t="inlineStr">
        <is>
          <t>https://www.codechef.com/problems/FLOW014</t>
        </is>
      </c>
      <c r="K287" s="7" t="inlineStr"/>
      <c r="L287" s="6" t="inlineStr">
        <is>
          <t>codechef</t>
        </is>
      </c>
    </row>
    <row r="288" ht="20" customHeight="1">
      <c r="A288" s="2" t="inlineStr">
        <is>
          <t>Unsolved</t>
        </is>
      </c>
      <c r="B288" s="3" t="inlineStr">
        <is>
          <t>KINGDOM 8 — THE KINGDOM OF MATHEMATICS &amp; NUMBER THEORY</t>
        </is>
      </c>
      <c r="C288" s="3" t="inlineStr">
        <is>
          <t>Pattern 8.1 — Basic Mathematics</t>
        </is>
      </c>
      <c r="D288" s="2" t="inlineStr">
        <is>
          <t>FSQRT</t>
        </is>
      </c>
      <c r="E288" s="3" t="inlineStr">
        <is>
          <t>Finding Square Roots</t>
        </is>
      </c>
      <c r="F288" s="4" t="inlineStr">
        <is>
          <t>Beginner</t>
        </is>
      </c>
      <c r="G288" s="3" t="inlineStr">
        <is>
          <t>integer square root</t>
        </is>
      </c>
      <c r="H288" s="2" t="n">
        <v>15</v>
      </c>
      <c r="I288" s="2" t="n">
        <v>10</v>
      </c>
      <c r="J288" s="5" t="inlineStr">
        <is>
          <t>https://www.codechef.com/problems/FSQRT</t>
        </is>
      </c>
      <c r="K288" s="3" t="inlineStr"/>
      <c r="L288" s="2" t="inlineStr">
        <is>
          <t>codechef</t>
        </is>
      </c>
    </row>
    <row r="289" ht="20" customHeight="1">
      <c r="A289" s="6" t="inlineStr">
        <is>
          <t>Unsolved</t>
        </is>
      </c>
      <c r="B289" s="7" t="inlineStr">
        <is>
          <t>KINGDOM 8 — THE KINGDOM OF MATHEMATICS &amp; NUMBER THEORY</t>
        </is>
      </c>
      <c r="C289" s="7" t="inlineStr">
        <is>
          <t>Pattern 8.1 — Basic Mathematics</t>
        </is>
      </c>
      <c r="D289" s="6" t="inlineStr">
        <is>
          <t>MATH101</t>
        </is>
      </c>
      <c r="E289" s="7" t="inlineStr">
        <is>
          <t>Palindrome Number</t>
        </is>
      </c>
      <c r="F289" s="4" t="inlineStr">
        <is>
          <t>Beginner</t>
        </is>
      </c>
      <c r="G289" s="7" t="inlineStr">
        <is>
          <t>math digit extraction</t>
        </is>
      </c>
      <c r="H289" s="6" t="n">
        <v>15</v>
      </c>
      <c r="I289" s="6" t="n">
        <v>10</v>
      </c>
      <c r="J289" s="8" t="inlineStr">
        <is>
          <t>https://www.codechef.com/problems/MATH101</t>
        </is>
      </c>
      <c r="K289" s="7" t="inlineStr"/>
      <c r="L289" s="6" t="inlineStr">
        <is>
          <t>codechef</t>
        </is>
      </c>
    </row>
    <row r="290" ht="20" customHeight="1">
      <c r="A290" s="2" t="inlineStr">
        <is>
          <t>Unsolved</t>
        </is>
      </c>
      <c r="B290" s="3" t="inlineStr">
        <is>
          <t>KINGDOM 8 — THE KINGDOM OF MATHEMATICS &amp; NUMBER THEORY</t>
        </is>
      </c>
      <c r="C290" s="3" t="inlineStr">
        <is>
          <t>Pattern 8.1 — Basic Mathematics</t>
        </is>
      </c>
      <c r="D290" s="2" t="inlineStr">
        <is>
          <t>MATH102</t>
        </is>
      </c>
      <c r="E290" s="3" t="inlineStr">
        <is>
          <t>Armstrong Number Check</t>
        </is>
      </c>
      <c r="F290" s="4" t="inlineStr">
        <is>
          <t>Beginner</t>
        </is>
      </c>
      <c r="G290" s="3" t="inlineStr">
        <is>
          <t>math power sum</t>
        </is>
      </c>
      <c r="H290" s="2" t="n">
        <v>15</v>
      </c>
      <c r="I290" s="2" t="n">
        <v>10</v>
      </c>
      <c r="J290" s="5" t="inlineStr">
        <is>
          <t>https://www.codechef.com/problems/MATH102</t>
        </is>
      </c>
      <c r="K290" s="3" t="inlineStr"/>
      <c r="L290" s="2" t="inlineStr">
        <is>
          <t>codechef</t>
        </is>
      </c>
    </row>
    <row r="291" ht="20" customHeight="1">
      <c r="A291" s="6" t="inlineStr">
        <is>
          <t>Unsolved</t>
        </is>
      </c>
      <c r="B291" s="7" t="inlineStr">
        <is>
          <t>KINGDOM 8 — THE KINGDOM OF MATHEMATICS &amp; NUMBER THEORY</t>
        </is>
      </c>
      <c r="C291" s="7" t="inlineStr">
        <is>
          <t>Pattern 8.2 — GCD &amp; LCM</t>
        </is>
      </c>
      <c r="D291" s="6" t="inlineStr">
        <is>
          <t>GCD2</t>
        </is>
      </c>
      <c r="E291" s="7" t="inlineStr">
        <is>
          <t>GCD2</t>
        </is>
      </c>
      <c r="F291" s="9" t="inlineStr">
        <is>
          <t>Easy-Medium</t>
        </is>
      </c>
      <c r="G291" s="7" t="inlineStr">
        <is>
          <t>large integer GCD, modular arithmetic</t>
        </is>
      </c>
      <c r="H291" s="6" t="n">
        <v>40</v>
      </c>
      <c r="I291" s="6" t="n">
        <v>35</v>
      </c>
      <c r="J291" s="8" t="inlineStr">
        <is>
          <t>https://www.codechef.com/problems/GCD2</t>
        </is>
      </c>
      <c r="K291" s="7" t="inlineStr"/>
      <c r="L291" s="6" t="inlineStr">
        <is>
          <t>codechef</t>
        </is>
      </c>
    </row>
    <row r="292" ht="20" customHeight="1">
      <c r="A292" s="2" t="inlineStr">
        <is>
          <t>Unsolved</t>
        </is>
      </c>
      <c r="B292" s="3" t="inlineStr">
        <is>
          <t>KINGDOM 8 — THE KINGDOM OF MATHEMATICS &amp; NUMBER THEORY</t>
        </is>
      </c>
      <c r="C292" s="3" t="inlineStr">
        <is>
          <t>Pattern 8.2 — GCD &amp; LCM</t>
        </is>
      </c>
      <c r="D292" s="2" t="inlineStr">
        <is>
          <t>CHEFGCD</t>
        </is>
      </c>
      <c r="E292" s="3" t="inlineStr">
        <is>
          <t>Chef and GCD</t>
        </is>
      </c>
      <c r="F292" s="4" t="inlineStr">
        <is>
          <t>Easy</t>
        </is>
      </c>
      <c r="G292" s="3" t="inlineStr">
        <is>
          <t>GCD properties</t>
        </is>
      </c>
      <c r="H292" s="2" t="n">
        <v>25</v>
      </c>
      <c r="I292" s="2" t="n">
        <v>20</v>
      </c>
      <c r="J292" s="5" t="inlineStr">
        <is>
          <t>https://www.codechef.com/problems/CHEFGCD</t>
        </is>
      </c>
      <c r="K292" s="3" t="inlineStr"/>
      <c r="L292" s="2" t="inlineStr">
        <is>
          <t>codechef</t>
        </is>
      </c>
    </row>
    <row r="293" ht="20" customHeight="1">
      <c r="A293" s="6" t="inlineStr">
        <is>
          <t>Unsolved</t>
        </is>
      </c>
      <c r="B293" s="7" t="inlineStr">
        <is>
          <t>KINGDOM 8 — THE KINGDOM OF MATHEMATICS &amp; NUMBER THEORY</t>
        </is>
      </c>
      <c r="C293" s="7" t="inlineStr">
        <is>
          <t>Pattern 8.2 — GCD &amp; LCM</t>
        </is>
      </c>
      <c r="D293" s="6" t="inlineStr">
        <is>
          <t>LCMGCD</t>
        </is>
      </c>
      <c r="E293" s="7" t="inlineStr">
        <is>
          <t>LCM and GCD Range</t>
        </is>
      </c>
      <c r="F293" s="9" t="inlineStr">
        <is>
          <t>Easy-Medium</t>
        </is>
      </c>
      <c r="G293" s="7" t="inlineStr">
        <is>
          <t>Euclidean algorithm</t>
        </is>
      </c>
      <c r="H293" s="6" t="n">
        <v>40</v>
      </c>
      <c r="I293" s="6" t="n">
        <v>35</v>
      </c>
      <c r="J293" s="8" t="inlineStr">
        <is>
          <t>https://www.codechef.com/problems/LCMGCD</t>
        </is>
      </c>
      <c r="K293" s="7" t="inlineStr"/>
      <c r="L293" s="6" t="inlineStr">
        <is>
          <t>codechef</t>
        </is>
      </c>
    </row>
    <row r="294" ht="20" customHeight="1">
      <c r="A294" s="2" t="inlineStr">
        <is>
          <t>Unsolved</t>
        </is>
      </c>
      <c r="B294" s="3" t="inlineStr">
        <is>
          <t>KINGDOM 8 — THE KINGDOM OF MATHEMATICS &amp; NUMBER THEORY</t>
        </is>
      </c>
      <c r="C294" s="3" t="inlineStr">
        <is>
          <t>Pattern 8.2 — GCD &amp; LCM</t>
        </is>
      </c>
      <c r="D294" s="2" t="inlineStr">
        <is>
          <t>GCD101</t>
        </is>
      </c>
      <c r="E294" s="3" t="inlineStr">
        <is>
          <t>Greatest Common Divisor Traversal</t>
        </is>
      </c>
      <c r="F294" s="9" t="inlineStr">
        <is>
          <t>Medium</t>
        </is>
      </c>
      <c r="G294" s="3" t="inlineStr">
        <is>
          <t>GCD property</t>
        </is>
      </c>
      <c r="H294" s="2" t="n">
        <v>60</v>
      </c>
      <c r="I294" s="2" t="n">
        <v>55</v>
      </c>
      <c r="J294" s="5" t="inlineStr">
        <is>
          <t>https://www.codechef.com/problems/GCD101</t>
        </is>
      </c>
      <c r="K294" s="3" t="inlineStr"/>
      <c r="L294" s="2" t="inlineStr">
        <is>
          <t>codechef</t>
        </is>
      </c>
    </row>
    <row r="295" ht="20" customHeight="1">
      <c r="A295" s="6" t="inlineStr">
        <is>
          <t>Unsolved</t>
        </is>
      </c>
      <c r="B295" s="7" t="inlineStr">
        <is>
          <t>KINGDOM 8 — THE KINGDOM OF MATHEMATICS &amp; NUMBER THEORY</t>
        </is>
      </c>
      <c r="C295" s="7" t="inlineStr">
        <is>
          <t>Pattern 8.2 — GCD &amp; LCM</t>
        </is>
      </c>
      <c r="D295" s="6" t="inlineStr">
        <is>
          <t>GCD102</t>
        </is>
      </c>
      <c r="E295" s="7" t="inlineStr">
        <is>
          <t>Generalized GCD Array Pairs</t>
        </is>
      </c>
      <c r="F295" s="9" t="inlineStr">
        <is>
          <t>Medium</t>
        </is>
      </c>
      <c r="G295" s="7" t="inlineStr">
        <is>
          <t>GCD frequency count</t>
        </is>
      </c>
      <c r="H295" s="6" t="n">
        <v>60</v>
      </c>
      <c r="I295" s="6" t="n">
        <v>55</v>
      </c>
      <c r="J295" s="8" t="inlineStr">
        <is>
          <t>https://www.codechef.com/problems/GCD102</t>
        </is>
      </c>
      <c r="K295" s="7" t="inlineStr"/>
      <c r="L295" s="6" t="inlineStr">
        <is>
          <t>codechef</t>
        </is>
      </c>
    </row>
    <row r="296" ht="20" customHeight="1">
      <c r="A296" s="2" t="inlineStr">
        <is>
          <t>Unsolved</t>
        </is>
      </c>
      <c r="B296" s="3" t="inlineStr">
        <is>
          <t>KINGDOM 8 — THE KINGDOM OF MATHEMATICS &amp; NUMBER THEORY</t>
        </is>
      </c>
      <c r="C296" s="3" t="inlineStr">
        <is>
          <t>Pattern 8.2 — GCD &amp; LCM</t>
        </is>
      </c>
      <c r="D296" s="2" t="inlineStr">
        <is>
          <t>GCD103</t>
        </is>
      </c>
      <c r="E296" s="3" t="inlineStr">
        <is>
          <t>Minimum Operations Equal GCD</t>
        </is>
      </c>
      <c r="F296" s="10" t="inlineStr">
        <is>
          <t>Medium-Hard</t>
        </is>
      </c>
      <c r="G296" s="3" t="inlineStr">
        <is>
          <t>GCD properties</t>
        </is>
      </c>
      <c r="H296" s="2" t="n">
        <v>90</v>
      </c>
      <c r="I296" s="2" t="n">
        <v>80</v>
      </c>
      <c r="J296" s="5" t="inlineStr">
        <is>
          <t>https://www.codechef.com/problems/GCD103</t>
        </is>
      </c>
      <c r="K296" s="3" t="inlineStr"/>
      <c r="L296" s="2" t="inlineStr">
        <is>
          <t>codechef</t>
        </is>
      </c>
    </row>
    <row r="297" ht="20" customHeight="1">
      <c r="A297" s="6" t="inlineStr">
        <is>
          <t>Unsolved</t>
        </is>
      </c>
      <c r="B297" s="7" t="inlineStr">
        <is>
          <t>KINGDOM 8 — THE KINGDOM OF MATHEMATICS &amp; NUMBER THEORY</t>
        </is>
      </c>
      <c r="C297" s="7" t="inlineStr">
        <is>
          <t>Pattern 8.2 — GCD &amp; LCM</t>
        </is>
      </c>
      <c r="D297" s="6" t="inlineStr">
        <is>
          <t>GCD104</t>
        </is>
      </c>
      <c r="E297" s="7" t="inlineStr">
        <is>
          <t>Subarray GCD Equal K</t>
        </is>
      </c>
      <c r="F297" s="10" t="inlineStr">
        <is>
          <t>Medium-Hard</t>
        </is>
      </c>
      <c r="G297" s="7" t="inlineStr">
        <is>
          <t>sparse table GCD</t>
        </is>
      </c>
      <c r="H297" s="6" t="n">
        <v>90</v>
      </c>
      <c r="I297" s="6" t="n">
        <v>80</v>
      </c>
      <c r="J297" s="8" t="inlineStr">
        <is>
          <t>https://www.codechef.com/problems/GCD104</t>
        </is>
      </c>
      <c r="K297" s="7" t="inlineStr"/>
      <c r="L297" s="6" t="inlineStr">
        <is>
          <t>codechef</t>
        </is>
      </c>
    </row>
    <row r="298" ht="20" customHeight="1">
      <c r="A298" s="2" t="inlineStr">
        <is>
          <t>Unsolved</t>
        </is>
      </c>
      <c r="B298" s="3" t="inlineStr">
        <is>
          <t>KINGDOM 8 — THE KINGDOM OF MATHEMATICS &amp; NUMBER THEORY</t>
        </is>
      </c>
      <c r="C298" s="3" t="inlineStr">
        <is>
          <t>Pattern 8.3 — Prime Numbers &amp; Sieve</t>
        </is>
      </c>
      <c r="D298" s="2" t="inlineStr">
        <is>
          <t>PRB01</t>
        </is>
      </c>
      <c r="E298" s="3" t="inlineStr">
        <is>
          <t>Primality Test</t>
        </is>
      </c>
      <c r="F298" s="4" t="inlineStr">
        <is>
          <t>Beginner</t>
        </is>
      </c>
      <c r="G298" s="3" t="inlineStr">
        <is>
          <t>prime check O(sqrt N)</t>
        </is>
      </c>
      <c r="H298" s="2" t="n">
        <v>15</v>
      </c>
      <c r="I298" s="2" t="n">
        <v>10</v>
      </c>
      <c r="J298" s="5" t="inlineStr">
        <is>
          <t>https://www.codechef.com/problems/PRB01</t>
        </is>
      </c>
      <c r="K298" s="3" t="inlineStr"/>
      <c r="L298" s="2" t="inlineStr">
        <is>
          <t>codechef</t>
        </is>
      </c>
    </row>
    <row r="299" ht="20" customHeight="1">
      <c r="A299" s="6" t="inlineStr">
        <is>
          <t>Unsolved</t>
        </is>
      </c>
      <c r="B299" s="7" t="inlineStr">
        <is>
          <t>KINGDOM 8 — THE KINGDOM OF MATHEMATICS &amp; NUMBER THEORY</t>
        </is>
      </c>
      <c r="C299" s="7" t="inlineStr">
        <is>
          <t>Pattern 8.3 — Prime Numbers &amp; Sieve</t>
        </is>
      </c>
      <c r="D299" s="6" t="inlineStr">
        <is>
          <t>SEIVE1</t>
        </is>
      </c>
      <c r="E299" s="7" t="inlineStr">
        <is>
          <t>Sieve of Eratosthenes</t>
        </is>
      </c>
      <c r="F299" s="4" t="inlineStr">
        <is>
          <t>Easy</t>
        </is>
      </c>
      <c r="G299" s="7" t="inlineStr">
        <is>
          <t>prime sieve</t>
        </is>
      </c>
      <c r="H299" s="6" t="n">
        <v>25</v>
      </c>
      <c r="I299" s="6" t="n">
        <v>20</v>
      </c>
      <c r="J299" s="8" t="inlineStr">
        <is>
          <t>https://www.codechef.com/problems/SEIVE1</t>
        </is>
      </c>
      <c r="K299" s="7" t="inlineStr"/>
      <c r="L299" s="6" t="inlineStr">
        <is>
          <t>codechef</t>
        </is>
      </c>
    </row>
    <row r="300" ht="20" customHeight="1">
      <c r="A300" s="2" t="inlineStr">
        <is>
          <t>Unsolved</t>
        </is>
      </c>
      <c r="B300" s="3" t="inlineStr">
        <is>
          <t>KINGDOM 8 — THE KINGDOM OF MATHEMATICS &amp; NUMBER THEORY</t>
        </is>
      </c>
      <c r="C300" s="3" t="inlineStr">
        <is>
          <t>Pattern 8.3 — Prime Numbers &amp; Sieve</t>
        </is>
      </c>
      <c r="D300" s="2" t="inlineStr">
        <is>
          <t>PRIMES2</t>
        </is>
      </c>
      <c r="E300" s="3" t="inlineStr">
        <is>
          <t>Prime Factorization Sieve</t>
        </is>
      </c>
      <c r="F300" s="9" t="inlineStr">
        <is>
          <t>Medium</t>
        </is>
      </c>
      <c r="G300" s="3" t="inlineStr">
        <is>
          <t>smallest prime factor sieve</t>
        </is>
      </c>
      <c r="H300" s="2" t="n">
        <v>60</v>
      </c>
      <c r="I300" s="2" t="n">
        <v>55</v>
      </c>
      <c r="J300" s="5" t="inlineStr">
        <is>
          <t>https://www.codechef.com/problems/PRIMES2</t>
        </is>
      </c>
      <c r="K300" s="3" t="inlineStr"/>
      <c r="L300" s="2" t="inlineStr">
        <is>
          <t>codechef</t>
        </is>
      </c>
    </row>
    <row r="301" ht="20" customHeight="1">
      <c r="A301" s="6" t="inlineStr">
        <is>
          <t>Unsolved</t>
        </is>
      </c>
      <c r="B301" s="7" t="inlineStr">
        <is>
          <t>KINGDOM 8 — THE KINGDOM OF MATHEMATICS &amp; NUMBER THEORY</t>
        </is>
      </c>
      <c r="C301" s="7" t="inlineStr">
        <is>
          <t>Pattern 8.3 — Prime Numbers &amp; Sieve</t>
        </is>
      </c>
      <c r="D301" s="6" t="inlineStr">
        <is>
          <t>PRIME1</t>
        </is>
      </c>
      <c r="E301" s="7" t="inlineStr">
        <is>
          <t>Prime Generator</t>
        </is>
      </c>
      <c r="F301" s="9" t="inlineStr">
        <is>
          <t>Medium</t>
        </is>
      </c>
      <c r="G301" s="7" t="inlineStr">
        <is>
          <t>segmented sieve</t>
        </is>
      </c>
      <c r="H301" s="6" t="n">
        <v>60</v>
      </c>
      <c r="I301" s="6" t="n">
        <v>55</v>
      </c>
      <c r="J301" s="8" t="inlineStr">
        <is>
          <t>https://www.codechef.com/problems/PRIME1</t>
        </is>
      </c>
      <c r="K301" s="7" t="inlineStr"/>
      <c r="L301" s="6" t="inlineStr">
        <is>
          <t>codechef</t>
        </is>
      </c>
    </row>
    <row r="302" ht="20" customHeight="1">
      <c r="A302" s="2" t="inlineStr">
        <is>
          <t>Unsolved</t>
        </is>
      </c>
      <c r="B302" s="3" t="inlineStr">
        <is>
          <t>KINGDOM 8 — THE KINGDOM OF MATHEMATICS &amp; NUMBER THEORY</t>
        </is>
      </c>
      <c r="C302" s="3" t="inlineStr">
        <is>
          <t>Pattern 8.3 — Prime Numbers &amp; Sieve</t>
        </is>
      </c>
      <c r="D302" s="2" t="inlineStr">
        <is>
          <t>PRIME101</t>
        </is>
      </c>
      <c r="E302" s="3" t="inlineStr">
        <is>
          <t>Count Primes Less Than N</t>
        </is>
      </c>
      <c r="F302" s="9" t="inlineStr">
        <is>
          <t>Easy-Medium</t>
        </is>
      </c>
      <c r="G302" s="3" t="inlineStr">
        <is>
          <t>sieve of eratosthenes</t>
        </is>
      </c>
      <c r="H302" s="2" t="n">
        <v>40</v>
      </c>
      <c r="I302" s="2" t="n">
        <v>35</v>
      </c>
      <c r="J302" s="5" t="inlineStr">
        <is>
          <t>https://www.codechef.com/problems/PRIME101</t>
        </is>
      </c>
      <c r="K302" s="3" t="inlineStr"/>
      <c r="L302" s="2" t="inlineStr">
        <is>
          <t>codechef</t>
        </is>
      </c>
    </row>
    <row r="303" ht="20" customHeight="1">
      <c r="A303" s="6" t="inlineStr">
        <is>
          <t>Unsolved</t>
        </is>
      </c>
      <c r="B303" s="7" t="inlineStr">
        <is>
          <t>KINGDOM 8 — THE KINGDOM OF MATHEMATICS &amp; NUMBER THEORY</t>
        </is>
      </c>
      <c r="C303" s="7" t="inlineStr">
        <is>
          <t>Pattern 8.3 — Prime Numbers &amp; Sieve</t>
        </is>
      </c>
      <c r="D303" s="6" t="inlineStr">
        <is>
          <t>PRIME102</t>
        </is>
      </c>
      <c r="E303" s="7" t="inlineStr">
        <is>
          <t>Prime Factors Product Count</t>
        </is>
      </c>
      <c r="F303" s="9" t="inlineStr">
        <is>
          <t>Medium</t>
        </is>
      </c>
      <c r="G303" s="7" t="inlineStr">
        <is>
          <t>prime factorization</t>
        </is>
      </c>
      <c r="H303" s="6" t="n">
        <v>60</v>
      </c>
      <c r="I303" s="6" t="n">
        <v>55</v>
      </c>
      <c r="J303" s="8" t="inlineStr">
        <is>
          <t>https://www.codechef.com/problems/PRIME102</t>
        </is>
      </c>
      <c r="K303" s="7" t="inlineStr"/>
      <c r="L303" s="6" t="inlineStr">
        <is>
          <t>codechef</t>
        </is>
      </c>
    </row>
    <row r="304" ht="20" customHeight="1">
      <c r="A304" s="2" t="inlineStr">
        <is>
          <t>Unsolved</t>
        </is>
      </c>
      <c r="B304" s="3" t="inlineStr">
        <is>
          <t>KINGDOM 8 — THE KINGDOM OF MATHEMATICS &amp; NUMBER THEORY</t>
        </is>
      </c>
      <c r="C304" s="3" t="inlineStr">
        <is>
          <t>Pattern 8.4 — Modular Arithmetic</t>
        </is>
      </c>
      <c r="D304" s="2" t="inlineStr">
        <is>
          <t>MODEX</t>
        </is>
      </c>
      <c r="E304" s="3" t="inlineStr">
        <is>
          <t>Modular Exponentiation</t>
        </is>
      </c>
      <c r="F304" s="9" t="inlineStr">
        <is>
          <t>Easy-Medium</t>
        </is>
      </c>
      <c r="G304" s="3" t="inlineStr">
        <is>
          <t>binary exponentiation</t>
        </is>
      </c>
      <c r="H304" s="2" t="n">
        <v>40</v>
      </c>
      <c r="I304" s="2" t="n">
        <v>35</v>
      </c>
      <c r="J304" s="5" t="inlineStr">
        <is>
          <t>https://www.codechef.com/problems/MODEX</t>
        </is>
      </c>
      <c r="K304" s="3" t="inlineStr"/>
      <c r="L304" s="2" t="inlineStr">
        <is>
          <t>codechef</t>
        </is>
      </c>
    </row>
    <row r="305" ht="20" customHeight="1">
      <c r="A305" s="6" t="inlineStr">
        <is>
          <t>Unsolved</t>
        </is>
      </c>
      <c r="B305" s="7" t="inlineStr">
        <is>
          <t>KINGDOM 8 — THE KINGDOM OF MATHEMATICS &amp; NUMBER THEORY</t>
        </is>
      </c>
      <c r="C305" s="7" t="inlineStr">
        <is>
          <t>Pattern 8.4 — Modular Arithmetic</t>
        </is>
      </c>
      <c r="D305" s="6" t="inlineStr">
        <is>
          <t>POWMOD</t>
        </is>
      </c>
      <c r="E305" s="7" t="inlineStr">
        <is>
          <t>Fast Power Modulo M</t>
        </is>
      </c>
      <c r="F305" s="4" t="inlineStr">
        <is>
          <t>Easy</t>
        </is>
      </c>
      <c r="G305" s="7" t="inlineStr">
        <is>
          <t>modular exponentiation</t>
        </is>
      </c>
      <c r="H305" s="6" t="n">
        <v>25</v>
      </c>
      <c r="I305" s="6" t="n">
        <v>20</v>
      </c>
      <c r="J305" s="8" t="inlineStr">
        <is>
          <t>https://www.codechef.com/problems/POWMOD</t>
        </is>
      </c>
      <c r="K305" s="7" t="inlineStr"/>
      <c r="L305" s="6" t="inlineStr">
        <is>
          <t>codechef</t>
        </is>
      </c>
    </row>
    <row r="306" ht="20" customHeight="1">
      <c r="A306" s="2" t="inlineStr">
        <is>
          <t>Unsolved</t>
        </is>
      </c>
      <c r="B306" s="3" t="inlineStr">
        <is>
          <t>KINGDOM 8 — THE KINGDOM OF MATHEMATICS &amp; NUMBER THEORY</t>
        </is>
      </c>
      <c r="C306" s="3" t="inlineStr">
        <is>
          <t>Pattern 8.4 — Modular Arithmetic</t>
        </is>
      </c>
      <c r="D306" s="2" t="inlineStr">
        <is>
          <t>MODINV1</t>
        </is>
      </c>
      <c r="E306" s="3" t="inlineStr">
        <is>
          <t>Fermat's Little Theorem Inverse</t>
        </is>
      </c>
      <c r="F306" s="9" t="inlineStr">
        <is>
          <t>Medium</t>
        </is>
      </c>
      <c r="G306" s="3" t="inlineStr">
        <is>
          <t>modular inverse</t>
        </is>
      </c>
      <c r="H306" s="2" t="n">
        <v>60</v>
      </c>
      <c r="I306" s="2" t="n">
        <v>55</v>
      </c>
      <c r="J306" s="5" t="inlineStr">
        <is>
          <t>https://www.codechef.com/problems/MODINV1</t>
        </is>
      </c>
      <c r="K306" s="3" t="inlineStr"/>
      <c r="L306" s="2" t="inlineStr">
        <is>
          <t>codechef</t>
        </is>
      </c>
    </row>
    <row r="307" ht="20" customHeight="1">
      <c r="A307" s="6" t="inlineStr">
        <is>
          <t>Unsolved</t>
        </is>
      </c>
      <c r="B307" s="7" t="inlineStr">
        <is>
          <t>KINGDOM 8 — THE KINGDOM OF MATHEMATICS &amp; NUMBER THEORY</t>
        </is>
      </c>
      <c r="C307" s="7" t="inlineStr">
        <is>
          <t>Pattern 8.4 — Modular Arithmetic</t>
        </is>
      </c>
      <c r="D307" s="6" t="inlineStr">
        <is>
          <t>MODINV2</t>
        </is>
      </c>
      <c r="E307" s="7" t="inlineStr">
        <is>
          <t>Extended Euclidean Algorithm</t>
        </is>
      </c>
      <c r="F307" s="10" t="inlineStr">
        <is>
          <t>Medium-Hard</t>
        </is>
      </c>
      <c r="G307" s="7" t="inlineStr">
        <is>
          <t>extgcd inverse</t>
        </is>
      </c>
      <c r="H307" s="6" t="n">
        <v>90</v>
      </c>
      <c r="I307" s="6" t="n">
        <v>80</v>
      </c>
      <c r="J307" s="8" t="inlineStr">
        <is>
          <t>https://www.codechef.com/problems/MODINV2</t>
        </is>
      </c>
      <c r="K307" s="7" t="inlineStr"/>
      <c r="L307" s="6" t="inlineStr">
        <is>
          <t>codechef</t>
        </is>
      </c>
    </row>
    <row r="308" ht="20" customHeight="1">
      <c r="A308" s="2" t="inlineStr">
        <is>
          <t>Unsolved</t>
        </is>
      </c>
      <c r="B308" s="3" t="inlineStr">
        <is>
          <t>KINGDOM 8 — THE KINGDOM OF MATHEMATICS &amp; NUMBER THEORY</t>
        </is>
      </c>
      <c r="C308" s="3" t="inlineStr">
        <is>
          <t>Pattern 8.4 — Modular Arithmetic</t>
        </is>
      </c>
      <c r="D308" s="2" t="inlineStr">
        <is>
          <t>CRT1</t>
        </is>
      </c>
      <c r="E308" s="3" t="inlineStr">
        <is>
          <t>Chinese Remainder Theorem</t>
        </is>
      </c>
      <c r="F308" s="10" t="inlineStr">
        <is>
          <t>Hard</t>
        </is>
      </c>
      <c r="G308" s="3" t="inlineStr">
        <is>
          <t>CRT modular system</t>
        </is>
      </c>
      <c r="H308" s="2" t="n">
        <v>120</v>
      </c>
      <c r="I308" s="2" t="n">
        <v>120</v>
      </c>
      <c r="J308" s="5" t="inlineStr">
        <is>
          <t>https://www.codechef.com/problems/CRT1</t>
        </is>
      </c>
      <c r="K308" s="3" t="inlineStr"/>
      <c r="L308" s="2" t="inlineStr">
        <is>
          <t>codechef</t>
        </is>
      </c>
    </row>
    <row r="309" ht="20" customHeight="1">
      <c r="A309" s="6" t="inlineStr">
        <is>
          <t>Unsolved</t>
        </is>
      </c>
      <c r="B309" s="7" t="inlineStr">
        <is>
          <t>KINGDOM 8 — THE KINGDOM OF MATHEMATICS &amp; NUMBER THEORY</t>
        </is>
      </c>
      <c r="C309" s="7" t="inlineStr">
        <is>
          <t>Pattern 8.4 — Modular Arithmetic</t>
        </is>
      </c>
      <c r="D309" s="6" t="inlineStr">
        <is>
          <t>MOD101</t>
        </is>
      </c>
      <c r="E309" s="7" t="inlineStr">
        <is>
          <t>Super Pow Modular Exponentiation</t>
        </is>
      </c>
      <c r="F309" s="9" t="inlineStr">
        <is>
          <t>Medium</t>
        </is>
      </c>
      <c r="G309" s="7" t="inlineStr">
        <is>
          <t>Euler totient theorem</t>
        </is>
      </c>
      <c r="H309" s="6" t="n">
        <v>60</v>
      </c>
      <c r="I309" s="6" t="n">
        <v>55</v>
      </c>
      <c r="J309" s="8" t="inlineStr">
        <is>
          <t>https://www.codechef.com/problems/MOD101</t>
        </is>
      </c>
      <c r="K309" s="7" t="inlineStr"/>
      <c r="L309" s="6" t="inlineStr">
        <is>
          <t>codechef</t>
        </is>
      </c>
    </row>
    <row r="310" ht="20" customHeight="1">
      <c r="A310" s="2" t="inlineStr">
        <is>
          <t>Unsolved</t>
        </is>
      </c>
      <c r="B310" s="3" t="inlineStr">
        <is>
          <t>KINGDOM 8 — THE KINGDOM OF MATHEMATICS &amp; NUMBER THEORY</t>
        </is>
      </c>
      <c r="C310" s="3" t="inlineStr">
        <is>
          <t>Pattern 8.5 — Combinatorics</t>
        </is>
      </c>
      <c r="D310" s="2" t="inlineStr">
        <is>
          <t>COMB1</t>
        </is>
      </c>
      <c r="E310" s="3" t="inlineStr">
        <is>
          <t>nCr Combinations Modulo P</t>
        </is>
      </c>
      <c r="F310" s="9" t="inlineStr">
        <is>
          <t>Easy-Medium</t>
        </is>
      </c>
      <c r="G310" s="3" t="inlineStr">
        <is>
          <t>nCr precomputation, factorials</t>
        </is>
      </c>
      <c r="H310" s="2" t="n">
        <v>40</v>
      </c>
      <c r="I310" s="2" t="n">
        <v>35</v>
      </c>
      <c r="J310" s="5" t="inlineStr">
        <is>
          <t>https://www.codechef.com/problems/COMB1</t>
        </is>
      </c>
      <c r="K310" s="3" t="inlineStr"/>
      <c r="L310" s="2" t="inlineStr">
        <is>
          <t>codechef</t>
        </is>
      </c>
    </row>
    <row r="311" ht="20" customHeight="1">
      <c r="A311" s="6" t="inlineStr">
        <is>
          <t>Unsolved</t>
        </is>
      </c>
      <c r="B311" s="7" t="inlineStr">
        <is>
          <t>KINGDOM 8 — THE KINGDOM OF MATHEMATICS &amp; NUMBER THEORY</t>
        </is>
      </c>
      <c r="C311" s="7" t="inlineStr">
        <is>
          <t>Pattern 8.5 — Combinatorics</t>
        </is>
      </c>
      <c r="D311" s="6" t="inlineStr">
        <is>
          <t>CHEFCOMB</t>
        </is>
      </c>
      <c r="E311" s="7" t="inlineStr">
        <is>
          <t>Chef Combination Sum</t>
        </is>
      </c>
      <c r="F311" s="9" t="inlineStr">
        <is>
          <t>Medium</t>
        </is>
      </c>
      <c r="G311" s="7" t="inlineStr">
        <is>
          <t>Pascal triangle, nCr</t>
        </is>
      </c>
      <c r="H311" s="6" t="n">
        <v>60</v>
      </c>
      <c r="I311" s="6" t="n">
        <v>55</v>
      </c>
      <c r="J311" s="8" t="inlineStr">
        <is>
          <t>https://www.codechef.com/problems/CHEFCOMB</t>
        </is>
      </c>
      <c r="K311" s="7" t="inlineStr"/>
      <c r="L311" s="6" t="inlineStr">
        <is>
          <t>codechef</t>
        </is>
      </c>
    </row>
    <row r="312" ht="20" customHeight="1">
      <c r="A312" s="2" t="inlineStr">
        <is>
          <t>Unsolved</t>
        </is>
      </c>
      <c r="B312" s="3" t="inlineStr">
        <is>
          <t>KINGDOM 8 — THE KINGDOM OF MATHEMATICS &amp; NUMBER THEORY</t>
        </is>
      </c>
      <c r="C312" s="3" t="inlineStr">
        <is>
          <t>Pattern 8.5 — Combinatorics</t>
        </is>
      </c>
      <c r="D312" s="2" t="inlineStr">
        <is>
          <t>PASCTRI</t>
        </is>
      </c>
      <c r="E312" s="3" t="inlineStr">
        <is>
          <t>Pascal's Triangle Row</t>
        </is>
      </c>
      <c r="F312" s="4" t="inlineStr">
        <is>
          <t>Beginner</t>
        </is>
      </c>
      <c r="G312" s="3" t="inlineStr">
        <is>
          <t>combinatorics</t>
        </is>
      </c>
      <c r="H312" s="2" t="n">
        <v>15</v>
      </c>
      <c r="I312" s="2" t="n">
        <v>10</v>
      </c>
      <c r="J312" s="5" t="inlineStr">
        <is>
          <t>https://www.codechef.com/problems/PASCTRI</t>
        </is>
      </c>
      <c r="K312" s="3" t="inlineStr"/>
      <c r="L312" s="2" t="inlineStr">
        <is>
          <t>codechef</t>
        </is>
      </c>
    </row>
    <row r="313" ht="20" customHeight="1">
      <c r="A313" s="6" t="inlineStr">
        <is>
          <t>Unsolved</t>
        </is>
      </c>
      <c r="B313" s="7" t="inlineStr">
        <is>
          <t>KINGDOM 8 — THE KINGDOM OF MATHEMATICS &amp; NUMBER THEORY</t>
        </is>
      </c>
      <c r="C313" s="7" t="inlineStr">
        <is>
          <t>Pattern 8.5 — Combinatorics</t>
        </is>
      </c>
      <c r="D313" s="6" t="inlineStr">
        <is>
          <t>COMB101</t>
        </is>
      </c>
      <c r="E313" s="7" t="inlineStr">
        <is>
          <t>Unique Paths Grid Combinatorics</t>
        </is>
      </c>
      <c r="F313" s="9" t="inlineStr">
        <is>
          <t>Easy-Medium</t>
        </is>
      </c>
      <c r="G313" s="7" t="inlineStr">
        <is>
          <t>nCr grid paths</t>
        </is>
      </c>
      <c r="H313" s="6" t="n">
        <v>40</v>
      </c>
      <c r="I313" s="6" t="n">
        <v>35</v>
      </c>
      <c r="J313" s="8" t="inlineStr">
        <is>
          <t>https://www.codechef.com/problems/COMB101</t>
        </is>
      </c>
      <c r="K313" s="7" t="inlineStr"/>
      <c r="L313" s="6" t="inlineStr">
        <is>
          <t>codechef</t>
        </is>
      </c>
    </row>
    <row r="314" ht="20" customHeight="1">
      <c r="A314" s="2" t="inlineStr">
        <is>
          <t>Unsolved</t>
        </is>
      </c>
      <c r="B314" s="3" t="inlineStr">
        <is>
          <t>KINGDOM 8 — THE KINGDOM OF MATHEMATICS &amp; NUMBER THEORY</t>
        </is>
      </c>
      <c r="C314" s="3" t="inlineStr">
        <is>
          <t>Pattern 8.5 — Combinatorics</t>
        </is>
      </c>
      <c r="D314" s="2" t="inlineStr">
        <is>
          <t>COMB102</t>
        </is>
      </c>
      <c r="E314" s="3" t="inlineStr">
        <is>
          <t>Catalan Numbers Count</t>
        </is>
      </c>
      <c r="F314" s="10" t="inlineStr">
        <is>
          <t>Medium-Hard</t>
        </is>
      </c>
      <c r="G314" s="3" t="inlineStr">
        <is>
          <t>Catalan formula</t>
        </is>
      </c>
      <c r="H314" s="2" t="n">
        <v>90</v>
      </c>
      <c r="I314" s="2" t="n">
        <v>80</v>
      </c>
      <c r="J314" s="5" t="inlineStr">
        <is>
          <t>https://www.codechef.com/problems/COMB102</t>
        </is>
      </c>
      <c r="K314" s="3" t="inlineStr"/>
      <c r="L314" s="2" t="inlineStr">
        <is>
          <t>codechef</t>
        </is>
      </c>
    </row>
    <row r="315" ht="20" customHeight="1">
      <c r="A315" s="6" t="inlineStr">
        <is>
          <t>Unsolved</t>
        </is>
      </c>
      <c r="B315" s="7" t="inlineStr">
        <is>
          <t>KINGDOM 8 — THE KINGDOM OF MATHEMATICS &amp; NUMBER THEORY</t>
        </is>
      </c>
      <c r="C315" s="7" t="inlineStr">
        <is>
          <t>Pattern 8.5 — Combinatorics</t>
        </is>
      </c>
      <c r="D315" s="6" t="inlineStr">
        <is>
          <t>COMB103</t>
        </is>
      </c>
      <c r="E315" s="7" t="inlineStr">
        <is>
          <t>Stirling Numbers Second Kind</t>
        </is>
      </c>
      <c r="F315" s="10" t="inlineStr">
        <is>
          <t>Hard</t>
        </is>
      </c>
      <c r="G315" s="7" t="inlineStr">
        <is>
          <t>combinatorics DP</t>
        </is>
      </c>
      <c r="H315" s="6" t="n">
        <v>120</v>
      </c>
      <c r="I315" s="6" t="n">
        <v>120</v>
      </c>
      <c r="J315" s="8" t="inlineStr">
        <is>
          <t>https://www.codechef.com/problems/COMB103</t>
        </is>
      </c>
      <c r="K315" s="7" t="inlineStr"/>
      <c r="L315" s="6" t="inlineStr">
        <is>
          <t>codechef</t>
        </is>
      </c>
    </row>
    <row r="316" ht="20" customHeight="1">
      <c r="A316" s="2" t="inlineStr">
        <is>
          <t>Unsolved</t>
        </is>
      </c>
      <c r="B316" s="3" t="inlineStr">
        <is>
          <t>KINGDOM 8 — THE KINGDOM OF MATHEMATICS &amp; NUMBER THEORY</t>
        </is>
      </c>
      <c r="C316" s="3" t="inlineStr">
        <is>
          <t>Pattern 8.5 — Combinatorics</t>
        </is>
      </c>
      <c r="D316" s="2" t="inlineStr">
        <is>
          <t>COMB104</t>
        </is>
      </c>
      <c r="E316" s="3" t="inlineStr">
        <is>
          <t>Lucas Theorem nCr Large N Mod P</t>
        </is>
      </c>
      <c r="F316" s="10" t="inlineStr">
        <is>
          <t>Hard</t>
        </is>
      </c>
      <c r="G316" s="3" t="inlineStr">
        <is>
          <t>Lucas theorem</t>
        </is>
      </c>
      <c r="H316" s="2" t="n">
        <v>120</v>
      </c>
      <c r="I316" s="2" t="n">
        <v>120</v>
      </c>
      <c r="J316" s="5" t="inlineStr">
        <is>
          <t>https://www.codechef.com/problems/COMB104</t>
        </is>
      </c>
      <c r="K316" s="3" t="inlineStr"/>
      <c r="L316" s="2" t="inlineStr">
        <is>
          <t>codechef</t>
        </is>
      </c>
    </row>
    <row r="317" ht="20" customHeight="1">
      <c r="A317" s="6" t="inlineStr">
        <is>
          <t>Unsolved</t>
        </is>
      </c>
      <c r="B317" s="7" t="inlineStr">
        <is>
          <t>KINGDOM 8 — THE KINGDOM OF MATHEMATICS &amp; NUMBER THEORY</t>
        </is>
      </c>
      <c r="C317" s="7" t="inlineStr">
        <is>
          <t>Pattern 8.6 — Inclusion–Exclusion / Number Theory</t>
        </is>
      </c>
      <c r="D317" s="6" t="inlineStr">
        <is>
          <t>NUMTH1</t>
        </is>
      </c>
      <c r="E317" s="7" t="inlineStr">
        <is>
          <t>Euler's Totient Phi Function</t>
        </is>
      </c>
      <c r="F317" s="9" t="inlineStr">
        <is>
          <t>Medium</t>
        </is>
      </c>
      <c r="G317" s="7" t="inlineStr">
        <is>
          <t>Euler totient</t>
        </is>
      </c>
      <c r="H317" s="6" t="n">
        <v>60</v>
      </c>
      <c r="I317" s="6" t="n">
        <v>55</v>
      </c>
      <c r="J317" s="8" t="inlineStr">
        <is>
          <t>https://www.codechef.com/problems/NUMTH1</t>
        </is>
      </c>
      <c r="K317" s="7" t="inlineStr"/>
      <c r="L317" s="6" t="inlineStr">
        <is>
          <t>codechef</t>
        </is>
      </c>
    </row>
    <row r="318" ht="20" customHeight="1">
      <c r="A318" s="2" t="inlineStr">
        <is>
          <t>Unsolved</t>
        </is>
      </c>
      <c r="B318" s="3" t="inlineStr">
        <is>
          <t>KINGDOM 8 — THE KINGDOM OF MATHEMATICS &amp; NUMBER THEORY</t>
        </is>
      </c>
      <c r="C318" s="3" t="inlineStr">
        <is>
          <t>Pattern 8.6 — Inclusion–Exclusion / Number Theory</t>
        </is>
      </c>
      <c r="D318" s="2" t="inlineStr">
        <is>
          <t>INCEXC</t>
        </is>
      </c>
      <c r="E318" s="3" t="inlineStr">
        <is>
          <t>Inclusion Exclusion Principle Count</t>
        </is>
      </c>
      <c r="F318" s="10" t="inlineStr">
        <is>
          <t>Medium-Hard</t>
        </is>
      </c>
      <c r="G318" s="3" t="inlineStr">
        <is>
          <t>inclusion exclusion</t>
        </is>
      </c>
      <c r="H318" s="2" t="n">
        <v>90</v>
      </c>
      <c r="I318" s="2" t="n">
        <v>80</v>
      </c>
      <c r="J318" s="5" t="inlineStr">
        <is>
          <t>https://www.codechef.com/problems/INCEXC</t>
        </is>
      </c>
      <c r="K318" s="3" t="inlineStr"/>
      <c r="L318" s="2" t="inlineStr">
        <is>
          <t>codechef</t>
        </is>
      </c>
    </row>
    <row r="319" ht="20" customHeight="1">
      <c r="A319" s="6" t="inlineStr">
        <is>
          <t>Unsolved</t>
        </is>
      </c>
      <c r="B319" s="7" t="inlineStr">
        <is>
          <t>KINGDOM 8 — THE KINGDOM OF MATHEMATICS &amp; NUMBER THEORY</t>
        </is>
      </c>
      <c r="C319" s="7" t="inlineStr">
        <is>
          <t>Pattern 8.6 — Inclusion–Exclusion / Number Theory</t>
        </is>
      </c>
      <c r="D319" s="6" t="inlineStr">
        <is>
          <t>EULER1</t>
        </is>
      </c>
      <c r="E319" s="7" t="inlineStr">
        <is>
          <t>Coprime Pairs Count</t>
        </is>
      </c>
      <c r="F319" s="10" t="inlineStr">
        <is>
          <t>Hard</t>
        </is>
      </c>
      <c r="G319" s="7" t="inlineStr">
        <is>
          <t>Euler phi, Mobius inversion</t>
        </is>
      </c>
      <c r="H319" s="6" t="n">
        <v>120</v>
      </c>
      <c r="I319" s="6" t="n">
        <v>120</v>
      </c>
      <c r="J319" s="8" t="inlineStr">
        <is>
          <t>https://www.codechef.com/problems/EULER1</t>
        </is>
      </c>
      <c r="K319" s="7" t="inlineStr"/>
      <c r="L319" s="6" t="inlineStr">
        <is>
          <t>codechef</t>
        </is>
      </c>
    </row>
    <row r="320" ht="20" customHeight="1">
      <c r="A320" s="2" t="inlineStr">
        <is>
          <t>Unsolved</t>
        </is>
      </c>
      <c r="B320" s="3" t="inlineStr">
        <is>
          <t>KINGDOM 8 — THE KINGDOM OF MATHEMATICS &amp; NUMBER THEORY</t>
        </is>
      </c>
      <c r="C320" s="3" t="inlineStr">
        <is>
          <t>Pattern 8.6 — Inclusion–Exclusion / Number Theory</t>
        </is>
      </c>
      <c r="D320" s="2" t="inlineStr">
        <is>
          <t>MOBIUS1</t>
        </is>
      </c>
      <c r="E320" s="3" t="inlineStr">
        <is>
          <t>Mobius Function Precomputation</t>
        </is>
      </c>
      <c r="F320" s="10" t="inlineStr">
        <is>
          <t>Hard</t>
        </is>
      </c>
      <c r="G320" s="3" t="inlineStr">
        <is>
          <t>Mobius sieve</t>
        </is>
      </c>
      <c r="H320" s="2" t="n">
        <v>120</v>
      </c>
      <c r="I320" s="2" t="n">
        <v>120</v>
      </c>
      <c r="J320" s="5" t="inlineStr">
        <is>
          <t>https://www.codechef.com/problems/MOBIUS1</t>
        </is>
      </c>
      <c r="K320" s="3" t="inlineStr"/>
      <c r="L320" s="2" t="inlineStr">
        <is>
          <t>codechef</t>
        </is>
      </c>
    </row>
    <row r="321" ht="20" customHeight="1">
      <c r="A321" s="6" t="inlineStr">
        <is>
          <t>Unsolved</t>
        </is>
      </c>
      <c r="B321" s="7" t="inlineStr">
        <is>
          <t>KINGDOM 8 — THE KINGDOM OF MATHEMATICS &amp; NUMBER THEORY</t>
        </is>
      </c>
      <c r="C321" s="7" t="inlineStr">
        <is>
          <t>Pattern 8.6 — Inclusion–Exclusion / Number Theory</t>
        </is>
      </c>
      <c r="D321" s="6" t="inlineStr">
        <is>
          <t>INCEXC101</t>
        </is>
      </c>
      <c r="E321" s="7" t="inlineStr">
        <is>
          <t>Count Numbers Divisible by Prime Set</t>
        </is>
      </c>
      <c r="F321" s="10" t="inlineStr">
        <is>
          <t>Medium-Hard</t>
        </is>
      </c>
      <c r="G321" s="7" t="inlineStr">
        <is>
          <t>inclusion exclusion bitmask</t>
        </is>
      </c>
      <c r="H321" s="6" t="n">
        <v>90</v>
      </c>
      <c r="I321" s="6" t="n">
        <v>80</v>
      </c>
      <c r="J321" s="8" t="inlineStr">
        <is>
          <t>https://www.codechef.com/problems/INCEXC101</t>
        </is>
      </c>
      <c r="K321" s="7" t="inlineStr"/>
      <c r="L321" s="6" t="inlineStr">
        <is>
          <t>codechef</t>
        </is>
      </c>
    </row>
    <row r="322" ht="20" customHeight="1">
      <c r="A322" s="2" t="inlineStr">
        <is>
          <t>Unsolved</t>
        </is>
      </c>
      <c r="B322" s="3" t="inlineStr">
        <is>
          <t>KINGDOM 8 — THE KINGDOM OF MATHEMATICS &amp; NUMBER THEORY</t>
        </is>
      </c>
      <c r="C322" s="3" t="inlineStr">
        <is>
          <t>Pattern 8.6 — Inclusion–Exclusion / Number Theory</t>
        </is>
      </c>
      <c r="D322" s="2" t="inlineStr">
        <is>
          <t>INCEXC102</t>
        </is>
      </c>
      <c r="E322" s="3" t="inlineStr">
        <is>
          <t>Square Free Numbers Count</t>
        </is>
      </c>
      <c r="F322" s="10" t="inlineStr">
        <is>
          <t>Hard</t>
        </is>
      </c>
      <c r="G322" s="3" t="inlineStr">
        <is>
          <t>Mobius inversion</t>
        </is>
      </c>
      <c r="H322" s="2" t="n">
        <v>120</v>
      </c>
      <c r="I322" s="2" t="n">
        <v>120</v>
      </c>
      <c r="J322" s="5" t="inlineStr">
        <is>
          <t>https://www.codechef.com/problems/INCEXC102</t>
        </is>
      </c>
      <c r="K322" s="3" t="inlineStr"/>
      <c r="L322" s="2" t="inlineStr">
        <is>
          <t>codechef</t>
        </is>
      </c>
    </row>
    <row r="323" ht="20" customHeight="1">
      <c r="A323" s="6" t="inlineStr">
        <is>
          <t>Unsolved</t>
        </is>
      </c>
      <c r="B323" s="7" t="inlineStr">
        <is>
          <t>KINGDOM 8 — THE KINGDOM OF MATHEMATICS &amp; NUMBER THEORY</t>
        </is>
      </c>
      <c r="C323" s="7" t="inlineStr">
        <is>
          <t>Pattern 8.6 — Inclusion–Exclusion / Number Theory</t>
        </is>
      </c>
      <c r="D323" s="6" t="inlineStr">
        <is>
          <t>INCEXC103</t>
        </is>
      </c>
      <c r="E323" s="7" t="inlineStr">
        <is>
          <t>Sum of GCD of All Pairs</t>
        </is>
      </c>
      <c r="F323" s="10" t="inlineStr">
        <is>
          <t>Hard</t>
        </is>
      </c>
      <c r="G323" s="7" t="inlineStr">
        <is>
          <t>Euler totient sieve</t>
        </is>
      </c>
      <c r="H323" s="6" t="n">
        <v>120</v>
      </c>
      <c r="I323" s="6" t="n">
        <v>120</v>
      </c>
      <c r="J323" s="8" t="inlineStr">
        <is>
          <t>https://www.codechef.com/problems/INCEXC103</t>
        </is>
      </c>
      <c r="K323" s="7" t="inlineStr"/>
      <c r="L323" s="6" t="inlineStr">
        <is>
          <t>codechef</t>
        </is>
      </c>
    </row>
    <row r="324" ht="20" customHeight="1">
      <c r="A324" s="2" t="inlineStr">
        <is>
          <t>Unsolved</t>
        </is>
      </c>
      <c r="B324" s="3" t="inlineStr">
        <is>
          <t>KINGDOM 8 — THE KINGDOM OF MATHEMATICS &amp; NUMBER THEORY</t>
        </is>
      </c>
      <c r="C324" s="3" t="inlineStr">
        <is>
          <t>Pattern 8.6 — Inclusion–Exclusion / Number Theory</t>
        </is>
      </c>
      <c r="D324" s="2" t="inlineStr">
        <is>
          <t>INCEXC104</t>
        </is>
      </c>
      <c r="E324" s="3" t="inlineStr">
        <is>
          <t>Primitive Roots Modulo Prime</t>
        </is>
      </c>
      <c r="F324" s="11" t="inlineStr">
        <is>
          <t>Expert</t>
        </is>
      </c>
      <c r="G324" s="3" t="inlineStr">
        <is>
          <t>number theory</t>
        </is>
      </c>
      <c r="H324" s="2" t="n">
        <v>180</v>
      </c>
      <c r="I324" s="2" t="n">
        <v>180</v>
      </c>
      <c r="J324" s="5" t="inlineStr">
        <is>
          <t>https://www.codechef.com/problems/INCEXC104</t>
        </is>
      </c>
      <c r="K324" s="3" t="inlineStr"/>
      <c r="L324" s="2" t="inlineStr">
        <is>
          <t>codechef</t>
        </is>
      </c>
    </row>
    <row r="325" ht="20" customHeight="1">
      <c r="A325" s="6" t="inlineStr">
        <is>
          <t>Unsolved</t>
        </is>
      </c>
      <c r="B325" s="7" t="inlineStr">
        <is>
          <t>KINGDOM 9 — THE KINGDOM OF RECURSION &amp; BACKTRACKING</t>
        </is>
      </c>
      <c r="C325" s="7" t="inlineStr">
        <is>
          <t>Pattern 9.1 — Basic Recursion</t>
        </is>
      </c>
      <c r="D325" s="6" t="inlineStr">
        <is>
          <t>TRISQ</t>
        </is>
      </c>
      <c r="E325" s="7" t="inlineStr">
        <is>
          <t>Fit Squares in Triangle</t>
        </is>
      </c>
      <c r="F325" s="4" t="inlineStr">
        <is>
          <t>Easy</t>
        </is>
      </c>
      <c r="G325" s="7" t="inlineStr">
        <is>
          <t>recursion, geometry</t>
        </is>
      </c>
      <c r="H325" s="6" t="n">
        <v>25</v>
      </c>
      <c r="I325" s="6" t="n">
        <v>20</v>
      </c>
      <c r="J325" s="8" t="inlineStr">
        <is>
          <t>https://www.codechef.com/problems/TRISQ</t>
        </is>
      </c>
      <c r="K325" s="7" t="inlineStr"/>
      <c r="L325" s="6" t="inlineStr">
        <is>
          <t>codechef</t>
        </is>
      </c>
    </row>
    <row r="326" ht="20" customHeight="1">
      <c r="A326" s="2" t="inlineStr">
        <is>
          <t>Unsolved</t>
        </is>
      </c>
      <c r="B326" s="3" t="inlineStr">
        <is>
          <t>KINGDOM 9 — THE KINGDOM OF RECURSION &amp; BACKTRACKING</t>
        </is>
      </c>
      <c r="C326" s="3" t="inlineStr">
        <is>
          <t>Pattern 9.1 — Basic Recursion</t>
        </is>
      </c>
      <c r="D326" s="2" t="inlineStr">
        <is>
          <t>FIBO1</t>
        </is>
      </c>
      <c r="E326" s="3" t="inlineStr">
        <is>
          <t>Fibonacci Recursion Memoized</t>
        </is>
      </c>
      <c r="F326" s="4" t="inlineStr">
        <is>
          <t>Beginner</t>
        </is>
      </c>
      <c r="G326" s="3" t="inlineStr">
        <is>
          <t>recursion</t>
        </is>
      </c>
      <c r="H326" s="2" t="n">
        <v>15</v>
      </c>
      <c r="I326" s="2" t="n">
        <v>10</v>
      </c>
      <c r="J326" s="5" t="inlineStr">
        <is>
          <t>https://www.codechef.com/problems/FIBO1</t>
        </is>
      </c>
      <c r="K326" s="3" t="inlineStr"/>
      <c r="L326" s="2" t="inlineStr">
        <is>
          <t>codechef</t>
        </is>
      </c>
    </row>
    <row r="327" ht="20" customHeight="1">
      <c r="A327" s="6" t="inlineStr">
        <is>
          <t>Unsolved</t>
        </is>
      </c>
      <c r="B327" s="7" t="inlineStr">
        <is>
          <t>KINGDOM 9 — THE KINGDOM OF RECURSION &amp; BACKTRACKING</t>
        </is>
      </c>
      <c r="C327" s="7" t="inlineStr">
        <is>
          <t>Pattern 9.1 — Basic Recursion</t>
        </is>
      </c>
      <c r="D327" s="6" t="inlineStr">
        <is>
          <t>REC101</t>
        </is>
      </c>
      <c r="E327" s="7" t="inlineStr">
        <is>
          <t>Power X N Recursion</t>
        </is>
      </c>
      <c r="F327" s="4" t="inlineStr">
        <is>
          <t>Easy</t>
        </is>
      </c>
      <c r="G327" s="7" t="inlineStr">
        <is>
          <t>divide &amp; conquer recursion</t>
        </is>
      </c>
      <c r="H327" s="6" t="n">
        <v>25</v>
      </c>
      <c r="I327" s="6" t="n">
        <v>20</v>
      </c>
      <c r="J327" s="8" t="inlineStr">
        <is>
          <t>https://www.codechef.com/problems/REC101</t>
        </is>
      </c>
      <c r="K327" s="7" t="inlineStr"/>
      <c r="L327" s="6" t="inlineStr">
        <is>
          <t>codechef</t>
        </is>
      </c>
    </row>
    <row r="328" ht="20" customHeight="1">
      <c r="A328" s="2" t="inlineStr">
        <is>
          <t>Unsolved</t>
        </is>
      </c>
      <c r="B328" s="3" t="inlineStr">
        <is>
          <t>KINGDOM 9 — THE KINGDOM OF RECURSION &amp; BACKTRACKING</t>
        </is>
      </c>
      <c r="C328" s="3" t="inlineStr">
        <is>
          <t>Pattern 9.1 — Basic Recursion</t>
        </is>
      </c>
      <c r="D328" s="2" t="inlineStr">
        <is>
          <t>REC102</t>
        </is>
      </c>
      <c r="E328" s="3" t="inlineStr">
        <is>
          <t>Tower of Hanoi Steps</t>
        </is>
      </c>
      <c r="F328" s="9" t="inlineStr">
        <is>
          <t>Easy-Medium</t>
        </is>
      </c>
      <c r="G328" s="3" t="inlineStr">
        <is>
          <t>recursion</t>
        </is>
      </c>
      <c r="H328" s="2" t="n">
        <v>40</v>
      </c>
      <c r="I328" s="2" t="n">
        <v>35</v>
      </c>
      <c r="J328" s="5" t="inlineStr">
        <is>
          <t>https://www.codechef.com/problems/REC102</t>
        </is>
      </c>
      <c r="K328" s="3" t="inlineStr"/>
      <c r="L328" s="2" t="inlineStr">
        <is>
          <t>codechef</t>
        </is>
      </c>
    </row>
    <row r="329" ht="20" customHeight="1">
      <c r="A329" s="6" t="inlineStr">
        <is>
          <t>Unsolved</t>
        </is>
      </c>
      <c r="B329" s="7" t="inlineStr">
        <is>
          <t>KINGDOM 9 — THE KINGDOM OF RECURSION &amp; BACKTRACKING</t>
        </is>
      </c>
      <c r="C329" s="7" t="inlineStr">
        <is>
          <t>Pattern 9.1 — Basic Recursion</t>
        </is>
      </c>
      <c r="D329" s="6" t="inlineStr">
        <is>
          <t>REC103</t>
        </is>
      </c>
      <c r="E329" s="7" t="inlineStr">
        <is>
          <t>Reverse Stack Using Recursion</t>
        </is>
      </c>
      <c r="F329" s="9" t="inlineStr">
        <is>
          <t>Medium</t>
        </is>
      </c>
      <c r="G329" s="7" t="inlineStr">
        <is>
          <t>recursion</t>
        </is>
      </c>
      <c r="H329" s="6" t="n">
        <v>60</v>
      </c>
      <c r="I329" s="6" t="n">
        <v>55</v>
      </c>
      <c r="J329" s="8" t="inlineStr">
        <is>
          <t>https://www.codechef.com/problems/REC103</t>
        </is>
      </c>
      <c r="K329" s="7" t="inlineStr"/>
      <c r="L329" s="6" t="inlineStr">
        <is>
          <t>codechef</t>
        </is>
      </c>
    </row>
    <row r="330" ht="20" customHeight="1">
      <c r="A330" s="2" t="inlineStr">
        <is>
          <t>Unsolved</t>
        </is>
      </c>
      <c r="B330" s="3" t="inlineStr">
        <is>
          <t>KINGDOM 9 — THE KINGDOM OF RECURSION &amp; BACKTRACKING</t>
        </is>
      </c>
      <c r="C330" s="3" t="inlineStr">
        <is>
          <t>Pattern 9.1 — Basic Recursion</t>
        </is>
      </c>
      <c r="D330" s="2" t="inlineStr">
        <is>
          <t>REC104</t>
        </is>
      </c>
      <c r="E330" s="3" t="inlineStr">
        <is>
          <t>Sort Array Using Recursion</t>
        </is>
      </c>
      <c r="F330" s="9" t="inlineStr">
        <is>
          <t>Medium</t>
        </is>
      </c>
      <c r="G330" s="3" t="inlineStr">
        <is>
          <t>recursion</t>
        </is>
      </c>
      <c r="H330" s="2" t="n">
        <v>60</v>
      </c>
      <c r="I330" s="2" t="n">
        <v>55</v>
      </c>
      <c r="J330" s="5" t="inlineStr">
        <is>
          <t>https://www.codechef.com/problems/REC104</t>
        </is>
      </c>
      <c r="K330" s="3" t="inlineStr"/>
      <c r="L330" s="2" t="inlineStr">
        <is>
          <t>codechef</t>
        </is>
      </c>
    </row>
    <row r="331" ht="20" customHeight="1">
      <c r="A331" s="6" t="inlineStr">
        <is>
          <t>Unsolved</t>
        </is>
      </c>
      <c r="B331" s="7" t="inlineStr">
        <is>
          <t>KINGDOM 9 — THE KINGDOM OF RECURSION &amp; BACKTRACKING</t>
        </is>
      </c>
      <c r="C331" s="7" t="inlineStr">
        <is>
          <t>Pattern 9.2 — Brute Force with Backtracking</t>
        </is>
      </c>
      <c r="D331" s="6" t="inlineStr">
        <is>
          <t>NQUEENS</t>
        </is>
      </c>
      <c r="E331" s="7" t="inlineStr">
        <is>
          <t>N-Queens Solver</t>
        </is>
      </c>
      <c r="F331" s="10" t="inlineStr">
        <is>
          <t>Hard</t>
        </is>
      </c>
      <c r="G331" s="7" t="inlineStr">
        <is>
          <t>backtracking, pruning</t>
        </is>
      </c>
      <c r="H331" s="6" t="n">
        <v>120</v>
      </c>
      <c r="I331" s="6" t="n">
        <v>120</v>
      </c>
      <c r="J331" s="8" t="inlineStr">
        <is>
          <t>https://www.codechef.com/problems/NQUEENS</t>
        </is>
      </c>
      <c r="K331" s="7" t="inlineStr"/>
      <c r="L331" s="6" t="inlineStr">
        <is>
          <t>codechef</t>
        </is>
      </c>
    </row>
    <row r="332" ht="20" customHeight="1">
      <c r="A332" s="2" t="inlineStr">
        <is>
          <t>Unsolved</t>
        </is>
      </c>
      <c r="B332" s="3" t="inlineStr">
        <is>
          <t>KINGDOM 9 — THE KINGDOM OF RECURSION &amp; BACKTRACKING</t>
        </is>
      </c>
      <c r="C332" s="3" t="inlineStr">
        <is>
          <t>Pattern 9.2 — Brute Force with Backtracking</t>
        </is>
      </c>
      <c r="D332" s="2" t="inlineStr">
        <is>
          <t>SUDOKU</t>
        </is>
      </c>
      <c r="E332" s="3" t="inlineStr">
        <is>
          <t>Sudoku Solver</t>
        </is>
      </c>
      <c r="F332" s="10" t="inlineStr">
        <is>
          <t>Hard</t>
        </is>
      </c>
      <c r="G332" s="3" t="inlineStr">
        <is>
          <t>backtracking</t>
        </is>
      </c>
      <c r="H332" s="2" t="n">
        <v>120</v>
      </c>
      <c r="I332" s="2" t="n">
        <v>120</v>
      </c>
      <c r="J332" s="5" t="inlineStr">
        <is>
          <t>https://www.codechef.com/problems/SUDOKU</t>
        </is>
      </c>
      <c r="K332" s="3" t="inlineStr"/>
      <c r="L332" s="2" t="inlineStr">
        <is>
          <t>codechef</t>
        </is>
      </c>
    </row>
    <row r="333" ht="20" customHeight="1">
      <c r="A333" s="6" t="inlineStr">
        <is>
          <t>Unsolved</t>
        </is>
      </c>
      <c r="B333" s="7" t="inlineStr">
        <is>
          <t>KINGDOM 9 — THE KINGDOM OF RECURSION &amp; BACKTRACKING</t>
        </is>
      </c>
      <c r="C333" s="7" t="inlineStr">
        <is>
          <t>Pattern 9.2 — Brute Force with Backtracking</t>
        </is>
      </c>
      <c r="D333" s="6" t="inlineStr">
        <is>
          <t>PERMUT1</t>
        </is>
      </c>
      <c r="E333" s="7" t="inlineStr">
        <is>
          <t>Permutations Generator</t>
        </is>
      </c>
      <c r="F333" s="9" t="inlineStr">
        <is>
          <t>Medium</t>
        </is>
      </c>
      <c r="G333" s="7" t="inlineStr">
        <is>
          <t>backtracking</t>
        </is>
      </c>
      <c r="H333" s="6" t="n">
        <v>60</v>
      </c>
      <c r="I333" s="6" t="n">
        <v>55</v>
      </c>
      <c r="J333" s="8" t="inlineStr">
        <is>
          <t>https://www.codechef.com/problems/PERMUT1</t>
        </is>
      </c>
      <c r="K333" s="7" t="inlineStr"/>
      <c r="L333" s="6" t="inlineStr">
        <is>
          <t>codechef</t>
        </is>
      </c>
    </row>
    <row r="334" ht="20" customHeight="1">
      <c r="A334" s="2" t="inlineStr">
        <is>
          <t>Unsolved</t>
        </is>
      </c>
      <c r="B334" s="3" t="inlineStr">
        <is>
          <t>KINGDOM 9 — THE KINGDOM OF RECURSION &amp; BACKTRACKING</t>
        </is>
      </c>
      <c r="C334" s="3" t="inlineStr">
        <is>
          <t>Pattern 9.2 — Brute Force with Backtracking</t>
        </is>
      </c>
      <c r="D334" s="2" t="inlineStr">
        <is>
          <t>BACK101</t>
        </is>
      </c>
      <c r="E334" s="3" t="inlineStr">
        <is>
          <t>Word Search Grid Backtracking</t>
        </is>
      </c>
      <c r="F334" s="9" t="inlineStr">
        <is>
          <t>Medium</t>
        </is>
      </c>
      <c r="G334" s="3" t="inlineStr">
        <is>
          <t>backtracking DFS</t>
        </is>
      </c>
      <c r="H334" s="2" t="n">
        <v>60</v>
      </c>
      <c r="I334" s="2" t="n">
        <v>55</v>
      </c>
      <c r="J334" s="5" t="inlineStr">
        <is>
          <t>https://www.codechef.com/problems/BACK101</t>
        </is>
      </c>
      <c r="K334" s="3" t="inlineStr"/>
      <c r="L334" s="2" t="inlineStr">
        <is>
          <t>codechef</t>
        </is>
      </c>
    </row>
    <row r="335" ht="20" customHeight="1">
      <c r="A335" s="6" t="inlineStr">
        <is>
          <t>Unsolved</t>
        </is>
      </c>
      <c r="B335" s="7" t="inlineStr">
        <is>
          <t>KINGDOM 9 — THE KINGDOM OF RECURSION &amp; BACKTRACKING</t>
        </is>
      </c>
      <c r="C335" s="7" t="inlineStr">
        <is>
          <t>Pattern 9.2 — Brute Force with Backtracking</t>
        </is>
      </c>
      <c r="D335" s="6" t="inlineStr">
        <is>
          <t>BACK102</t>
        </is>
      </c>
      <c r="E335" s="7" t="inlineStr">
        <is>
          <t>Rat in a Maze Path Find</t>
        </is>
      </c>
      <c r="F335" s="9" t="inlineStr">
        <is>
          <t>Medium</t>
        </is>
      </c>
      <c r="G335" s="7" t="inlineStr">
        <is>
          <t>backtracking</t>
        </is>
      </c>
      <c r="H335" s="6" t="n">
        <v>60</v>
      </c>
      <c r="I335" s="6" t="n">
        <v>55</v>
      </c>
      <c r="J335" s="8" t="inlineStr">
        <is>
          <t>https://www.codechef.com/problems/BACK102</t>
        </is>
      </c>
      <c r="K335" s="7" t="inlineStr"/>
      <c r="L335" s="6" t="inlineStr">
        <is>
          <t>codechef</t>
        </is>
      </c>
    </row>
    <row r="336" ht="20" customHeight="1">
      <c r="A336" s="2" t="inlineStr">
        <is>
          <t>Unsolved</t>
        </is>
      </c>
      <c r="B336" s="3" t="inlineStr">
        <is>
          <t>KINGDOM 9 — THE KINGDOM OF RECURSION &amp; BACKTRACKING</t>
        </is>
      </c>
      <c r="C336" s="3" t="inlineStr">
        <is>
          <t>Pattern 9.2 — Brute Force with Backtracking</t>
        </is>
      </c>
      <c r="D336" s="2" t="inlineStr">
        <is>
          <t>BACK103</t>
        </is>
      </c>
      <c r="E336" s="3" t="inlineStr">
        <is>
          <t>Knight Tour Traversal</t>
        </is>
      </c>
      <c r="F336" s="10" t="inlineStr">
        <is>
          <t>Hard</t>
        </is>
      </c>
      <c r="G336" s="3" t="inlineStr">
        <is>
          <t>backtracking Warnsdorff</t>
        </is>
      </c>
      <c r="H336" s="2" t="n">
        <v>120</v>
      </c>
      <c r="I336" s="2" t="n">
        <v>120</v>
      </c>
      <c r="J336" s="5" t="inlineStr">
        <is>
          <t>https://www.codechef.com/problems/BACK103</t>
        </is>
      </c>
      <c r="K336" s="3" t="inlineStr"/>
      <c r="L336" s="2" t="inlineStr">
        <is>
          <t>codechef</t>
        </is>
      </c>
    </row>
    <row r="337" ht="20" customHeight="1">
      <c r="A337" s="6" t="inlineStr">
        <is>
          <t>Unsolved</t>
        </is>
      </c>
      <c r="B337" s="7" t="inlineStr">
        <is>
          <t>KINGDOM 9 — THE KINGDOM OF RECURSION &amp; BACKTRACKING</t>
        </is>
      </c>
      <c r="C337" s="7" t="inlineStr">
        <is>
          <t>Pattern 9.3 — Generate All Possibilities</t>
        </is>
      </c>
      <c r="D337" s="6" t="inlineStr">
        <is>
          <t>SUBSETS</t>
        </is>
      </c>
      <c r="E337" s="7" t="inlineStr">
        <is>
          <t>Subsets Generation Backtracking</t>
        </is>
      </c>
      <c r="F337" s="9" t="inlineStr">
        <is>
          <t>Medium</t>
        </is>
      </c>
      <c r="G337" s="7" t="inlineStr">
        <is>
          <t>backtracking</t>
        </is>
      </c>
      <c r="H337" s="6" t="n">
        <v>60</v>
      </c>
      <c r="I337" s="6" t="n">
        <v>55</v>
      </c>
      <c r="J337" s="8" t="inlineStr">
        <is>
          <t>https://www.codechef.com/problems/SUBSETS</t>
        </is>
      </c>
      <c r="K337" s="7" t="inlineStr"/>
      <c r="L337" s="6" t="inlineStr">
        <is>
          <t>codechef</t>
        </is>
      </c>
    </row>
    <row r="338" ht="20" customHeight="1">
      <c r="A338" s="2" t="inlineStr">
        <is>
          <t>Unsolved</t>
        </is>
      </c>
      <c r="B338" s="3" t="inlineStr">
        <is>
          <t>KINGDOM 9 — THE KINGDOM OF RECURSION &amp; BACKTRACKING</t>
        </is>
      </c>
      <c r="C338" s="3" t="inlineStr">
        <is>
          <t>Pattern 9.3 — Generate All Possibilities</t>
        </is>
      </c>
      <c r="D338" s="2" t="inlineStr">
        <is>
          <t>ALLPERM</t>
        </is>
      </c>
      <c r="E338" s="3" t="inlineStr">
        <is>
          <t>Unique Permutations Generator</t>
        </is>
      </c>
      <c r="F338" s="9" t="inlineStr">
        <is>
          <t>Medium</t>
        </is>
      </c>
      <c r="G338" s="3" t="inlineStr">
        <is>
          <t>backtracking hash set</t>
        </is>
      </c>
      <c r="H338" s="2" t="n">
        <v>60</v>
      </c>
      <c r="I338" s="2" t="n">
        <v>55</v>
      </c>
      <c r="J338" s="5" t="inlineStr">
        <is>
          <t>https://www.codechef.com/problems/ALLPERM</t>
        </is>
      </c>
      <c r="K338" s="3" t="inlineStr"/>
      <c r="L338" s="2" t="inlineStr">
        <is>
          <t>codechef</t>
        </is>
      </c>
    </row>
    <row r="339" ht="20" customHeight="1">
      <c r="A339" s="6" t="inlineStr">
        <is>
          <t>Unsolved</t>
        </is>
      </c>
      <c r="B339" s="7" t="inlineStr">
        <is>
          <t>KINGDOM 9 — THE KINGDOM OF RECURSION &amp; BACKTRACKING</t>
        </is>
      </c>
      <c r="C339" s="7" t="inlineStr">
        <is>
          <t>Pattern 9.3 — Generate All Possibilities</t>
        </is>
      </c>
      <c r="D339" s="6" t="inlineStr">
        <is>
          <t>BACKTRK1</t>
        </is>
      </c>
      <c r="E339" s="7" t="inlineStr">
        <is>
          <t>Combination Sum Target</t>
        </is>
      </c>
      <c r="F339" s="9" t="inlineStr">
        <is>
          <t>Medium</t>
        </is>
      </c>
      <c r="G339" s="7" t="inlineStr">
        <is>
          <t>backtracking</t>
        </is>
      </c>
      <c r="H339" s="6" t="n">
        <v>60</v>
      </c>
      <c r="I339" s="6" t="n">
        <v>55</v>
      </c>
      <c r="J339" s="8" t="inlineStr">
        <is>
          <t>https://www.codechef.com/problems/BACKTRK1</t>
        </is>
      </c>
      <c r="K339" s="7" t="inlineStr"/>
      <c r="L339" s="6" t="inlineStr">
        <is>
          <t>codechef</t>
        </is>
      </c>
    </row>
    <row r="340" ht="20" customHeight="1">
      <c r="A340" s="2" t="inlineStr">
        <is>
          <t>Unsolved</t>
        </is>
      </c>
      <c r="B340" s="3" t="inlineStr">
        <is>
          <t>KINGDOM 9 — THE KINGDOM OF RECURSION &amp; BACKTRACKING</t>
        </is>
      </c>
      <c r="C340" s="3" t="inlineStr">
        <is>
          <t>Pattern 9.3 — Generate All Possibilities</t>
        </is>
      </c>
      <c r="D340" s="2" t="inlineStr">
        <is>
          <t>GEN101</t>
        </is>
      </c>
      <c r="E340" s="3" t="inlineStr">
        <is>
          <t>Generate Parentheses Pairs</t>
        </is>
      </c>
      <c r="F340" s="9" t="inlineStr">
        <is>
          <t>Medium</t>
        </is>
      </c>
      <c r="G340" s="3" t="inlineStr">
        <is>
          <t>backtracking balance</t>
        </is>
      </c>
      <c r="H340" s="2" t="n">
        <v>60</v>
      </c>
      <c r="I340" s="2" t="n">
        <v>55</v>
      </c>
      <c r="J340" s="5" t="inlineStr">
        <is>
          <t>https://www.codechef.com/problems/GEN101</t>
        </is>
      </c>
      <c r="K340" s="3" t="inlineStr"/>
      <c r="L340" s="2" t="inlineStr">
        <is>
          <t>codechef</t>
        </is>
      </c>
    </row>
    <row r="341" ht="20" customHeight="1">
      <c r="A341" s="6" t="inlineStr">
        <is>
          <t>Unsolved</t>
        </is>
      </c>
      <c r="B341" s="7" t="inlineStr">
        <is>
          <t>KINGDOM 9 — THE KINGDOM OF RECURSION &amp; BACKTRACKING</t>
        </is>
      </c>
      <c r="C341" s="7" t="inlineStr">
        <is>
          <t>Pattern 9.3 — Generate All Possibilities</t>
        </is>
      </c>
      <c r="D341" s="6" t="inlineStr">
        <is>
          <t>GEN102</t>
        </is>
      </c>
      <c r="E341" s="7" t="inlineStr">
        <is>
          <t>Letter Combinations Phone Keypad</t>
        </is>
      </c>
      <c r="F341" s="9" t="inlineStr">
        <is>
          <t>Medium</t>
        </is>
      </c>
      <c r="G341" s="7" t="inlineStr">
        <is>
          <t>backtracking mapping</t>
        </is>
      </c>
      <c r="H341" s="6" t="n">
        <v>60</v>
      </c>
      <c r="I341" s="6" t="n">
        <v>55</v>
      </c>
      <c r="J341" s="8" t="inlineStr">
        <is>
          <t>https://www.codechef.com/problems/GEN102</t>
        </is>
      </c>
      <c r="K341" s="7" t="inlineStr"/>
      <c r="L341" s="6" t="inlineStr">
        <is>
          <t>codechef</t>
        </is>
      </c>
    </row>
    <row r="342" ht="20" customHeight="1">
      <c r="A342" s="2" t="inlineStr">
        <is>
          <t>Unsolved</t>
        </is>
      </c>
      <c r="B342" s="3" t="inlineStr">
        <is>
          <t>KINGDOM 9 — THE KINGDOM OF RECURSION &amp; BACKTRACKING</t>
        </is>
      </c>
      <c r="C342" s="3" t="inlineStr">
        <is>
          <t>Pattern 9.3 — Generate All Possibilities</t>
        </is>
      </c>
      <c r="D342" s="2" t="inlineStr">
        <is>
          <t>GEN103</t>
        </is>
      </c>
      <c r="E342" s="3" t="inlineStr">
        <is>
          <t>Palindrome Partitioning All</t>
        </is>
      </c>
      <c r="F342" s="10" t="inlineStr">
        <is>
          <t>Medium-Hard</t>
        </is>
      </c>
      <c r="G342" s="3" t="inlineStr">
        <is>
          <t>backtracking DP</t>
        </is>
      </c>
      <c r="H342" s="2" t="n">
        <v>90</v>
      </c>
      <c r="I342" s="2" t="n">
        <v>80</v>
      </c>
      <c r="J342" s="5" t="inlineStr">
        <is>
          <t>https://www.codechef.com/problems/GEN103</t>
        </is>
      </c>
      <c r="K342" s="3" t="inlineStr"/>
      <c r="L342" s="2" t="inlineStr">
        <is>
          <t>codechef</t>
        </is>
      </c>
    </row>
    <row r="343" ht="20" customHeight="1">
      <c r="A343" s="6" t="inlineStr">
        <is>
          <t>Unsolved</t>
        </is>
      </c>
      <c r="B343" s="7" t="inlineStr">
        <is>
          <t>KINGDOM 9 — THE KINGDOM OF RECURSION &amp; BACKTRACKING</t>
        </is>
      </c>
      <c r="C343" s="7" t="inlineStr">
        <is>
          <t>Pattern 9.4 — Recursive Divide Construction</t>
        </is>
      </c>
      <c r="D343" s="6" t="inlineStr">
        <is>
          <t>DIVREC1</t>
        </is>
      </c>
      <c r="E343" s="7" t="inlineStr">
        <is>
          <t>Divide and Conquer Matrix Fast Exponentiation</t>
        </is>
      </c>
      <c r="F343" s="10" t="inlineStr">
        <is>
          <t>Hard</t>
        </is>
      </c>
      <c r="G343" s="7" t="inlineStr">
        <is>
          <t>recursion matrix</t>
        </is>
      </c>
      <c r="H343" s="6" t="n">
        <v>120</v>
      </c>
      <c r="I343" s="6" t="n">
        <v>120</v>
      </c>
      <c r="J343" s="8" t="inlineStr">
        <is>
          <t>https://www.codechef.com/problems/DIVREC1</t>
        </is>
      </c>
      <c r="K343" s="7" t="inlineStr"/>
      <c r="L343" s="6" t="inlineStr">
        <is>
          <t>codechef</t>
        </is>
      </c>
    </row>
    <row r="344" ht="20" customHeight="1">
      <c r="A344" s="2" t="inlineStr">
        <is>
          <t>Unsolved</t>
        </is>
      </c>
      <c r="B344" s="3" t="inlineStr">
        <is>
          <t>KINGDOM 9 — THE KINGDOM OF RECURSION &amp; BACKTRACKING</t>
        </is>
      </c>
      <c r="C344" s="3" t="inlineStr">
        <is>
          <t>Pattern 9.4 — Recursive Divide Construction</t>
        </is>
      </c>
      <c r="D344" s="2" t="inlineStr">
        <is>
          <t>HANOI1</t>
        </is>
      </c>
      <c r="E344" s="3" t="inlineStr">
        <is>
          <t>Hanoi Dual Peg Variant</t>
        </is>
      </c>
      <c r="F344" s="10" t="inlineStr">
        <is>
          <t>Medium-Hard</t>
        </is>
      </c>
      <c r="G344" s="3" t="inlineStr">
        <is>
          <t>recursive construction</t>
        </is>
      </c>
      <c r="H344" s="2" t="n">
        <v>90</v>
      </c>
      <c r="I344" s="2" t="n">
        <v>80</v>
      </c>
      <c r="J344" s="5" t="inlineStr">
        <is>
          <t>https://www.codechef.com/problems/HANOI1</t>
        </is>
      </c>
      <c r="K344" s="3" t="inlineStr"/>
      <c r="L344" s="2" t="inlineStr">
        <is>
          <t>codechef</t>
        </is>
      </c>
    </row>
    <row r="345" ht="20" customHeight="1">
      <c r="A345" s="6" t="inlineStr">
        <is>
          <t>Unsolved</t>
        </is>
      </c>
      <c r="B345" s="7" t="inlineStr">
        <is>
          <t>KINGDOM 9 — THE KINGDOM OF RECURSION &amp; BACKTRACKING</t>
        </is>
      </c>
      <c r="C345" s="7" t="inlineStr">
        <is>
          <t>Pattern 9.4 — Recursive Divide Construction</t>
        </is>
      </c>
      <c r="D345" s="6" t="inlineStr">
        <is>
          <t>DIVREC101</t>
        </is>
      </c>
      <c r="E345" s="7" t="inlineStr">
        <is>
          <t>Construct Quad Tree Grid</t>
        </is>
      </c>
      <c r="F345" s="9" t="inlineStr">
        <is>
          <t>Medium</t>
        </is>
      </c>
      <c r="G345" s="7" t="inlineStr">
        <is>
          <t>divide and conquer recursion</t>
        </is>
      </c>
      <c r="H345" s="6" t="n">
        <v>60</v>
      </c>
      <c r="I345" s="6" t="n">
        <v>55</v>
      </c>
      <c r="J345" s="8" t="inlineStr">
        <is>
          <t>https://www.codechef.com/problems/DIVREC101</t>
        </is>
      </c>
      <c r="K345" s="7" t="inlineStr"/>
      <c r="L345" s="6" t="inlineStr">
        <is>
          <t>codechef</t>
        </is>
      </c>
    </row>
    <row r="346" ht="20" customHeight="1">
      <c r="A346" s="2" t="inlineStr">
        <is>
          <t>Unsolved</t>
        </is>
      </c>
      <c r="B346" s="3" t="inlineStr">
        <is>
          <t>KINGDOM 9 — THE KINGDOM OF RECURSION &amp; BACKTRACKING</t>
        </is>
      </c>
      <c r="C346" s="3" t="inlineStr">
        <is>
          <t>Pattern 9.4 — Recursive Divide Construction</t>
        </is>
      </c>
      <c r="D346" s="2" t="inlineStr">
        <is>
          <t>DIVREC102</t>
        </is>
      </c>
      <c r="E346" s="3" t="inlineStr">
        <is>
          <t>Kth Symbol in Grammar</t>
        </is>
      </c>
      <c r="F346" s="9" t="inlineStr">
        <is>
          <t>Medium</t>
        </is>
      </c>
      <c r="G346" s="3" t="inlineStr">
        <is>
          <t>recursive divide</t>
        </is>
      </c>
      <c r="H346" s="2" t="n">
        <v>60</v>
      </c>
      <c r="I346" s="2" t="n">
        <v>55</v>
      </c>
      <c r="J346" s="5" t="inlineStr">
        <is>
          <t>https://www.codechef.com/problems/DIVREC102</t>
        </is>
      </c>
      <c r="K346" s="3" t="inlineStr"/>
      <c r="L346" s="2" t="inlineStr">
        <is>
          <t>codechef</t>
        </is>
      </c>
    </row>
    <row r="347" ht="20" customHeight="1">
      <c r="A347" s="6" t="inlineStr">
        <is>
          <t>Unsolved</t>
        </is>
      </c>
      <c r="B347" s="7" t="inlineStr">
        <is>
          <t>KINGDOM 9 — THE KINGDOM OF RECURSION &amp; BACKTRACKING</t>
        </is>
      </c>
      <c r="C347" s="7" t="inlineStr">
        <is>
          <t>Pattern 9.4 — Recursive Divide Construction</t>
        </is>
      </c>
      <c r="D347" s="6" t="inlineStr">
        <is>
          <t>DIVREC103</t>
        </is>
      </c>
      <c r="E347" s="7" t="inlineStr">
        <is>
          <t>Different Ways to Add Parentheses</t>
        </is>
      </c>
      <c r="F347" s="9" t="inlineStr">
        <is>
          <t>Medium</t>
        </is>
      </c>
      <c r="G347" s="7" t="inlineStr">
        <is>
          <t>recursion memoization</t>
        </is>
      </c>
      <c r="H347" s="6" t="n">
        <v>60</v>
      </c>
      <c r="I347" s="6" t="n">
        <v>55</v>
      </c>
      <c r="J347" s="8" t="inlineStr">
        <is>
          <t>https://www.codechef.com/problems/DIVREC103</t>
        </is>
      </c>
      <c r="K347" s="7" t="inlineStr"/>
      <c r="L347" s="6" t="inlineStr">
        <is>
          <t>codechef</t>
        </is>
      </c>
    </row>
    <row r="348" ht="20" customHeight="1">
      <c r="A348" s="2" t="inlineStr">
        <is>
          <t>Unsolved</t>
        </is>
      </c>
      <c r="B348" s="3" t="inlineStr">
        <is>
          <t>KINGDOM 9 — THE KINGDOM OF RECURSION &amp; BACKTRACKING</t>
        </is>
      </c>
      <c r="C348" s="3" t="inlineStr">
        <is>
          <t>Pattern 9.4 — Recursive Divide Construction</t>
        </is>
      </c>
      <c r="D348" s="2" t="inlineStr">
        <is>
          <t>DIVREC104</t>
        </is>
      </c>
      <c r="E348" s="3" t="inlineStr">
        <is>
          <t>Gray Code Sequence Recursive</t>
        </is>
      </c>
      <c r="F348" s="9" t="inlineStr">
        <is>
          <t>Medium</t>
        </is>
      </c>
      <c r="G348" s="3" t="inlineStr">
        <is>
          <t>recursive construction</t>
        </is>
      </c>
      <c r="H348" s="2" t="n">
        <v>60</v>
      </c>
      <c r="I348" s="2" t="n">
        <v>55</v>
      </c>
      <c r="J348" s="5" t="inlineStr">
        <is>
          <t>https://www.codechef.com/problems/DIVREC104</t>
        </is>
      </c>
      <c r="K348" s="3" t="inlineStr"/>
      <c r="L348" s="2" t="inlineStr">
        <is>
          <t>codechef</t>
        </is>
      </c>
    </row>
    <row r="349" ht="20" customHeight="1">
      <c r="A349" s="6" t="inlineStr">
        <is>
          <t>Unsolved</t>
        </is>
      </c>
      <c r="B349" s="7" t="inlineStr">
        <is>
          <t>KINGDOM 9 — THE KINGDOM OF RECURSION &amp; BACKTRACKING</t>
        </is>
      </c>
      <c r="C349" s="7" t="inlineStr">
        <is>
          <t>Pattern 9.4 — Recursive Divide Construction</t>
        </is>
      </c>
      <c r="D349" s="6" t="inlineStr">
        <is>
          <t>DIVREC105</t>
        </is>
      </c>
      <c r="E349" s="7" t="inlineStr">
        <is>
          <t>Beautiful Array Partition Recursive</t>
        </is>
      </c>
      <c r="F349" s="10" t="inlineStr">
        <is>
          <t>Hard</t>
        </is>
      </c>
      <c r="G349" s="7" t="inlineStr">
        <is>
          <t>recursive divide construction</t>
        </is>
      </c>
      <c r="H349" s="6" t="n">
        <v>120</v>
      </c>
      <c r="I349" s="6" t="n">
        <v>120</v>
      </c>
      <c r="J349" s="8" t="inlineStr">
        <is>
          <t>https://www.codechef.com/problems/DIVREC105</t>
        </is>
      </c>
      <c r="K349" s="7" t="inlineStr"/>
      <c r="L349" s="6" t="inlineStr">
        <is>
          <t>codechef</t>
        </is>
      </c>
    </row>
    <row r="350" ht="20" customHeight="1">
      <c r="A350" s="2" t="inlineStr">
        <is>
          <t>Unsolved</t>
        </is>
      </c>
      <c r="B350" s="3" t="inlineStr">
        <is>
          <t>KINGDOM 10 — THE KINGDOM OF STACK &amp; MONOTONIC STACK</t>
        </is>
      </c>
      <c r="C350" s="3" t="inlineStr">
        <is>
          <t>Pattern 10.1 — Basic Stack</t>
        </is>
      </c>
      <c r="D350" s="2" t="inlineStr">
        <is>
          <t>COMPILER</t>
        </is>
      </c>
      <c r="E350" s="3" t="inlineStr">
        <is>
          <t>Compilers and Parsers</t>
        </is>
      </c>
      <c r="F350" s="9" t="inlineStr">
        <is>
          <t>Easy-Medium</t>
        </is>
      </c>
      <c r="G350" s="3" t="inlineStr">
        <is>
          <t>stack, prefix validity</t>
        </is>
      </c>
      <c r="H350" s="2" t="n">
        <v>40</v>
      </c>
      <c r="I350" s="2" t="n">
        <v>35</v>
      </c>
      <c r="J350" s="5" t="inlineStr">
        <is>
          <t>https://www.codechef.com/problems/COMPILER</t>
        </is>
      </c>
      <c r="K350" s="3" t="inlineStr"/>
      <c r="L350" s="2" t="inlineStr">
        <is>
          <t>codechef</t>
        </is>
      </c>
    </row>
    <row r="351" ht="20" customHeight="1">
      <c r="A351" s="6" t="inlineStr">
        <is>
          <t>Unsolved</t>
        </is>
      </c>
      <c r="B351" s="7" t="inlineStr">
        <is>
          <t>KINGDOM 10 — THE KINGDOM OF STACK &amp; MONOTONIC STACK</t>
        </is>
      </c>
      <c r="C351" s="7" t="inlineStr">
        <is>
          <t>Pattern 10.1 — Basic Stack</t>
        </is>
      </c>
      <c r="D351" s="6" t="inlineStr">
        <is>
          <t>STACK1</t>
        </is>
      </c>
      <c r="E351" s="7" t="inlineStr">
        <is>
          <t>Implement Stack using Queues</t>
        </is>
      </c>
      <c r="F351" s="4" t="inlineStr">
        <is>
          <t>Beginner</t>
        </is>
      </c>
      <c r="G351" s="7" t="inlineStr">
        <is>
          <t>stack operations</t>
        </is>
      </c>
      <c r="H351" s="6" t="n">
        <v>15</v>
      </c>
      <c r="I351" s="6" t="n">
        <v>10</v>
      </c>
      <c r="J351" s="8" t="inlineStr">
        <is>
          <t>https://www.codechef.com/problems/STACK1</t>
        </is>
      </c>
      <c r="K351" s="7" t="inlineStr"/>
      <c r="L351" s="6" t="inlineStr">
        <is>
          <t>codechef</t>
        </is>
      </c>
    </row>
    <row r="352" ht="20" customHeight="1">
      <c r="A352" s="2" t="inlineStr">
        <is>
          <t>Unsolved</t>
        </is>
      </c>
      <c r="B352" s="3" t="inlineStr">
        <is>
          <t>KINGDOM 10 — THE KINGDOM OF STACK &amp; MONOTONIC STACK</t>
        </is>
      </c>
      <c r="C352" s="3" t="inlineStr">
        <is>
          <t>Pattern 10.1 — Basic Stack</t>
        </is>
      </c>
      <c r="D352" s="2" t="inlineStr">
        <is>
          <t>PAREN1</t>
        </is>
      </c>
      <c r="E352" s="3" t="inlineStr">
        <is>
          <t>Valid Parentheses Match</t>
        </is>
      </c>
      <c r="F352" s="4" t="inlineStr">
        <is>
          <t>Beginner</t>
        </is>
      </c>
      <c r="G352" s="3" t="inlineStr">
        <is>
          <t>stack</t>
        </is>
      </c>
      <c r="H352" s="2" t="n">
        <v>15</v>
      </c>
      <c r="I352" s="2" t="n">
        <v>10</v>
      </c>
      <c r="J352" s="5" t="inlineStr">
        <is>
          <t>https://www.codechef.com/problems/PAREN1</t>
        </is>
      </c>
      <c r="K352" s="3" t="inlineStr"/>
      <c r="L352" s="2" t="inlineStr">
        <is>
          <t>codechef</t>
        </is>
      </c>
    </row>
    <row r="353" ht="20" customHeight="1">
      <c r="A353" s="6" t="inlineStr">
        <is>
          <t>Unsolved</t>
        </is>
      </c>
      <c r="B353" s="7" t="inlineStr">
        <is>
          <t>KINGDOM 10 — THE KINGDOM OF STACK &amp; MONOTONIC STACK</t>
        </is>
      </c>
      <c r="C353" s="7" t="inlineStr">
        <is>
          <t>Pattern 10.1 — Basic Stack</t>
        </is>
      </c>
      <c r="D353" s="6" t="inlineStr">
        <is>
          <t>BSTACK101</t>
        </is>
      </c>
      <c r="E353" s="7" t="inlineStr">
        <is>
          <t>Min Stack O(1) GetMin</t>
        </is>
      </c>
      <c r="F353" s="9" t="inlineStr">
        <is>
          <t>Medium</t>
        </is>
      </c>
      <c r="G353" s="7" t="inlineStr">
        <is>
          <t>stack aux</t>
        </is>
      </c>
      <c r="H353" s="6" t="n">
        <v>60</v>
      </c>
      <c r="I353" s="6" t="n">
        <v>55</v>
      </c>
      <c r="J353" s="8" t="inlineStr">
        <is>
          <t>https://www.codechef.com/problems/BSTACK101</t>
        </is>
      </c>
      <c r="K353" s="7" t="inlineStr"/>
      <c r="L353" s="6" t="inlineStr">
        <is>
          <t>codechef</t>
        </is>
      </c>
    </row>
    <row r="354" ht="20" customHeight="1">
      <c r="A354" s="2" t="inlineStr">
        <is>
          <t>Unsolved</t>
        </is>
      </c>
      <c r="B354" s="3" t="inlineStr">
        <is>
          <t>KINGDOM 10 — THE KINGDOM OF STACK &amp; MONOTONIC STACK</t>
        </is>
      </c>
      <c r="C354" s="3" t="inlineStr">
        <is>
          <t>Pattern 10.1 — Basic Stack</t>
        </is>
      </c>
      <c r="D354" s="2" t="inlineStr">
        <is>
          <t>BSTACK102</t>
        </is>
      </c>
      <c r="E354" s="3" t="inlineStr">
        <is>
          <t>Evaluate Reverse Polish Notation RPN</t>
        </is>
      </c>
      <c r="F354" s="9" t="inlineStr">
        <is>
          <t>Medium</t>
        </is>
      </c>
      <c r="G354" s="3" t="inlineStr">
        <is>
          <t>stack arithmetic</t>
        </is>
      </c>
      <c r="H354" s="2" t="n">
        <v>60</v>
      </c>
      <c r="I354" s="2" t="n">
        <v>55</v>
      </c>
      <c r="J354" s="5" t="inlineStr">
        <is>
          <t>https://www.codechef.com/problems/BSTACK102</t>
        </is>
      </c>
      <c r="K354" s="3" t="inlineStr"/>
      <c r="L354" s="2" t="inlineStr">
        <is>
          <t>codechef</t>
        </is>
      </c>
    </row>
    <row r="355" ht="20" customHeight="1">
      <c r="A355" s="6" t="inlineStr">
        <is>
          <t>Unsolved</t>
        </is>
      </c>
      <c r="B355" s="7" t="inlineStr">
        <is>
          <t>KINGDOM 10 — THE KINGDOM OF STACK &amp; MONOTONIC STACK</t>
        </is>
      </c>
      <c r="C355" s="7" t="inlineStr">
        <is>
          <t>Pattern 10.1 — Basic Stack</t>
        </is>
      </c>
      <c r="D355" s="6" t="inlineStr">
        <is>
          <t>BSTACK103</t>
        </is>
      </c>
      <c r="E355" s="7" t="inlineStr">
        <is>
          <t>Simplify Path Unix Standard</t>
        </is>
      </c>
      <c r="F355" s="9" t="inlineStr">
        <is>
          <t>Medium</t>
        </is>
      </c>
      <c r="G355" s="7" t="inlineStr">
        <is>
          <t>stack string</t>
        </is>
      </c>
      <c r="H355" s="6" t="n">
        <v>60</v>
      </c>
      <c r="I355" s="6" t="n">
        <v>55</v>
      </c>
      <c r="J355" s="8" t="inlineStr">
        <is>
          <t>https://www.codechef.com/problems/BSTACK103</t>
        </is>
      </c>
      <c r="K355" s="7" t="inlineStr"/>
      <c r="L355" s="6" t="inlineStr">
        <is>
          <t>codechef</t>
        </is>
      </c>
    </row>
    <row r="356" ht="20" customHeight="1">
      <c r="A356" s="2" t="inlineStr">
        <is>
          <t>Unsolved</t>
        </is>
      </c>
      <c r="B356" s="3" t="inlineStr">
        <is>
          <t>KINGDOM 10 — THE KINGDOM OF STACK &amp; MONOTONIC STACK</t>
        </is>
      </c>
      <c r="C356" s="3" t="inlineStr">
        <is>
          <t>Pattern 10.1 — Basic Stack</t>
        </is>
      </c>
      <c r="D356" s="2" t="inlineStr">
        <is>
          <t>BSTACK104</t>
        </is>
      </c>
      <c r="E356" s="3" t="inlineStr">
        <is>
          <t>Basic Calculator II Operator Precedence</t>
        </is>
      </c>
      <c r="F356" s="10" t="inlineStr">
        <is>
          <t>Medium-Hard</t>
        </is>
      </c>
      <c r="G356" s="3" t="inlineStr">
        <is>
          <t>stack expression</t>
        </is>
      </c>
      <c r="H356" s="2" t="n">
        <v>90</v>
      </c>
      <c r="I356" s="2" t="n">
        <v>80</v>
      </c>
      <c r="J356" s="5" t="inlineStr">
        <is>
          <t>https://www.codechef.com/problems/BSTACK104</t>
        </is>
      </c>
      <c r="K356" s="3" t="inlineStr"/>
      <c r="L356" s="2" t="inlineStr">
        <is>
          <t>codechef</t>
        </is>
      </c>
    </row>
    <row r="357" ht="20" customHeight="1">
      <c r="A357" s="6" t="inlineStr">
        <is>
          <t>Unsolved</t>
        </is>
      </c>
      <c r="B357" s="7" t="inlineStr">
        <is>
          <t>KINGDOM 10 — THE KINGDOM OF STACK &amp; MONOTONIC STACK</t>
        </is>
      </c>
      <c r="C357" s="7" t="inlineStr">
        <is>
          <t>Pattern 10.1 — Basic Stack</t>
        </is>
      </c>
      <c r="D357" s="6" t="inlineStr">
        <is>
          <t>BSTACK105</t>
        </is>
      </c>
      <c r="E357" s="7" t="inlineStr">
        <is>
          <t>Decode String Expression Stack</t>
        </is>
      </c>
      <c r="F357" s="9" t="inlineStr">
        <is>
          <t>Medium</t>
        </is>
      </c>
      <c r="G357" s="7" t="inlineStr">
        <is>
          <t>stack string expansion</t>
        </is>
      </c>
      <c r="H357" s="6" t="n">
        <v>60</v>
      </c>
      <c r="I357" s="6" t="n">
        <v>55</v>
      </c>
      <c r="J357" s="8" t="inlineStr">
        <is>
          <t>https://www.codechef.com/problems/BSTACK105</t>
        </is>
      </c>
      <c r="K357" s="7" t="inlineStr"/>
      <c r="L357" s="6" t="inlineStr">
        <is>
          <t>codechef</t>
        </is>
      </c>
    </row>
    <row r="358" ht="20" customHeight="1">
      <c r="A358" s="2" t="inlineStr">
        <is>
          <t>Unsolved</t>
        </is>
      </c>
      <c r="B358" s="3" t="inlineStr">
        <is>
          <t>KINGDOM 10 — THE KINGDOM OF STACK &amp; MONOTONIC STACK</t>
        </is>
      </c>
      <c r="C358" s="3" t="inlineStr">
        <is>
          <t>Pattern 10.2 — Parentheses</t>
        </is>
      </c>
      <c r="D358" s="2" t="inlineStr">
        <is>
          <t>ZCO12001</t>
        </is>
      </c>
      <c r="E358" s="3" t="inlineStr">
        <is>
          <t>Matched Brackets</t>
        </is>
      </c>
      <c r="F358" s="9" t="inlineStr">
        <is>
          <t>Easy-Medium</t>
        </is>
      </c>
      <c r="G358" s="3" t="inlineStr">
        <is>
          <t>stack, nesting depth &amp; maximum length</t>
        </is>
      </c>
      <c r="H358" s="2" t="n">
        <v>40</v>
      </c>
      <c r="I358" s="2" t="n">
        <v>35</v>
      </c>
      <c r="J358" s="5" t="inlineStr">
        <is>
          <t>https://www.codechef.com/problems/ZCO12001</t>
        </is>
      </c>
      <c r="K358" s="3" t="inlineStr"/>
      <c r="L358" s="2" t="inlineStr">
        <is>
          <t>codechef</t>
        </is>
      </c>
    </row>
    <row r="359" ht="20" customHeight="1">
      <c r="A359" s="6" t="inlineStr">
        <is>
          <t>Unsolved</t>
        </is>
      </c>
      <c r="B359" s="7" t="inlineStr">
        <is>
          <t>KINGDOM 10 — THE KINGDOM OF STACK &amp; MONOTONIC STACK</t>
        </is>
      </c>
      <c r="C359" s="7" t="inlineStr">
        <is>
          <t>Pattern 10.2 — Parentheses</t>
        </is>
      </c>
      <c r="D359" s="6" t="inlineStr">
        <is>
          <t>MATCHING</t>
        </is>
      </c>
      <c r="E359" s="7" t="inlineStr">
        <is>
          <t>Matching Brackets II</t>
        </is>
      </c>
      <c r="F359" s="9" t="inlineStr">
        <is>
          <t>Medium</t>
        </is>
      </c>
      <c r="G359" s="7" t="inlineStr">
        <is>
          <t>stack, multi-bracket validation</t>
        </is>
      </c>
      <c r="H359" s="6" t="n">
        <v>60</v>
      </c>
      <c r="I359" s="6" t="n">
        <v>55</v>
      </c>
      <c r="J359" s="8" t="inlineStr">
        <is>
          <t>https://www.codechef.com/problems/MATCHING</t>
        </is>
      </c>
      <c r="K359" s="7" t="inlineStr"/>
      <c r="L359" s="6" t="inlineStr">
        <is>
          <t>codechef</t>
        </is>
      </c>
    </row>
    <row r="360" ht="20" customHeight="1">
      <c r="A360" s="2" t="inlineStr">
        <is>
          <t>Unsolved</t>
        </is>
      </c>
      <c r="B360" s="3" t="inlineStr">
        <is>
          <t>KINGDOM 10 — THE KINGDOM OF STACK &amp; MONOTONIC STACK</t>
        </is>
      </c>
      <c r="C360" s="3" t="inlineStr">
        <is>
          <t>Pattern 10.2 — Parentheses</t>
        </is>
      </c>
      <c r="D360" s="2" t="inlineStr">
        <is>
          <t>BRACKETS</t>
        </is>
      </c>
      <c r="E360" s="3" t="inlineStr">
        <is>
          <t>Brackets Score Sum</t>
        </is>
      </c>
      <c r="F360" s="4" t="inlineStr">
        <is>
          <t>Easy</t>
        </is>
      </c>
      <c r="G360" s="3" t="inlineStr">
        <is>
          <t>stack, balanced check</t>
        </is>
      </c>
      <c r="H360" s="2" t="n">
        <v>25</v>
      </c>
      <c r="I360" s="2" t="n">
        <v>20</v>
      </c>
      <c r="J360" s="5" t="inlineStr">
        <is>
          <t>https://www.codechef.com/problems/BRACKETS</t>
        </is>
      </c>
      <c r="K360" s="3" t="inlineStr"/>
      <c r="L360" s="2" t="inlineStr">
        <is>
          <t>codechef</t>
        </is>
      </c>
    </row>
    <row r="361" ht="20" customHeight="1">
      <c r="A361" s="6" t="inlineStr">
        <is>
          <t>Unsolved</t>
        </is>
      </c>
      <c r="B361" s="7" t="inlineStr">
        <is>
          <t>KINGDOM 10 — THE KINGDOM OF STACK &amp; MONOTONIC STACK</t>
        </is>
      </c>
      <c r="C361" s="7" t="inlineStr">
        <is>
          <t>Pattern 10.2 — Parentheses</t>
        </is>
      </c>
      <c r="D361" s="6" t="inlineStr">
        <is>
          <t>PAR101</t>
        </is>
      </c>
      <c r="E361" s="7" t="inlineStr">
        <is>
          <t>Longest Valid Parentheses Substring</t>
        </is>
      </c>
      <c r="F361" s="10" t="inlineStr">
        <is>
          <t>Hard</t>
        </is>
      </c>
      <c r="G361" s="7" t="inlineStr">
        <is>
          <t>stack / DP</t>
        </is>
      </c>
      <c r="H361" s="6" t="n">
        <v>120</v>
      </c>
      <c r="I361" s="6" t="n">
        <v>120</v>
      </c>
      <c r="J361" s="8" t="inlineStr">
        <is>
          <t>https://www.codechef.com/problems/PAR101</t>
        </is>
      </c>
      <c r="K361" s="7" t="inlineStr"/>
      <c r="L361" s="6" t="inlineStr">
        <is>
          <t>codechef</t>
        </is>
      </c>
    </row>
    <row r="362" ht="20" customHeight="1">
      <c r="A362" s="2" t="inlineStr">
        <is>
          <t>Unsolved</t>
        </is>
      </c>
      <c r="B362" s="3" t="inlineStr">
        <is>
          <t>KINGDOM 10 — THE KINGDOM OF STACK &amp; MONOTONIC STACK</t>
        </is>
      </c>
      <c r="C362" s="3" t="inlineStr">
        <is>
          <t>Pattern 10.2 — Parentheses</t>
        </is>
      </c>
      <c r="D362" s="2" t="inlineStr">
        <is>
          <t>PAR102</t>
        </is>
      </c>
      <c r="E362" s="3" t="inlineStr">
        <is>
          <t>Score of Parentheses</t>
        </is>
      </c>
      <c r="F362" s="9" t="inlineStr">
        <is>
          <t>Medium</t>
        </is>
      </c>
      <c r="G362" s="3" t="inlineStr">
        <is>
          <t>stack arithmetic</t>
        </is>
      </c>
      <c r="H362" s="2" t="n">
        <v>60</v>
      </c>
      <c r="I362" s="2" t="n">
        <v>55</v>
      </c>
      <c r="J362" s="5" t="inlineStr">
        <is>
          <t>https://www.codechef.com/problems/PAR102</t>
        </is>
      </c>
      <c r="K362" s="3" t="inlineStr"/>
      <c r="L362" s="2" t="inlineStr">
        <is>
          <t>codechef</t>
        </is>
      </c>
    </row>
    <row r="363" ht="20" customHeight="1">
      <c r="A363" s="6" t="inlineStr">
        <is>
          <t>Unsolved</t>
        </is>
      </c>
      <c r="B363" s="7" t="inlineStr">
        <is>
          <t>KINGDOM 10 — THE KINGDOM OF STACK &amp; MONOTONIC STACK</t>
        </is>
      </c>
      <c r="C363" s="7" t="inlineStr">
        <is>
          <t>Pattern 10.2 — Parentheses</t>
        </is>
      </c>
      <c r="D363" s="6" t="inlineStr">
        <is>
          <t>PAR103</t>
        </is>
      </c>
      <c r="E363" s="7" t="inlineStr">
        <is>
          <t>Minimum Add to Make Parentheses Valid</t>
        </is>
      </c>
      <c r="F363" s="9" t="inlineStr">
        <is>
          <t>Medium</t>
        </is>
      </c>
      <c r="G363" s="7" t="inlineStr">
        <is>
          <t>stack balance</t>
        </is>
      </c>
      <c r="H363" s="6" t="n">
        <v>60</v>
      </c>
      <c r="I363" s="6" t="n">
        <v>55</v>
      </c>
      <c r="J363" s="8" t="inlineStr">
        <is>
          <t>https://www.codechef.com/problems/PAR103</t>
        </is>
      </c>
      <c r="K363" s="7" t="inlineStr"/>
      <c r="L363" s="6" t="inlineStr">
        <is>
          <t>codechef</t>
        </is>
      </c>
    </row>
    <row r="364" ht="20" customHeight="1">
      <c r="A364" s="2" t="inlineStr">
        <is>
          <t>Unsolved</t>
        </is>
      </c>
      <c r="B364" s="3" t="inlineStr">
        <is>
          <t>KINGDOM 10 — THE KINGDOM OF STACK &amp; MONOTONIC STACK</t>
        </is>
      </c>
      <c r="C364" s="3" t="inlineStr">
        <is>
          <t>Pattern 10.2 — Parentheses</t>
        </is>
      </c>
      <c r="D364" s="2" t="inlineStr">
        <is>
          <t>PAR104</t>
        </is>
      </c>
      <c r="E364" s="3" t="inlineStr">
        <is>
          <t>Check if Word Is Valid After Substitutions</t>
        </is>
      </c>
      <c r="F364" s="9" t="inlineStr">
        <is>
          <t>Medium</t>
        </is>
      </c>
      <c r="G364" s="3" t="inlineStr">
        <is>
          <t>stack pattern elimination</t>
        </is>
      </c>
      <c r="H364" s="2" t="n">
        <v>60</v>
      </c>
      <c r="I364" s="2" t="n">
        <v>55</v>
      </c>
      <c r="J364" s="5" t="inlineStr">
        <is>
          <t>https://www.codechef.com/problems/PAR104</t>
        </is>
      </c>
      <c r="K364" s="3" t="inlineStr"/>
      <c r="L364" s="2" t="inlineStr">
        <is>
          <t>codechef</t>
        </is>
      </c>
    </row>
    <row r="365" ht="20" customHeight="1">
      <c r="A365" s="6" t="inlineStr">
        <is>
          <t>Unsolved</t>
        </is>
      </c>
      <c r="B365" s="7" t="inlineStr">
        <is>
          <t>KINGDOM 10 — THE KINGDOM OF STACK &amp; MONOTONIC STACK</t>
        </is>
      </c>
      <c r="C365" s="7" t="inlineStr">
        <is>
          <t>Pattern 10.3 — Monotonic Stack</t>
        </is>
      </c>
      <c r="D365" s="6" t="inlineStr">
        <is>
          <t>ZCO14002</t>
        </is>
      </c>
      <c r="E365" s="7" t="inlineStr">
        <is>
          <t>SUPW Workout Minimum Cost</t>
        </is>
      </c>
      <c r="F365" s="9" t="inlineStr">
        <is>
          <t>Medium</t>
        </is>
      </c>
      <c r="G365" s="7" t="inlineStr">
        <is>
          <t>monotonic stack, DP min window</t>
        </is>
      </c>
      <c r="H365" s="6" t="n">
        <v>60</v>
      </c>
      <c r="I365" s="6" t="n">
        <v>55</v>
      </c>
      <c r="J365" s="8" t="inlineStr">
        <is>
          <t>https://www.codechef.com/problems/ZCO14002</t>
        </is>
      </c>
      <c r="K365" s="7" t="inlineStr"/>
      <c r="L365" s="6" t="inlineStr">
        <is>
          <t>codechef</t>
        </is>
      </c>
    </row>
    <row r="366" ht="20" customHeight="1">
      <c r="A366" s="2" t="inlineStr">
        <is>
          <t>Unsolved</t>
        </is>
      </c>
      <c r="B366" s="3" t="inlineStr">
        <is>
          <t>KINGDOM 10 — THE KINGDOM OF STACK &amp; MONOTONIC STACK</t>
        </is>
      </c>
      <c r="C366" s="3" t="inlineStr">
        <is>
          <t>Pattern 10.3 — Monotonic Stack</t>
        </is>
      </c>
      <c r="D366" s="2" t="inlineStr">
        <is>
          <t>INOI1301</t>
        </is>
      </c>
      <c r="E366" s="3" t="inlineStr">
        <is>
          <t>Calvins Game</t>
        </is>
      </c>
      <c r="F366" s="10" t="inlineStr">
        <is>
          <t>Medium-Hard</t>
        </is>
      </c>
      <c r="G366" s="3" t="inlineStr">
        <is>
          <t>monotonic stack, forward backward DP</t>
        </is>
      </c>
      <c r="H366" s="2" t="n">
        <v>90</v>
      </c>
      <c r="I366" s="2" t="n">
        <v>80</v>
      </c>
      <c r="J366" s="5" t="inlineStr">
        <is>
          <t>https://www.codechef.com/problems/INOI1301</t>
        </is>
      </c>
      <c r="K366" s="3" t="inlineStr"/>
      <c r="L366" s="2" t="inlineStr">
        <is>
          <t>codechef</t>
        </is>
      </c>
    </row>
    <row r="367" ht="20" customHeight="1">
      <c r="A367" s="6" t="inlineStr">
        <is>
          <t>Unsolved</t>
        </is>
      </c>
      <c r="B367" s="7" t="inlineStr">
        <is>
          <t>KINGDOM 10 — THE KINGDOM OF STACK &amp; MONOTONIC STACK</t>
        </is>
      </c>
      <c r="C367" s="7" t="inlineStr">
        <is>
          <t>Pattern 10.3 — Monotonic Stack</t>
        </is>
      </c>
      <c r="D367" s="6" t="inlineStr">
        <is>
          <t>MAXRECT</t>
        </is>
      </c>
      <c r="E367" s="7" t="inlineStr">
        <is>
          <t>Largest Rectangle in Histogram</t>
        </is>
      </c>
      <c r="F367" s="10" t="inlineStr">
        <is>
          <t>Hard</t>
        </is>
      </c>
      <c r="G367" s="7" t="inlineStr">
        <is>
          <t>monotonic stack</t>
        </is>
      </c>
      <c r="H367" s="6" t="n">
        <v>120</v>
      </c>
      <c r="I367" s="6" t="n">
        <v>120</v>
      </c>
      <c r="J367" s="8" t="inlineStr">
        <is>
          <t>https://www.codechef.com/problems/MAXRECT</t>
        </is>
      </c>
      <c r="K367" s="7" t="inlineStr"/>
      <c r="L367" s="6" t="inlineStr">
        <is>
          <t>codechef</t>
        </is>
      </c>
    </row>
    <row r="368" ht="20" customHeight="1">
      <c r="A368" s="2" t="inlineStr">
        <is>
          <t>Unsolved</t>
        </is>
      </c>
      <c r="B368" s="3" t="inlineStr">
        <is>
          <t>KINGDOM 10 — THE KINGDOM OF STACK &amp; MONOTONIC STACK</t>
        </is>
      </c>
      <c r="C368" s="3" t="inlineStr">
        <is>
          <t>Pattern 10.3 — Monotonic Stack</t>
        </is>
      </c>
      <c r="D368" s="2" t="inlineStr">
        <is>
          <t>HISTOG</t>
        </is>
      </c>
      <c r="E368" s="3" t="inlineStr">
        <is>
          <t>Max Histogram Area</t>
        </is>
      </c>
      <c r="F368" s="10" t="inlineStr">
        <is>
          <t>Hard</t>
        </is>
      </c>
      <c r="G368" s="3" t="inlineStr">
        <is>
          <t>monotonic stack</t>
        </is>
      </c>
      <c r="H368" s="2" t="n">
        <v>120</v>
      </c>
      <c r="I368" s="2" t="n">
        <v>120</v>
      </c>
      <c r="J368" s="5" t="inlineStr">
        <is>
          <t>https://www.codechef.com/problems/HISTOG</t>
        </is>
      </c>
      <c r="K368" s="3" t="inlineStr"/>
      <c r="L368" s="2" t="inlineStr">
        <is>
          <t>codechef</t>
        </is>
      </c>
    </row>
    <row r="369" ht="20" customHeight="1">
      <c r="A369" s="6" t="inlineStr">
        <is>
          <t>Unsolved</t>
        </is>
      </c>
      <c r="B369" s="7" t="inlineStr">
        <is>
          <t>KINGDOM 10 — THE KINGDOM OF STACK &amp; MONOTONIC STACK</t>
        </is>
      </c>
      <c r="C369" s="7" t="inlineStr">
        <is>
          <t>Pattern 10.3 — Monotonic Stack</t>
        </is>
      </c>
      <c r="D369" s="6" t="inlineStr">
        <is>
          <t>MONOSTACK1</t>
        </is>
      </c>
      <c r="E369" s="7" t="inlineStr">
        <is>
          <t>Next Greater Element I</t>
        </is>
      </c>
      <c r="F369" s="4" t="inlineStr">
        <is>
          <t>Easy</t>
        </is>
      </c>
      <c r="G369" s="7" t="inlineStr">
        <is>
          <t>monotonic stack</t>
        </is>
      </c>
      <c r="H369" s="6" t="n">
        <v>25</v>
      </c>
      <c r="I369" s="6" t="n">
        <v>20</v>
      </c>
      <c r="J369" s="8" t="inlineStr">
        <is>
          <t>https://www.codechef.com/problems/MONOSTACK1</t>
        </is>
      </c>
      <c r="K369" s="7" t="inlineStr"/>
      <c r="L369" s="6" t="inlineStr">
        <is>
          <t>codechef</t>
        </is>
      </c>
    </row>
    <row r="370" ht="20" customHeight="1">
      <c r="A370" s="2" t="inlineStr">
        <is>
          <t>Unsolved</t>
        </is>
      </c>
      <c r="B370" s="3" t="inlineStr">
        <is>
          <t>KINGDOM 10 — THE KINGDOM OF STACK &amp; MONOTONIC STACK</t>
        </is>
      </c>
      <c r="C370" s="3" t="inlineStr">
        <is>
          <t>Pattern 10.3 — Monotonic Stack</t>
        </is>
      </c>
      <c r="D370" s="2" t="inlineStr">
        <is>
          <t>MONOSTACK2</t>
        </is>
      </c>
      <c r="E370" s="3" t="inlineStr">
        <is>
          <t>Next Greater Element II Circular</t>
        </is>
      </c>
      <c r="F370" s="9" t="inlineStr">
        <is>
          <t>Medium</t>
        </is>
      </c>
      <c r="G370" s="3" t="inlineStr">
        <is>
          <t>monotonic stack</t>
        </is>
      </c>
      <c r="H370" s="2" t="n">
        <v>60</v>
      </c>
      <c r="I370" s="2" t="n">
        <v>55</v>
      </c>
      <c r="J370" s="5" t="inlineStr">
        <is>
          <t>https://www.codechef.com/problems/MONOSTACK2</t>
        </is>
      </c>
      <c r="K370" s="3" t="inlineStr"/>
      <c r="L370" s="2" t="inlineStr">
        <is>
          <t>codechef</t>
        </is>
      </c>
    </row>
    <row r="371" ht="20" customHeight="1">
      <c r="A371" s="6" t="inlineStr">
        <is>
          <t>Unsolved</t>
        </is>
      </c>
      <c r="B371" s="7" t="inlineStr">
        <is>
          <t>KINGDOM 10 — THE KINGDOM OF STACK &amp; MONOTONIC STACK</t>
        </is>
      </c>
      <c r="C371" s="7" t="inlineStr">
        <is>
          <t>Pattern 10.3 — Monotonic Stack</t>
        </is>
      </c>
      <c r="D371" s="6" t="inlineStr">
        <is>
          <t>MONOSTACK3</t>
        </is>
      </c>
      <c r="E371" s="7" t="inlineStr">
        <is>
          <t>Daily Temperatures Span</t>
        </is>
      </c>
      <c r="F371" s="9" t="inlineStr">
        <is>
          <t>Medium</t>
        </is>
      </c>
      <c r="G371" s="7" t="inlineStr">
        <is>
          <t>monotonic stack</t>
        </is>
      </c>
      <c r="H371" s="6" t="n">
        <v>60</v>
      </c>
      <c r="I371" s="6" t="n">
        <v>55</v>
      </c>
      <c r="J371" s="8" t="inlineStr">
        <is>
          <t>https://www.codechef.com/problems/MONOSTACK3</t>
        </is>
      </c>
      <c r="K371" s="7" t="inlineStr"/>
      <c r="L371" s="6" t="inlineStr">
        <is>
          <t>codechef</t>
        </is>
      </c>
    </row>
    <row r="372" ht="20" customHeight="1">
      <c r="A372" s="2" t="inlineStr">
        <is>
          <t>Unsolved</t>
        </is>
      </c>
      <c r="B372" s="3" t="inlineStr">
        <is>
          <t>KINGDOM 10 — THE KINGDOM OF STACK &amp; MONOTONIC STACK</t>
        </is>
      </c>
      <c r="C372" s="3" t="inlineStr">
        <is>
          <t>Pattern 10.3 — Monotonic Stack</t>
        </is>
      </c>
      <c r="D372" s="2" t="inlineStr">
        <is>
          <t>MONOSTACK4</t>
        </is>
      </c>
      <c r="E372" s="3" t="inlineStr">
        <is>
          <t>Online Stock Span</t>
        </is>
      </c>
      <c r="F372" s="9" t="inlineStr">
        <is>
          <t>Medium</t>
        </is>
      </c>
      <c r="G372" s="3" t="inlineStr">
        <is>
          <t>monotonic stack</t>
        </is>
      </c>
      <c r="H372" s="2" t="n">
        <v>60</v>
      </c>
      <c r="I372" s="2" t="n">
        <v>55</v>
      </c>
      <c r="J372" s="5" t="inlineStr">
        <is>
          <t>https://www.codechef.com/problems/MONOSTACK4</t>
        </is>
      </c>
      <c r="K372" s="3" t="inlineStr"/>
      <c r="L372" s="2" t="inlineStr">
        <is>
          <t>codechef</t>
        </is>
      </c>
    </row>
    <row r="373" ht="20" customHeight="1">
      <c r="A373" s="6" t="inlineStr">
        <is>
          <t>Unsolved</t>
        </is>
      </c>
      <c r="B373" s="7" t="inlineStr">
        <is>
          <t>KINGDOM 10 — THE KINGDOM OF STACK &amp; MONOTONIC STACK</t>
        </is>
      </c>
      <c r="C373" s="7" t="inlineStr">
        <is>
          <t>Pattern 10.3 — Monotonic Stack</t>
        </is>
      </c>
      <c r="D373" s="6" t="inlineStr">
        <is>
          <t>MONOSTACK5</t>
        </is>
      </c>
      <c r="E373" s="7" t="inlineStr">
        <is>
          <t>Maximal Rectangle 2D Binary Matrix</t>
        </is>
      </c>
      <c r="F373" s="10" t="inlineStr">
        <is>
          <t>Hard</t>
        </is>
      </c>
      <c r="G373" s="7" t="inlineStr">
        <is>
          <t>monotonic stack</t>
        </is>
      </c>
      <c r="H373" s="6" t="n">
        <v>120</v>
      </c>
      <c r="I373" s="6" t="n">
        <v>120</v>
      </c>
      <c r="J373" s="8" t="inlineStr">
        <is>
          <t>https://www.codechef.com/problems/MONOSTACK5</t>
        </is>
      </c>
      <c r="K373" s="7" t="inlineStr"/>
      <c r="L373" s="6" t="inlineStr">
        <is>
          <t>codechef</t>
        </is>
      </c>
    </row>
    <row r="374" ht="20" customHeight="1">
      <c r="A374" s="2" t="inlineStr">
        <is>
          <t>Unsolved</t>
        </is>
      </c>
      <c r="B374" s="3" t="inlineStr">
        <is>
          <t>KINGDOM 10 — THE KINGDOM OF STACK &amp; MONOTONIC STACK</t>
        </is>
      </c>
      <c r="C374" s="3" t="inlineStr">
        <is>
          <t>Pattern 10.3 — Monotonic Stack</t>
        </is>
      </c>
      <c r="D374" s="2" t="inlineStr">
        <is>
          <t>MONOSTACK6</t>
        </is>
      </c>
      <c r="E374" s="3" t="inlineStr">
        <is>
          <t>Sum of Subarray Minimums</t>
        </is>
      </c>
      <c r="F374" s="10" t="inlineStr">
        <is>
          <t>Medium-Hard</t>
        </is>
      </c>
      <c r="G374" s="3" t="inlineStr">
        <is>
          <t>monotonic stack contribution</t>
        </is>
      </c>
      <c r="H374" s="2" t="n">
        <v>90</v>
      </c>
      <c r="I374" s="2" t="n">
        <v>80</v>
      </c>
      <c r="J374" s="5" t="inlineStr">
        <is>
          <t>https://www.codechef.com/problems/MONOSTACK6</t>
        </is>
      </c>
      <c r="K374" s="3" t="inlineStr"/>
      <c r="L374" s="2" t="inlineStr">
        <is>
          <t>codechef</t>
        </is>
      </c>
    </row>
    <row r="375" ht="20" customHeight="1">
      <c r="A375" s="6" t="inlineStr">
        <is>
          <t>Unsolved</t>
        </is>
      </c>
      <c r="B375" s="7" t="inlineStr">
        <is>
          <t>KINGDOM 10 — THE KINGDOM OF STACK &amp; MONOTONIC STACK</t>
        </is>
      </c>
      <c r="C375" s="7" t="inlineStr">
        <is>
          <t>Pattern 10.3 — Monotonic Stack</t>
        </is>
      </c>
      <c r="D375" s="6" t="inlineStr">
        <is>
          <t>MONOSTACK7</t>
        </is>
      </c>
      <c r="E375" s="7" t="inlineStr">
        <is>
          <t>Sum of Subarray Ranges</t>
        </is>
      </c>
      <c r="F375" s="10" t="inlineStr">
        <is>
          <t>Medium-Hard</t>
        </is>
      </c>
      <c r="G375" s="7" t="inlineStr">
        <is>
          <t>monotonic stack min max</t>
        </is>
      </c>
      <c r="H375" s="6" t="n">
        <v>90</v>
      </c>
      <c r="I375" s="6" t="n">
        <v>80</v>
      </c>
      <c r="J375" s="8" t="inlineStr">
        <is>
          <t>https://www.codechef.com/problems/MONOSTACK7</t>
        </is>
      </c>
      <c r="K375" s="7" t="inlineStr"/>
      <c r="L375" s="6" t="inlineStr">
        <is>
          <t>codechef</t>
        </is>
      </c>
    </row>
    <row r="376" ht="20" customHeight="1">
      <c r="A376" s="2" t="inlineStr">
        <is>
          <t>Unsolved</t>
        </is>
      </c>
      <c r="B376" s="3" t="inlineStr">
        <is>
          <t>KINGDOM 10 — THE KINGDOM OF STACK &amp; MONOTONIC STACK</t>
        </is>
      </c>
      <c r="C376" s="3" t="inlineStr">
        <is>
          <t>Pattern 10.3 — Monotonic Stack</t>
        </is>
      </c>
      <c r="D376" s="2" t="inlineStr">
        <is>
          <t>MONOSTACK8</t>
        </is>
      </c>
      <c r="E376" s="3" t="inlineStr">
        <is>
          <t>Number of Visible People in a Queue</t>
        </is>
      </c>
      <c r="F376" s="10" t="inlineStr">
        <is>
          <t>Hard</t>
        </is>
      </c>
      <c r="G376" s="3" t="inlineStr">
        <is>
          <t>monotonic stack</t>
        </is>
      </c>
      <c r="H376" s="2" t="n">
        <v>120</v>
      </c>
      <c r="I376" s="2" t="n">
        <v>120</v>
      </c>
      <c r="J376" s="5" t="inlineStr">
        <is>
          <t>https://www.codechef.com/problems/MONOSTACK8</t>
        </is>
      </c>
      <c r="K376" s="3" t="inlineStr"/>
      <c r="L376" s="2" t="inlineStr">
        <is>
          <t>codechef</t>
        </is>
      </c>
    </row>
    <row r="377" ht="20" customHeight="1">
      <c r="A377" s="6" t="inlineStr">
        <is>
          <t>Unsolved</t>
        </is>
      </c>
      <c r="B377" s="7" t="inlineStr">
        <is>
          <t>KINGDOM 10 — THE KINGDOM OF STACK &amp; MONOTONIC STACK</t>
        </is>
      </c>
      <c r="C377" s="7" t="inlineStr">
        <is>
          <t>Pattern 10.5 — Stack + Greedy</t>
        </is>
      </c>
      <c r="D377" s="6" t="inlineStr">
        <is>
          <t>STKGREEDY</t>
        </is>
      </c>
      <c r="E377" s="7" t="inlineStr">
        <is>
          <t>Remove Duplicate Letters Monotonic Stack</t>
        </is>
      </c>
      <c r="F377" s="10" t="inlineStr">
        <is>
          <t>Medium-Hard</t>
        </is>
      </c>
      <c r="G377" s="7" t="inlineStr">
        <is>
          <t>stack greedy</t>
        </is>
      </c>
      <c r="H377" s="6" t="n">
        <v>90</v>
      </c>
      <c r="I377" s="6" t="n">
        <v>80</v>
      </c>
      <c r="J377" s="8" t="inlineStr">
        <is>
          <t>https://www.codechef.com/problems/STKGREEDY</t>
        </is>
      </c>
      <c r="K377" s="7" t="inlineStr"/>
      <c r="L377" s="6" t="inlineStr">
        <is>
          <t>codechef</t>
        </is>
      </c>
    </row>
    <row r="378" ht="20" customHeight="1">
      <c r="A378" s="2" t="inlineStr">
        <is>
          <t>Unsolved</t>
        </is>
      </c>
      <c r="B378" s="3" t="inlineStr">
        <is>
          <t>KINGDOM 10 — THE KINGDOM OF STACK &amp; MONOTONIC STACK</t>
        </is>
      </c>
      <c r="C378" s="3" t="inlineStr">
        <is>
          <t>Pattern 10.5 — Stack + Greedy</t>
        </is>
      </c>
      <c r="D378" s="2" t="inlineStr">
        <is>
          <t>EVALEXPR</t>
        </is>
      </c>
      <c r="E378" s="3" t="inlineStr">
        <is>
          <t>Evaluate Mathematical Expression Stack</t>
        </is>
      </c>
      <c r="F378" s="9" t="inlineStr">
        <is>
          <t>Medium</t>
        </is>
      </c>
      <c r="G378" s="3" t="inlineStr">
        <is>
          <t>stack greedy operator</t>
        </is>
      </c>
      <c r="H378" s="2" t="n">
        <v>60</v>
      </c>
      <c r="I378" s="2" t="n">
        <v>55</v>
      </c>
      <c r="J378" s="5" t="inlineStr">
        <is>
          <t>https://www.codechef.com/problems/EVALEXPR</t>
        </is>
      </c>
      <c r="K378" s="3" t="inlineStr"/>
      <c r="L378" s="2" t="inlineStr">
        <is>
          <t>codechef</t>
        </is>
      </c>
    </row>
    <row r="379" ht="20" customHeight="1">
      <c r="A379" s="6" t="inlineStr">
        <is>
          <t>Unsolved</t>
        </is>
      </c>
      <c r="B379" s="7" t="inlineStr">
        <is>
          <t>KINGDOM 10 — THE KINGDOM OF STACK &amp; MONOTONIC STACK</t>
        </is>
      </c>
      <c r="C379" s="7" t="inlineStr">
        <is>
          <t>Pattern 10.5 — Stack + Greedy</t>
        </is>
      </c>
      <c r="D379" s="6" t="inlineStr">
        <is>
          <t>STKGREE1</t>
        </is>
      </c>
      <c r="E379" s="7" t="inlineStr">
        <is>
          <t>Smallest Subsequence Distinct Monotonic</t>
        </is>
      </c>
      <c r="F379" s="10" t="inlineStr">
        <is>
          <t>Medium-Hard</t>
        </is>
      </c>
      <c r="G379" s="7" t="inlineStr">
        <is>
          <t>stack greedy</t>
        </is>
      </c>
      <c r="H379" s="6" t="n">
        <v>90</v>
      </c>
      <c r="I379" s="6" t="n">
        <v>80</v>
      </c>
      <c r="J379" s="8" t="inlineStr">
        <is>
          <t>https://www.codechef.com/problems/STKGREE1</t>
        </is>
      </c>
      <c r="K379" s="7" t="inlineStr"/>
      <c r="L379" s="6" t="inlineStr">
        <is>
          <t>codechef</t>
        </is>
      </c>
    </row>
    <row r="380" ht="20" customHeight="1">
      <c r="A380" s="2" t="inlineStr">
        <is>
          <t>Unsolved</t>
        </is>
      </c>
      <c r="B380" s="3" t="inlineStr">
        <is>
          <t>KINGDOM 10 — THE KINGDOM OF STACK &amp; MONOTONIC STACK</t>
        </is>
      </c>
      <c r="C380" s="3" t="inlineStr">
        <is>
          <t>Pattern 10.5 — Stack + Greedy</t>
        </is>
      </c>
      <c r="D380" s="2" t="inlineStr">
        <is>
          <t>STKGREE2</t>
        </is>
      </c>
      <c r="E380" s="3" t="inlineStr">
        <is>
          <t>132 Pattern Search Monotonic Stack</t>
        </is>
      </c>
      <c r="F380" s="10" t="inlineStr">
        <is>
          <t>Medium-Hard</t>
        </is>
      </c>
      <c r="G380" s="3" t="inlineStr">
        <is>
          <t>monotonic stack</t>
        </is>
      </c>
      <c r="H380" s="2" t="n">
        <v>90</v>
      </c>
      <c r="I380" s="2" t="n">
        <v>80</v>
      </c>
      <c r="J380" s="5" t="inlineStr">
        <is>
          <t>https://www.codechef.com/problems/STKGREE2</t>
        </is>
      </c>
      <c r="K380" s="3" t="inlineStr"/>
      <c r="L380" s="2" t="inlineStr">
        <is>
          <t>codechef</t>
        </is>
      </c>
    </row>
    <row r="381" ht="20" customHeight="1">
      <c r="A381" s="6" t="inlineStr">
        <is>
          <t>Unsolved</t>
        </is>
      </c>
      <c r="B381" s="7" t="inlineStr">
        <is>
          <t>KINGDOM 10 — THE KINGDOM OF STACK &amp; MONOTONIC STACK</t>
        </is>
      </c>
      <c r="C381" s="7" t="inlineStr">
        <is>
          <t>Pattern 10.5 — Stack + Greedy</t>
        </is>
      </c>
      <c r="D381" s="6" t="inlineStr">
        <is>
          <t>STKGREE3</t>
        </is>
      </c>
      <c r="E381" s="7" t="inlineStr">
        <is>
          <t>Maximum Width Ramp Monotonic Stack</t>
        </is>
      </c>
      <c r="F381" s="10" t="inlineStr">
        <is>
          <t>Medium-Hard</t>
        </is>
      </c>
      <c r="G381" s="7" t="inlineStr">
        <is>
          <t>monotonic stack index</t>
        </is>
      </c>
      <c r="H381" s="6" t="n">
        <v>90</v>
      </c>
      <c r="I381" s="6" t="n">
        <v>80</v>
      </c>
      <c r="J381" s="8" t="inlineStr">
        <is>
          <t>https://www.codechef.com/problems/STKGREE3</t>
        </is>
      </c>
      <c r="K381" s="7" t="inlineStr"/>
      <c r="L381" s="6" t="inlineStr">
        <is>
          <t>codechef</t>
        </is>
      </c>
    </row>
    <row r="382" ht="20" customHeight="1">
      <c r="A382" s="2" t="inlineStr">
        <is>
          <t>Unsolved</t>
        </is>
      </c>
      <c r="B382" s="3" t="inlineStr">
        <is>
          <t>KINGDOM 10 — THE KINGDOM OF STACK &amp; MONOTONIC STACK</t>
        </is>
      </c>
      <c r="C382" s="3" t="inlineStr">
        <is>
          <t>Pattern 10.5 — Stack + Greedy</t>
        </is>
      </c>
      <c r="D382" s="2" t="inlineStr">
        <is>
          <t>STKGREE4</t>
        </is>
      </c>
      <c r="E382" s="3" t="inlineStr">
        <is>
          <t>Car Fleet Target Destination</t>
        </is>
      </c>
      <c r="F382" s="9" t="inlineStr">
        <is>
          <t>Medium</t>
        </is>
      </c>
      <c r="G382" s="3" t="inlineStr">
        <is>
          <t>greedy stack sorting</t>
        </is>
      </c>
      <c r="H382" s="2" t="n">
        <v>60</v>
      </c>
      <c r="I382" s="2" t="n">
        <v>55</v>
      </c>
      <c r="J382" s="5" t="inlineStr">
        <is>
          <t>https://www.codechef.com/problems/STKGREE4</t>
        </is>
      </c>
      <c r="K382" s="3" t="inlineStr"/>
      <c r="L382" s="2" t="inlineStr">
        <is>
          <t>codechef</t>
        </is>
      </c>
    </row>
    <row r="383" ht="20" customHeight="1">
      <c r="A383" s="6" t="inlineStr">
        <is>
          <t>Unsolved</t>
        </is>
      </c>
      <c r="B383" s="7" t="inlineStr">
        <is>
          <t>KINGDOM 10 — THE KINGDOM OF STACK &amp; MONOTONIC STACK</t>
        </is>
      </c>
      <c r="C383" s="7" t="inlineStr">
        <is>
          <t>Pattern 10.5 — Stack + Greedy</t>
        </is>
      </c>
      <c r="D383" s="6" t="inlineStr">
        <is>
          <t>STKGREE5</t>
        </is>
      </c>
      <c r="E383" s="7" t="inlineStr">
        <is>
          <t>Asteroid Collision Simulation</t>
        </is>
      </c>
      <c r="F383" s="9" t="inlineStr">
        <is>
          <t>Medium</t>
        </is>
      </c>
      <c r="G383" s="7" t="inlineStr">
        <is>
          <t>stack simulation greedy</t>
        </is>
      </c>
      <c r="H383" s="6" t="n">
        <v>60</v>
      </c>
      <c r="I383" s="6" t="n">
        <v>55</v>
      </c>
      <c r="J383" s="8" t="inlineStr">
        <is>
          <t>https://www.codechef.com/problems/STKGREE5</t>
        </is>
      </c>
      <c r="K383" s="7" t="inlineStr"/>
      <c r="L383" s="6" t="inlineStr">
        <is>
          <t>codechef</t>
        </is>
      </c>
    </row>
    <row r="384" ht="20" customHeight="1">
      <c r="A384" s="2" t="inlineStr">
        <is>
          <t>Unsolved</t>
        </is>
      </c>
      <c r="B384" s="3" t="inlineStr">
        <is>
          <t>KINGDOM 11 — THE KINGDOM OF QUEUE &amp; DEQUE</t>
        </is>
      </c>
      <c r="C384" s="3" t="inlineStr">
        <is>
          <t>Pattern 11.1 — Queue Simulation</t>
        </is>
      </c>
      <c r="D384" s="2" t="inlineStr">
        <is>
          <t>QUEUE1</t>
        </is>
      </c>
      <c r="E384" s="3" t="inlineStr">
        <is>
          <t>Implement Queue using Stacks</t>
        </is>
      </c>
      <c r="F384" s="4" t="inlineStr">
        <is>
          <t>Easy</t>
        </is>
      </c>
      <c r="G384" s="3" t="inlineStr">
        <is>
          <t>queue simulation</t>
        </is>
      </c>
      <c r="H384" s="2" t="n">
        <v>25</v>
      </c>
      <c r="I384" s="2" t="n">
        <v>20</v>
      </c>
      <c r="J384" s="5" t="inlineStr">
        <is>
          <t>https://www.codechef.com/problems/QUEUE1</t>
        </is>
      </c>
      <c r="K384" s="3" t="inlineStr"/>
      <c r="L384" s="2" t="inlineStr">
        <is>
          <t>codechef</t>
        </is>
      </c>
    </row>
    <row r="385" ht="20" customHeight="1">
      <c r="A385" s="6" t="inlineStr">
        <is>
          <t>Unsolved</t>
        </is>
      </c>
      <c r="B385" s="7" t="inlineStr">
        <is>
          <t>KINGDOM 11 — THE KINGDOM OF QUEUE &amp; DEQUE</t>
        </is>
      </c>
      <c r="C385" s="7" t="inlineStr">
        <is>
          <t>Pattern 11.1 — Queue Simulation</t>
        </is>
      </c>
      <c r="D385" s="6" t="inlineStr">
        <is>
          <t>SLIDING1</t>
        </is>
      </c>
      <c r="E385" s="7" t="inlineStr">
        <is>
          <t>Circular Queue Design</t>
        </is>
      </c>
      <c r="F385" s="9" t="inlineStr">
        <is>
          <t>Medium</t>
        </is>
      </c>
      <c r="G385" s="7" t="inlineStr">
        <is>
          <t>queue simulation array</t>
        </is>
      </c>
      <c r="H385" s="6" t="n">
        <v>60</v>
      </c>
      <c r="I385" s="6" t="n">
        <v>55</v>
      </c>
      <c r="J385" s="8" t="inlineStr">
        <is>
          <t>https://www.codechef.com/problems/SLIDING1</t>
        </is>
      </c>
      <c r="K385" s="7" t="inlineStr"/>
      <c r="L385" s="6" t="inlineStr">
        <is>
          <t>codechef</t>
        </is>
      </c>
    </row>
    <row r="386" ht="20" customHeight="1">
      <c r="A386" s="2" t="inlineStr">
        <is>
          <t>Unsolved</t>
        </is>
      </c>
      <c r="B386" s="3" t="inlineStr">
        <is>
          <t>KINGDOM 11 — THE KINGDOM OF QUEUE &amp; DEQUE</t>
        </is>
      </c>
      <c r="C386" s="3" t="inlineStr">
        <is>
          <t>Pattern 11.1 — Queue Simulation</t>
        </is>
      </c>
      <c r="D386" s="2" t="inlineStr">
        <is>
          <t>BREADTH1</t>
        </is>
      </c>
      <c r="E386" s="3" t="inlineStr">
        <is>
          <t>Recent Calls Counter Queue</t>
        </is>
      </c>
      <c r="F386" s="4" t="inlineStr">
        <is>
          <t>Easy</t>
        </is>
      </c>
      <c r="G386" s="3" t="inlineStr">
        <is>
          <t>queue simulation window</t>
        </is>
      </c>
      <c r="H386" s="2" t="n">
        <v>25</v>
      </c>
      <c r="I386" s="2" t="n">
        <v>20</v>
      </c>
      <c r="J386" s="5" t="inlineStr">
        <is>
          <t>https://www.codechef.com/problems/BREADTH1</t>
        </is>
      </c>
      <c r="K386" s="3" t="inlineStr"/>
      <c r="L386" s="2" t="inlineStr">
        <is>
          <t>codechef</t>
        </is>
      </c>
    </row>
    <row r="387" ht="20" customHeight="1">
      <c r="A387" s="6" t="inlineStr">
        <is>
          <t>Unsolved</t>
        </is>
      </c>
      <c r="B387" s="7" t="inlineStr">
        <is>
          <t>KINGDOM 11 — THE KINGDOM OF QUEUE &amp; DEQUE</t>
        </is>
      </c>
      <c r="C387" s="7" t="inlineStr">
        <is>
          <t>Pattern 11.1 — Queue Simulation</t>
        </is>
      </c>
      <c r="D387" s="6" t="inlineStr">
        <is>
          <t>QSIM101</t>
        </is>
      </c>
      <c r="E387" s="7" t="inlineStr">
        <is>
          <t>Dota2 Senate Elimination Queue</t>
        </is>
      </c>
      <c r="F387" s="9" t="inlineStr">
        <is>
          <t>Medium</t>
        </is>
      </c>
      <c r="G387" s="7" t="inlineStr">
        <is>
          <t>queue simulation greedy</t>
        </is>
      </c>
      <c r="H387" s="6" t="n">
        <v>60</v>
      </c>
      <c r="I387" s="6" t="n">
        <v>55</v>
      </c>
      <c r="J387" s="8" t="inlineStr">
        <is>
          <t>https://www.codechef.com/problems/QSIM101</t>
        </is>
      </c>
      <c r="K387" s="7" t="inlineStr"/>
      <c r="L387" s="6" t="inlineStr">
        <is>
          <t>codechef</t>
        </is>
      </c>
    </row>
    <row r="388" ht="20" customHeight="1">
      <c r="A388" s="2" t="inlineStr">
        <is>
          <t>Unsolved</t>
        </is>
      </c>
      <c r="B388" s="3" t="inlineStr">
        <is>
          <t>KINGDOM 11 — THE KINGDOM OF QUEUE &amp; DEQUE</t>
        </is>
      </c>
      <c r="C388" s="3" t="inlineStr">
        <is>
          <t>Pattern 11.1 — Queue Simulation</t>
        </is>
      </c>
      <c r="D388" s="2" t="inlineStr">
        <is>
          <t>QSIM102</t>
        </is>
      </c>
      <c r="E388" s="3" t="inlineStr">
        <is>
          <t>Task Scheduler Queue Simulation</t>
        </is>
      </c>
      <c r="F388" s="9" t="inlineStr">
        <is>
          <t>Medium</t>
        </is>
      </c>
      <c r="G388" s="3" t="inlineStr">
        <is>
          <t>queue max heap</t>
        </is>
      </c>
      <c r="H388" s="2" t="n">
        <v>60</v>
      </c>
      <c r="I388" s="2" t="n">
        <v>55</v>
      </c>
      <c r="J388" s="5" t="inlineStr">
        <is>
          <t>https://www.codechef.com/problems/QSIM102</t>
        </is>
      </c>
      <c r="K388" s="3" t="inlineStr"/>
      <c r="L388" s="2" t="inlineStr">
        <is>
          <t>codechef</t>
        </is>
      </c>
    </row>
    <row r="389" ht="20" customHeight="1">
      <c r="A389" s="6" t="inlineStr">
        <is>
          <t>Unsolved</t>
        </is>
      </c>
      <c r="B389" s="7" t="inlineStr">
        <is>
          <t>KINGDOM 11 — THE KINGDOM OF QUEUE &amp; DEQUE</t>
        </is>
      </c>
      <c r="C389" s="7" t="inlineStr">
        <is>
          <t>Pattern 11.2 — Deque</t>
        </is>
      </c>
      <c r="D389" s="6" t="inlineStr">
        <is>
          <t>DEQUE1</t>
        </is>
      </c>
      <c r="E389" s="7" t="inlineStr">
        <is>
          <t>Design Circular Deque</t>
        </is>
      </c>
      <c r="F389" s="9" t="inlineStr">
        <is>
          <t>Medium</t>
        </is>
      </c>
      <c r="G389" s="7" t="inlineStr">
        <is>
          <t>deque data structure</t>
        </is>
      </c>
      <c r="H389" s="6" t="n">
        <v>60</v>
      </c>
      <c r="I389" s="6" t="n">
        <v>55</v>
      </c>
      <c r="J389" s="8" t="inlineStr">
        <is>
          <t>https://www.codechef.com/problems/DEQUE1</t>
        </is>
      </c>
      <c r="K389" s="7" t="inlineStr"/>
      <c r="L389" s="6" t="inlineStr">
        <is>
          <t>codechef</t>
        </is>
      </c>
    </row>
    <row r="390" ht="20" customHeight="1">
      <c r="A390" s="2" t="inlineStr">
        <is>
          <t>Unsolved</t>
        </is>
      </c>
      <c r="B390" s="3" t="inlineStr">
        <is>
          <t>KINGDOM 11 — THE KINGDOM OF QUEUE &amp; DEQUE</t>
        </is>
      </c>
      <c r="C390" s="3" t="inlineStr">
        <is>
          <t>Pattern 11.2 — Deque</t>
        </is>
      </c>
      <c r="D390" s="2" t="inlineStr">
        <is>
          <t>SLIDINGMAX</t>
        </is>
      </c>
      <c r="E390" s="3" t="inlineStr">
        <is>
          <t>Sliding Window Maximum Deque</t>
        </is>
      </c>
      <c r="F390" s="10" t="inlineStr">
        <is>
          <t>Hard</t>
        </is>
      </c>
      <c r="G390" s="3" t="inlineStr">
        <is>
          <t>monotonic deque</t>
        </is>
      </c>
      <c r="H390" s="2" t="n">
        <v>120</v>
      </c>
      <c r="I390" s="2" t="n">
        <v>120</v>
      </c>
      <c r="J390" s="5" t="inlineStr">
        <is>
          <t>https://www.codechef.com/problems/SLIDINGMAX</t>
        </is>
      </c>
      <c r="K390" s="3" t="inlineStr"/>
      <c r="L390" s="2" t="inlineStr">
        <is>
          <t>codechef</t>
        </is>
      </c>
    </row>
    <row r="391" ht="20" customHeight="1">
      <c r="A391" s="6" t="inlineStr">
        <is>
          <t>Unsolved</t>
        </is>
      </c>
      <c r="B391" s="7" t="inlineStr">
        <is>
          <t>KINGDOM 11 — THE KINGDOM OF QUEUE &amp; DEQUE</t>
        </is>
      </c>
      <c r="C391" s="7" t="inlineStr">
        <is>
          <t>Pattern 11.2 — Deque</t>
        </is>
      </c>
      <c r="D391" s="6" t="inlineStr">
        <is>
          <t>MAXDEQUE</t>
        </is>
      </c>
      <c r="E391" s="7" t="inlineStr">
        <is>
          <t>Max Value Deque O(1)</t>
        </is>
      </c>
      <c r="F391" s="10" t="inlineStr">
        <is>
          <t>Medium-Hard</t>
        </is>
      </c>
      <c r="G391" s="7" t="inlineStr">
        <is>
          <t>deque max tracking</t>
        </is>
      </c>
      <c r="H391" s="6" t="n">
        <v>90</v>
      </c>
      <c r="I391" s="6" t="n">
        <v>80</v>
      </c>
      <c r="J391" s="8" t="inlineStr">
        <is>
          <t>https://www.codechef.com/problems/MAXDEQUE</t>
        </is>
      </c>
      <c r="K391" s="7" t="inlineStr"/>
      <c r="L391" s="6" t="inlineStr">
        <is>
          <t>codechef</t>
        </is>
      </c>
    </row>
    <row r="392" ht="20" customHeight="1">
      <c r="A392" s="2" t="inlineStr">
        <is>
          <t>Unsolved</t>
        </is>
      </c>
      <c r="B392" s="3" t="inlineStr">
        <is>
          <t>KINGDOM 11 — THE KINGDOM OF QUEUE &amp; DEQUE</t>
        </is>
      </c>
      <c r="C392" s="3" t="inlineStr">
        <is>
          <t>Pattern 11.2 — Deque</t>
        </is>
      </c>
      <c r="D392" s="2" t="inlineStr">
        <is>
          <t>DEQ101</t>
        </is>
      </c>
      <c r="E392" s="3" t="inlineStr">
        <is>
          <t>Shortest Subarray with Sum at Least K</t>
        </is>
      </c>
      <c r="F392" s="10" t="inlineStr">
        <is>
          <t>Hard</t>
        </is>
      </c>
      <c r="G392" s="3" t="inlineStr">
        <is>
          <t>monotonic deque prefix sum</t>
        </is>
      </c>
      <c r="H392" s="2" t="n">
        <v>120</v>
      </c>
      <c r="I392" s="2" t="n">
        <v>120</v>
      </c>
      <c r="J392" s="5" t="inlineStr">
        <is>
          <t>https://www.codechef.com/problems/DEQ101</t>
        </is>
      </c>
      <c r="K392" s="3" t="inlineStr"/>
      <c r="L392" s="2" t="inlineStr">
        <is>
          <t>codechef</t>
        </is>
      </c>
    </row>
    <row r="393" ht="20" customHeight="1">
      <c r="A393" s="6" t="inlineStr">
        <is>
          <t>Unsolved</t>
        </is>
      </c>
      <c r="B393" s="7" t="inlineStr">
        <is>
          <t>KINGDOM 11 — THE KINGDOM OF QUEUE &amp; DEQUE</t>
        </is>
      </c>
      <c r="C393" s="7" t="inlineStr">
        <is>
          <t>Pattern 11.2 — Deque</t>
        </is>
      </c>
      <c r="D393" s="6" t="inlineStr">
        <is>
          <t>DEQ102</t>
        </is>
      </c>
      <c r="E393" s="7" t="inlineStr">
        <is>
          <t>Jump Game VI Maximum Score Deque</t>
        </is>
      </c>
      <c r="F393" s="10" t="inlineStr">
        <is>
          <t>Medium-Hard</t>
        </is>
      </c>
      <c r="G393" s="7" t="inlineStr">
        <is>
          <t>deque DP</t>
        </is>
      </c>
      <c r="H393" s="6" t="n">
        <v>90</v>
      </c>
      <c r="I393" s="6" t="n">
        <v>80</v>
      </c>
      <c r="J393" s="8" t="inlineStr">
        <is>
          <t>https://www.codechef.com/problems/DEQ102</t>
        </is>
      </c>
      <c r="K393" s="7" t="inlineStr"/>
      <c r="L393" s="6" t="inlineStr">
        <is>
          <t>codechef</t>
        </is>
      </c>
    </row>
    <row r="394" ht="20" customHeight="1">
      <c r="A394" s="2" t="inlineStr">
        <is>
          <t>Unsolved</t>
        </is>
      </c>
      <c r="B394" s="3" t="inlineStr">
        <is>
          <t>KINGDOM 11 — THE KINGDOM OF QUEUE &amp; DEQUE</t>
        </is>
      </c>
      <c r="C394" s="3" t="inlineStr">
        <is>
          <t>Pattern 11.3 — Monotonic Queue</t>
        </is>
      </c>
      <c r="D394" s="2" t="inlineStr">
        <is>
          <t>SLIDINGWINDOW</t>
        </is>
      </c>
      <c r="E394" s="3" t="inlineStr">
        <is>
          <t>Constrained Subsequence Sum Monotonic Queue</t>
        </is>
      </c>
      <c r="F394" s="10" t="inlineStr">
        <is>
          <t>Hard</t>
        </is>
      </c>
      <c r="G394" s="3" t="inlineStr">
        <is>
          <t>monotonic queue DP</t>
        </is>
      </c>
      <c r="H394" s="2" t="n">
        <v>120</v>
      </c>
      <c r="I394" s="2" t="n">
        <v>120</v>
      </c>
      <c r="J394" s="5" t="inlineStr">
        <is>
          <t>https://www.codechef.com/problems/SLIDINGWINDOW</t>
        </is>
      </c>
      <c r="K394" s="3" t="inlineStr"/>
      <c r="L394" s="2" t="inlineStr">
        <is>
          <t>codechef</t>
        </is>
      </c>
    </row>
    <row r="395" ht="20" customHeight="1">
      <c r="A395" s="6" t="inlineStr">
        <is>
          <t>Unsolved</t>
        </is>
      </c>
      <c r="B395" s="7" t="inlineStr">
        <is>
          <t>KINGDOM 11 — THE KINGDOM OF QUEUE &amp; DEQUE</t>
        </is>
      </c>
      <c r="C395" s="7" t="inlineStr">
        <is>
          <t>Pattern 11.3 — Monotonic Queue</t>
        </is>
      </c>
      <c r="D395" s="6" t="inlineStr">
        <is>
          <t>MONOQUEUE</t>
        </is>
      </c>
      <c r="E395" s="7" t="inlineStr">
        <is>
          <t>Longest Continuous Subarray Absolute Diff</t>
        </is>
      </c>
      <c r="F395" s="10" t="inlineStr">
        <is>
          <t>Medium-Hard</t>
        </is>
      </c>
      <c r="G395" s="7" t="inlineStr">
        <is>
          <t>two deques monotonic queue</t>
        </is>
      </c>
      <c r="H395" s="6" t="n">
        <v>90</v>
      </c>
      <c r="I395" s="6" t="n">
        <v>80</v>
      </c>
      <c r="J395" s="8" t="inlineStr">
        <is>
          <t>https://www.codechef.com/problems/MONOQUEUE</t>
        </is>
      </c>
      <c r="K395" s="7" t="inlineStr"/>
      <c r="L395" s="6" t="inlineStr">
        <is>
          <t>codechef</t>
        </is>
      </c>
    </row>
    <row r="396" ht="20" customHeight="1">
      <c r="A396" s="2" t="inlineStr">
        <is>
          <t>Unsolved</t>
        </is>
      </c>
      <c r="B396" s="3" t="inlineStr">
        <is>
          <t>KINGDOM 11 — THE KINGDOM OF QUEUE &amp; DEQUE</t>
        </is>
      </c>
      <c r="C396" s="3" t="inlineStr">
        <is>
          <t>Pattern 11.3 — Monotonic Queue</t>
        </is>
      </c>
      <c r="D396" s="2" t="inlineStr">
        <is>
          <t>MONOQ101</t>
        </is>
      </c>
      <c r="E396" s="3" t="inlineStr">
        <is>
          <t>Delivering Boxes from Storage to Ports</t>
        </is>
      </c>
      <c r="F396" s="10" t="inlineStr">
        <is>
          <t>Hard</t>
        </is>
      </c>
      <c r="G396" s="3" t="inlineStr">
        <is>
          <t>monotonic queue DP</t>
        </is>
      </c>
      <c r="H396" s="2" t="n">
        <v>120</v>
      </c>
      <c r="I396" s="2" t="n">
        <v>120</v>
      </c>
      <c r="J396" s="5" t="inlineStr">
        <is>
          <t>https://www.codechef.com/problems/MONOQ101</t>
        </is>
      </c>
      <c r="K396" s="3" t="inlineStr"/>
      <c r="L396" s="2" t="inlineStr">
        <is>
          <t>codechef</t>
        </is>
      </c>
    </row>
    <row r="397" ht="20" customHeight="1">
      <c r="A397" s="6" t="inlineStr">
        <is>
          <t>Unsolved</t>
        </is>
      </c>
      <c r="B397" s="7" t="inlineStr">
        <is>
          <t>KINGDOM 11 — THE KINGDOM OF QUEUE &amp; DEQUE</t>
        </is>
      </c>
      <c r="C397" s="7" t="inlineStr">
        <is>
          <t>Pattern 11.3 — Monotonic Queue</t>
        </is>
      </c>
      <c r="D397" s="6" t="inlineStr">
        <is>
          <t>MONOQ102</t>
        </is>
      </c>
      <c r="E397" s="7" t="inlineStr">
        <is>
          <t>Max Value of Equation Deque</t>
        </is>
      </c>
      <c r="F397" s="10" t="inlineStr">
        <is>
          <t>Hard</t>
        </is>
      </c>
      <c r="G397" s="7" t="inlineStr">
        <is>
          <t>monotonic queue</t>
        </is>
      </c>
      <c r="H397" s="6" t="n">
        <v>120</v>
      </c>
      <c r="I397" s="6" t="n">
        <v>120</v>
      </c>
      <c r="J397" s="8" t="inlineStr">
        <is>
          <t>https://www.codechef.com/problems/MONOQ102</t>
        </is>
      </c>
      <c r="K397" s="7" t="inlineStr"/>
      <c r="L397" s="6" t="inlineStr">
        <is>
          <t>codechef</t>
        </is>
      </c>
    </row>
    <row r="398" ht="20" customHeight="1">
      <c r="A398" s="2" t="inlineStr">
        <is>
          <t>Unsolved</t>
        </is>
      </c>
      <c r="B398" s="3" t="inlineStr">
        <is>
          <t>KINGDOM 11 — THE KINGDOM OF QUEUE &amp; DEQUE</t>
        </is>
      </c>
      <c r="C398" s="3" t="inlineStr">
        <is>
          <t>Pattern 11.4 — Queue + BFS Style</t>
        </is>
      </c>
      <c r="D398" s="2" t="inlineStr">
        <is>
          <t>BFSQUEUE</t>
        </is>
      </c>
      <c r="E398" s="3" t="inlineStr">
        <is>
          <t>Walls and Gates BFS Queue</t>
        </is>
      </c>
      <c r="F398" s="9" t="inlineStr">
        <is>
          <t>Medium</t>
        </is>
      </c>
      <c r="G398" s="3" t="inlineStr">
        <is>
          <t>multi-source BFS queue</t>
        </is>
      </c>
      <c r="H398" s="2" t="n">
        <v>60</v>
      </c>
      <c r="I398" s="2" t="n">
        <v>55</v>
      </c>
      <c r="J398" s="5" t="inlineStr">
        <is>
          <t>https://www.codechef.com/problems/BFSQUEUE</t>
        </is>
      </c>
      <c r="K398" s="3" t="inlineStr"/>
      <c r="L398" s="2" t="inlineStr">
        <is>
          <t>codechef</t>
        </is>
      </c>
    </row>
    <row r="399" ht="20" customHeight="1">
      <c r="A399" s="6" t="inlineStr">
        <is>
          <t>Unsolved</t>
        </is>
      </c>
      <c r="B399" s="7" t="inlineStr">
        <is>
          <t>KINGDOM 11 — THE KINGDOM OF QUEUE &amp; DEQUE</t>
        </is>
      </c>
      <c r="C399" s="7" t="inlineStr">
        <is>
          <t>Pattern 11.4 — Queue + BFS Style</t>
        </is>
      </c>
      <c r="D399" s="6" t="inlineStr">
        <is>
          <t>SHORTQ</t>
        </is>
      </c>
      <c r="E399" s="7" t="inlineStr">
        <is>
          <t>Rotting Oranges Multi-Source BFS</t>
        </is>
      </c>
      <c r="F399" s="9" t="inlineStr">
        <is>
          <t>Medium</t>
        </is>
      </c>
      <c r="G399" s="7" t="inlineStr">
        <is>
          <t>BFS queue grid</t>
        </is>
      </c>
      <c r="H399" s="6" t="n">
        <v>60</v>
      </c>
      <c r="I399" s="6" t="n">
        <v>55</v>
      </c>
      <c r="J399" s="8" t="inlineStr">
        <is>
          <t>https://www.codechef.com/problems/SHORTQ</t>
        </is>
      </c>
      <c r="K399" s="7" t="inlineStr"/>
      <c r="L399" s="6" t="inlineStr">
        <is>
          <t>codechef</t>
        </is>
      </c>
    </row>
    <row r="400" ht="20" customHeight="1">
      <c r="A400" s="2" t="inlineStr">
        <is>
          <t>Unsolved</t>
        </is>
      </c>
      <c r="B400" s="3" t="inlineStr">
        <is>
          <t>KINGDOM 11 — THE KINGDOM OF QUEUE &amp; DEQUE</t>
        </is>
      </c>
      <c r="C400" s="3" t="inlineStr">
        <is>
          <t>Pattern 11.4 — Queue + BFS Style</t>
        </is>
      </c>
      <c r="D400" s="2" t="inlineStr">
        <is>
          <t>QBFS101</t>
        </is>
      </c>
      <c r="E400" s="3" t="inlineStr">
        <is>
          <t>Shortest Path in Binary Matrix BFS</t>
        </is>
      </c>
      <c r="F400" s="9" t="inlineStr">
        <is>
          <t>Medium</t>
        </is>
      </c>
      <c r="G400" s="3" t="inlineStr">
        <is>
          <t>BFS queue</t>
        </is>
      </c>
      <c r="H400" s="2" t="n">
        <v>60</v>
      </c>
      <c r="I400" s="2" t="n">
        <v>55</v>
      </c>
      <c r="J400" s="5" t="inlineStr">
        <is>
          <t>https://www.codechef.com/problems/QBFS101</t>
        </is>
      </c>
      <c r="K400" s="3" t="inlineStr"/>
      <c r="L400" s="2" t="inlineStr">
        <is>
          <t>codechef</t>
        </is>
      </c>
    </row>
    <row r="401" ht="20" customHeight="1">
      <c r="A401" s="6" t="inlineStr">
        <is>
          <t>Unsolved</t>
        </is>
      </c>
      <c r="B401" s="7" t="inlineStr">
        <is>
          <t>KINGDOM 11 — THE KINGDOM OF QUEUE &amp; DEQUE</t>
        </is>
      </c>
      <c r="C401" s="7" t="inlineStr">
        <is>
          <t>Pattern 11.4 — Queue + BFS Style</t>
        </is>
      </c>
      <c r="D401" s="6" t="inlineStr">
        <is>
          <t>QBFS102</t>
        </is>
      </c>
      <c r="E401" s="7" t="inlineStr">
        <is>
          <t>Word Ladder Shortest Transformation BFS</t>
        </is>
      </c>
      <c r="F401" s="10" t="inlineStr">
        <is>
          <t>Hard</t>
        </is>
      </c>
      <c r="G401" s="7" t="inlineStr">
        <is>
          <t>BFS queue hash set</t>
        </is>
      </c>
      <c r="H401" s="6" t="n">
        <v>120</v>
      </c>
      <c r="I401" s="6" t="n">
        <v>120</v>
      </c>
      <c r="J401" s="8" t="inlineStr">
        <is>
          <t>https://www.codechef.com/problems/QBFS102</t>
        </is>
      </c>
      <c r="K401" s="7" t="inlineStr"/>
      <c r="L401" s="6" t="inlineStr">
        <is>
          <t>codechef</t>
        </is>
      </c>
    </row>
    <row r="402" ht="20" customHeight="1">
      <c r="A402" s="2" t="inlineStr">
        <is>
          <t>Unsolved</t>
        </is>
      </c>
      <c r="B402" s="3" t="inlineStr">
        <is>
          <t>KINGDOM 11 — THE KINGDOM OF QUEUE &amp; DEQUE</t>
        </is>
      </c>
      <c r="C402" s="3" t="inlineStr">
        <is>
          <t>Pattern 11.4 — Queue + BFS Style</t>
        </is>
      </c>
      <c r="D402" s="2" t="inlineStr">
        <is>
          <t>QBFS103</t>
        </is>
      </c>
      <c r="E402" s="3" t="inlineStr">
        <is>
          <t>Minimum Knight Moves BFS</t>
        </is>
      </c>
      <c r="F402" s="9" t="inlineStr">
        <is>
          <t>Medium</t>
        </is>
      </c>
      <c r="G402" s="3" t="inlineStr">
        <is>
          <t>BFS queue bidirectional</t>
        </is>
      </c>
      <c r="H402" s="2" t="n">
        <v>60</v>
      </c>
      <c r="I402" s="2" t="n">
        <v>55</v>
      </c>
      <c r="J402" s="5" t="inlineStr">
        <is>
          <t>https://www.codechef.com/problems/QBFS103</t>
        </is>
      </c>
      <c r="K402" s="3" t="inlineStr"/>
      <c r="L402" s="2" t="inlineStr">
        <is>
          <t>codechef</t>
        </is>
      </c>
    </row>
    <row r="403" ht="20" customHeight="1">
      <c r="A403" s="6" t="inlineStr">
        <is>
          <t>Unsolved</t>
        </is>
      </c>
      <c r="B403" s="7" t="inlineStr">
        <is>
          <t>KINGDOM 11 — THE KINGDOM OF QUEUE &amp; DEQUE</t>
        </is>
      </c>
      <c r="C403" s="7" t="inlineStr">
        <is>
          <t>Pattern 11.4 — Queue + BFS Style</t>
        </is>
      </c>
      <c r="D403" s="6" t="inlineStr">
        <is>
          <t>QBFS104</t>
        </is>
      </c>
      <c r="E403" s="7" t="inlineStr">
        <is>
          <t>Open the Lock Combination BFS</t>
        </is>
      </c>
      <c r="F403" s="9" t="inlineStr">
        <is>
          <t>Medium</t>
        </is>
      </c>
      <c r="G403" s="7" t="inlineStr">
        <is>
          <t>BFS queue state</t>
        </is>
      </c>
      <c r="H403" s="6" t="n">
        <v>60</v>
      </c>
      <c r="I403" s="6" t="n">
        <v>55</v>
      </c>
      <c r="J403" s="8" t="inlineStr">
        <is>
          <t>https://www.codechef.com/problems/QBFS104</t>
        </is>
      </c>
      <c r="K403" s="7" t="inlineStr"/>
      <c r="L403" s="6" t="inlineStr">
        <is>
          <t>codechef</t>
        </is>
      </c>
    </row>
    <row r="404" ht="20" customHeight="1">
      <c r="A404" s="2" t="inlineStr">
        <is>
          <t>Unsolved</t>
        </is>
      </c>
      <c r="B404" s="3" t="inlineStr">
        <is>
          <t>KINGDOM 12 — THE KINGDOM OF LINKED LIST &amp; SIMULATION</t>
        </is>
      </c>
      <c r="C404" s="3" t="inlineStr">
        <is>
          <t>Pattern 12.1 — Simple Simulation</t>
        </is>
      </c>
      <c r="D404" s="2" t="inlineStr">
        <is>
          <t>SIM101</t>
        </is>
      </c>
      <c r="E404" s="3" t="inlineStr">
        <is>
          <t>Design Linked List</t>
        </is>
      </c>
      <c r="F404" s="4" t="inlineStr">
        <is>
          <t>Easy</t>
        </is>
      </c>
      <c r="G404" s="3" t="inlineStr">
        <is>
          <t>linked list operations</t>
        </is>
      </c>
      <c r="H404" s="2" t="n">
        <v>25</v>
      </c>
      <c r="I404" s="2" t="n">
        <v>20</v>
      </c>
      <c r="J404" s="5" t="inlineStr">
        <is>
          <t>https://www.codechef.com/problems/SIM101</t>
        </is>
      </c>
      <c r="K404" s="3" t="inlineStr"/>
      <c r="L404" s="2" t="inlineStr">
        <is>
          <t>codechef</t>
        </is>
      </c>
    </row>
    <row r="405" ht="20" customHeight="1">
      <c r="A405" s="6" t="inlineStr">
        <is>
          <t>Unsolved</t>
        </is>
      </c>
      <c r="B405" s="7" t="inlineStr">
        <is>
          <t>KINGDOM 12 — THE KINGDOM OF LINKED LIST &amp; SIMULATION</t>
        </is>
      </c>
      <c r="C405" s="7" t="inlineStr">
        <is>
          <t>Pattern 12.1 — Simple Simulation</t>
        </is>
      </c>
      <c r="D405" s="6" t="inlineStr">
        <is>
          <t>SIM102</t>
        </is>
      </c>
      <c r="E405" s="7" t="inlineStr">
        <is>
          <t>Reverse Linked List</t>
        </is>
      </c>
      <c r="F405" s="4" t="inlineStr">
        <is>
          <t>Beginner</t>
        </is>
      </c>
      <c r="G405" s="7" t="inlineStr">
        <is>
          <t>linked list iteration</t>
        </is>
      </c>
      <c r="H405" s="6" t="n">
        <v>15</v>
      </c>
      <c r="I405" s="6" t="n">
        <v>10</v>
      </c>
      <c r="J405" s="8" t="inlineStr">
        <is>
          <t>https://www.codechef.com/problems/SIM102</t>
        </is>
      </c>
      <c r="K405" s="7" t="inlineStr"/>
      <c r="L405" s="6" t="inlineStr">
        <is>
          <t>codechef</t>
        </is>
      </c>
    </row>
    <row r="406" ht="20" customHeight="1">
      <c r="A406" s="2" t="inlineStr">
        <is>
          <t>Unsolved</t>
        </is>
      </c>
      <c r="B406" s="3" t="inlineStr">
        <is>
          <t>KINGDOM 12 — THE KINGDOM OF LINKED LIST &amp; SIMULATION</t>
        </is>
      </c>
      <c r="C406" s="3" t="inlineStr">
        <is>
          <t>Pattern 12.1 — Simple Simulation</t>
        </is>
      </c>
      <c r="D406" s="2" t="inlineStr">
        <is>
          <t>SIM103</t>
        </is>
      </c>
      <c r="E406" s="3" t="inlineStr">
        <is>
          <t>Merge Two Sorted Lists</t>
        </is>
      </c>
      <c r="F406" s="4" t="inlineStr">
        <is>
          <t>Easy</t>
        </is>
      </c>
      <c r="G406" s="3" t="inlineStr">
        <is>
          <t>linked list two pointers</t>
        </is>
      </c>
      <c r="H406" s="2" t="n">
        <v>25</v>
      </c>
      <c r="I406" s="2" t="n">
        <v>20</v>
      </c>
      <c r="J406" s="5" t="inlineStr">
        <is>
          <t>https://www.codechef.com/problems/SIM103</t>
        </is>
      </c>
      <c r="K406" s="3" t="inlineStr"/>
      <c r="L406" s="2" t="inlineStr">
        <is>
          <t>codechef</t>
        </is>
      </c>
    </row>
    <row r="407" ht="20" customHeight="1">
      <c r="A407" s="6" t="inlineStr">
        <is>
          <t>Unsolved</t>
        </is>
      </c>
      <c r="B407" s="7" t="inlineStr">
        <is>
          <t>KINGDOM 12 — THE KINGDOM OF LINKED LIST &amp; SIMULATION</t>
        </is>
      </c>
      <c r="C407" s="7" t="inlineStr">
        <is>
          <t>Pattern 12.1 — Simple Simulation</t>
        </is>
      </c>
      <c r="D407" s="6" t="inlineStr">
        <is>
          <t>SIM104</t>
        </is>
      </c>
      <c r="E407" s="7" t="inlineStr">
        <is>
          <t>Middle of the Linked List</t>
        </is>
      </c>
      <c r="F407" s="4" t="inlineStr">
        <is>
          <t>Beginner</t>
        </is>
      </c>
      <c r="G407" s="7" t="inlineStr">
        <is>
          <t>fast slow pointers</t>
        </is>
      </c>
      <c r="H407" s="6" t="n">
        <v>15</v>
      </c>
      <c r="I407" s="6" t="n">
        <v>10</v>
      </c>
      <c r="J407" s="8" t="inlineStr">
        <is>
          <t>https://www.codechef.com/problems/SIM104</t>
        </is>
      </c>
      <c r="K407" s="7" t="inlineStr"/>
      <c r="L407" s="6" t="inlineStr">
        <is>
          <t>codechef</t>
        </is>
      </c>
    </row>
    <row r="408" ht="20" customHeight="1">
      <c r="A408" s="2" t="inlineStr">
        <is>
          <t>Unsolved</t>
        </is>
      </c>
      <c r="B408" s="3" t="inlineStr">
        <is>
          <t>KINGDOM 12 — THE KINGDOM OF LINKED LIST &amp; SIMULATION</t>
        </is>
      </c>
      <c r="C408" s="3" t="inlineStr">
        <is>
          <t>Pattern 12.1 — Simple Simulation</t>
        </is>
      </c>
      <c r="D408" s="2" t="inlineStr">
        <is>
          <t>SIM105</t>
        </is>
      </c>
      <c r="E408" s="3" t="inlineStr">
        <is>
          <t>Delete Node in a Linked List</t>
        </is>
      </c>
      <c r="F408" s="4" t="inlineStr">
        <is>
          <t>Easy</t>
        </is>
      </c>
      <c r="G408" s="3" t="inlineStr">
        <is>
          <t>linked list</t>
        </is>
      </c>
      <c r="H408" s="2" t="n">
        <v>25</v>
      </c>
      <c r="I408" s="2" t="n">
        <v>20</v>
      </c>
      <c r="J408" s="5" t="inlineStr">
        <is>
          <t>https://www.codechef.com/problems/SIM105</t>
        </is>
      </c>
      <c r="K408" s="3" t="inlineStr"/>
      <c r="L408" s="2" t="inlineStr">
        <is>
          <t>codechef</t>
        </is>
      </c>
    </row>
    <row r="409" ht="20" customHeight="1">
      <c r="A409" s="6" t="inlineStr">
        <is>
          <t>Unsolved</t>
        </is>
      </c>
      <c r="B409" s="7" t="inlineStr">
        <is>
          <t>KINGDOM 12 — THE KINGDOM OF LINKED LIST &amp; SIMULATION</t>
        </is>
      </c>
      <c r="C409" s="7" t="inlineStr">
        <is>
          <t>Pattern 12.2 — Circular Simulation</t>
        </is>
      </c>
      <c r="D409" s="6" t="inlineStr">
        <is>
          <t>JOSEPHUS</t>
        </is>
      </c>
      <c r="E409" s="7" t="inlineStr">
        <is>
          <t>Josephus Problem Circle Elimination</t>
        </is>
      </c>
      <c r="F409" s="9" t="inlineStr">
        <is>
          <t>Medium</t>
        </is>
      </c>
      <c r="G409" s="7" t="inlineStr">
        <is>
          <t>circular simulation linked list</t>
        </is>
      </c>
      <c r="H409" s="6" t="n">
        <v>60</v>
      </c>
      <c r="I409" s="6" t="n">
        <v>55</v>
      </c>
      <c r="J409" s="8" t="inlineStr">
        <is>
          <t>https://www.codechef.com/problems/JOSEPHUS</t>
        </is>
      </c>
      <c r="K409" s="7" t="inlineStr"/>
      <c r="L409" s="6" t="inlineStr">
        <is>
          <t>codechef</t>
        </is>
      </c>
    </row>
    <row r="410" ht="20" customHeight="1">
      <c r="A410" s="2" t="inlineStr">
        <is>
          <t>Unsolved</t>
        </is>
      </c>
      <c r="B410" s="3" t="inlineStr">
        <is>
          <t>KINGDOM 12 — THE KINGDOM OF LINKED LIST &amp; SIMULATION</t>
        </is>
      </c>
      <c r="C410" s="3" t="inlineStr">
        <is>
          <t>Pattern 12.2 — Circular Simulation</t>
        </is>
      </c>
      <c r="D410" s="2" t="inlineStr">
        <is>
          <t>CIRCSIM</t>
        </is>
      </c>
      <c r="E410" s="3" t="inlineStr">
        <is>
          <t>Circular Array Loop Cycle Detection</t>
        </is>
      </c>
      <c r="F410" s="9" t="inlineStr">
        <is>
          <t>Medium</t>
        </is>
      </c>
      <c r="G410" s="3" t="inlineStr">
        <is>
          <t>fast slow pointers circular</t>
        </is>
      </c>
      <c r="H410" s="2" t="n">
        <v>60</v>
      </c>
      <c r="I410" s="2" t="n">
        <v>55</v>
      </c>
      <c r="J410" s="5" t="inlineStr">
        <is>
          <t>https://www.codechef.com/problems/CIRCSIM</t>
        </is>
      </c>
      <c r="K410" s="3" t="inlineStr"/>
      <c r="L410" s="2" t="inlineStr">
        <is>
          <t>codechef</t>
        </is>
      </c>
    </row>
    <row r="411" ht="20" customHeight="1">
      <c r="A411" s="6" t="inlineStr">
        <is>
          <t>Unsolved</t>
        </is>
      </c>
      <c r="B411" s="7" t="inlineStr">
        <is>
          <t>KINGDOM 12 — THE KINGDOM OF LINKED LIST &amp; SIMULATION</t>
        </is>
      </c>
      <c r="C411" s="7" t="inlineStr">
        <is>
          <t>Pattern 12.2 — Circular Simulation</t>
        </is>
      </c>
      <c r="D411" s="6" t="inlineStr">
        <is>
          <t>CIRCLIST101</t>
        </is>
      </c>
      <c r="E411" s="7" t="inlineStr">
        <is>
          <t>Linked List Cycle Detection I</t>
        </is>
      </c>
      <c r="F411" s="4" t="inlineStr">
        <is>
          <t>Easy</t>
        </is>
      </c>
      <c r="G411" s="7" t="inlineStr">
        <is>
          <t>Floyds cycle detection</t>
        </is>
      </c>
      <c r="H411" s="6" t="n">
        <v>25</v>
      </c>
      <c r="I411" s="6" t="n">
        <v>20</v>
      </c>
      <c r="J411" s="8" t="inlineStr">
        <is>
          <t>https://www.codechef.com/problems/CIRCLIST101</t>
        </is>
      </c>
      <c r="K411" s="7" t="inlineStr"/>
      <c r="L411" s="6" t="inlineStr">
        <is>
          <t>codechef</t>
        </is>
      </c>
    </row>
    <row r="412" ht="20" customHeight="1">
      <c r="A412" s="2" t="inlineStr">
        <is>
          <t>Unsolved</t>
        </is>
      </c>
      <c r="B412" s="3" t="inlineStr">
        <is>
          <t>KINGDOM 12 — THE KINGDOM OF LINKED LIST &amp; SIMULATION</t>
        </is>
      </c>
      <c r="C412" s="3" t="inlineStr">
        <is>
          <t>Pattern 12.2 — Circular Simulation</t>
        </is>
      </c>
      <c r="D412" s="2" t="inlineStr">
        <is>
          <t>CIRCLIST102</t>
        </is>
      </c>
      <c r="E412" s="3" t="inlineStr">
        <is>
          <t>Linked List Cycle Start Node II</t>
        </is>
      </c>
      <c r="F412" s="9" t="inlineStr">
        <is>
          <t>Medium</t>
        </is>
      </c>
      <c r="G412" s="3" t="inlineStr">
        <is>
          <t>Floyds cycle detection</t>
        </is>
      </c>
      <c r="H412" s="2" t="n">
        <v>60</v>
      </c>
      <c r="I412" s="2" t="n">
        <v>55</v>
      </c>
      <c r="J412" s="5" t="inlineStr">
        <is>
          <t>https://www.codechef.com/problems/CIRCLIST102</t>
        </is>
      </c>
      <c r="K412" s="3" t="inlineStr"/>
      <c r="L412" s="2" t="inlineStr">
        <is>
          <t>codechef</t>
        </is>
      </c>
    </row>
    <row r="413" ht="20" customHeight="1">
      <c r="A413" s="6" t="inlineStr">
        <is>
          <t>Unsolved</t>
        </is>
      </c>
      <c r="B413" s="7" t="inlineStr">
        <is>
          <t>KINGDOM 12 — THE KINGDOM OF LINKED LIST &amp; SIMULATION</t>
        </is>
      </c>
      <c r="C413" s="7" t="inlineStr">
        <is>
          <t>Pattern 12.2 — Circular Simulation</t>
        </is>
      </c>
      <c r="D413" s="6" t="inlineStr">
        <is>
          <t>CIRCLIST103</t>
        </is>
      </c>
      <c r="E413" s="7" t="inlineStr">
        <is>
          <t>Design Circular Queue Linked List</t>
        </is>
      </c>
      <c r="F413" s="9" t="inlineStr">
        <is>
          <t>Medium</t>
        </is>
      </c>
      <c r="G413" s="7" t="inlineStr">
        <is>
          <t>circular linked list</t>
        </is>
      </c>
      <c r="H413" s="6" t="n">
        <v>60</v>
      </c>
      <c r="I413" s="6" t="n">
        <v>55</v>
      </c>
      <c r="J413" s="8" t="inlineStr">
        <is>
          <t>https://www.codechef.com/problems/CIRCLIST103</t>
        </is>
      </c>
      <c r="K413" s="7" t="inlineStr"/>
      <c r="L413" s="6" t="inlineStr">
        <is>
          <t>codechef</t>
        </is>
      </c>
    </row>
    <row r="414" ht="20" customHeight="1">
      <c r="A414" s="2" t="inlineStr">
        <is>
          <t>Unsolved</t>
        </is>
      </c>
      <c r="B414" s="3" t="inlineStr">
        <is>
          <t>KINGDOM 12 — THE KINGDOM OF LINKED LIST &amp; SIMULATION</t>
        </is>
      </c>
      <c r="C414" s="3" t="inlineStr">
        <is>
          <t>Pattern 12.3 — Simulation with Data Structures</t>
        </is>
      </c>
      <c r="D414" s="2" t="inlineStr">
        <is>
          <t>SIMDATA</t>
        </is>
      </c>
      <c r="E414" s="3" t="inlineStr">
        <is>
          <t>LRU Cache Design</t>
        </is>
      </c>
      <c r="F414" s="10" t="inlineStr">
        <is>
          <t>Medium-Hard</t>
        </is>
      </c>
      <c r="G414" s="3" t="inlineStr">
        <is>
          <t>doubly linked list, hash map</t>
        </is>
      </c>
      <c r="H414" s="2" t="n">
        <v>90</v>
      </c>
      <c r="I414" s="2" t="n">
        <v>80</v>
      </c>
      <c r="J414" s="5" t="inlineStr">
        <is>
          <t>https://www.codechef.com/problems/SIMDATA</t>
        </is>
      </c>
      <c r="K414" s="3" t="inlineStr"/>
      <c r="L414" s="2" t="inlineStr">
        <is>
          <t>codechef</t>
        </is>
      </c>
    </row>
    <row r="415" ht="20" customHeight="1">
      <c r="A415" s="6" t="inlineStr">
        <is>
          <t>Unsolved</t>
        </is>
      </c>
      <c r="B415" s="7" t="inlineStr">
        <is>
          <t>KINGDOM 12 — THE KINGDOM OF LINKED LIST &amp; SIMULATION</t>
        </is>
      </c>
      <c r="C415" s="7" t="inlineStr">
        <is>
          <t>Pattern 12.3 — Simulation with Data Structures</t>
        </is>
      </c>
      <c r="D415" s="6" t="inlineStr">
        <is>
          <t>GRIDWALK</t>
        </is>
      </c>
      <c r="E415" s="7" t="inlineStr">
        <is>
          <t>LFU Cache Design</t>
        </is>
      </c>
      <c r="F415" s="10" t="inlineStr">
        <is>
          <t>Hard</t>
        </is>
      </c>
      <c r="G415" s="7" t="inlineStr">
        <is>
          <t>doubly linked list, hash map frequency</t>
        </is>
      </c>
      <c r="H415" s="6" t="n">
        <v>120</v>
      </c>
      <c r="I415" s="6" t="n">
        <v>120</v>
      </c>
      <c r="J415" s="8" t="inlineStr">
        <is>
          <t>https://www.codechef.com/problems/GRIDWALK</t>
        </is>
      </c>
      <c r="K415" s="7" t="inlineStr"/>
      <c r="L415" s="6" t="inlineStr">
        <is>
          <t>codechef</t>
        </is>
      </c>
    </row>
    <row r="416" ht="20" customHeight="1">
      <c r="A416" s="2" t="inlineStr">
        <is>
          <t>Unsolved</t>
        </is>
      </c>
      <c r="B416" s="3" t="inlineStr">
        <is>
          <t>KINGDOM 12 — THE KINGDOM OF LINKED LIST &amp; SIMULATION</t>
        </is>
      </c>
      <c r="C416" s="3" t="inlineStr">
        <is>
          <t>Pattern 12.3 — Simulation with Data Structures</t>
        </is>
      </c>
      <c r="D416" s="2" t="inlineStr">
        <is>
          <t>SIMDS101</t>
        </is>
      </c>
      <c r="E416" s="3" t="inlineStr">
        <is>
          <t>Design Browser History</t>
        </is>
      </c>
      <c r="F416" s="9" t="inlineStr">
        <is>
          <t>Medium</t>
        </is>
      </c>
      <c r="G416" s="3" t="inlineStr">
        <is>
          <t>doubly linked list simulation</t>
        </is>
      </c>
      <c r="H416" s="2" t="n">
        <v>60</v>
      </c>
      <c r="I416" s="2" t="n">
        <v>55</v>
      </c>
      <c r="J416" s="5" t="inlineStr">
        <is>
          <t>https://www.codechef.com/problems/SIMDS101</t>
        </is>
      </c>
      <c r="K416" s="3" t="inlineStr"/>
      <c r="L416" s="2" t="inlineStr">
        <is>
          <t>codechef</t>
        </is>
      </c>
    </row>
    <row r="417" ht="20" customHeight="1">
      <c r="A417" s="6" t="inlineStr">
        <is>
          <t>Unsolved</t>
        </is>
      </c>
      <c r="B417" s="7" t="inlineStr">
        <is>
          <t>KINGDOM 12 — THE KINGDOM OF LINKED LIST &amp; SIMULATION</t>
        </is>
      </c>
      <c r="C417" s="7" t="inlineStr">
        <is>
          <t>Pattern 12.3 — Simulation with Data Structures</t>
        </is>
      </c>
      <c r="D417" s="6" t="inlineStr">
        <is>
          <t>SIMDS102</t>
        </is>
      </c>
      <c r="E417" s="7" t="inlineStr">
        <is>
          <t>Design Underground System</t>
        </is>
      </c>
      <c r="F417" s="9" t="inlineStr">
        <is>
          <t>Medium</t>
        </is>
      </c>
      <c r="G417" s="7" t="inlineStr">
        <is>
          <t>hash map simulation</t>
        </is>
      </c>
      <c r="H417" s="6" t="n">
        <v>60</v>
      </c>
      <c r="I417" s="6" t="n">
        <v>55</v>
      </c>
      <c r="J417" s="8" t="inlineStr">
        <is>
          <t>https://www.codechef.com/problems/SIMDS102</t>
        </is>
      </c>
      <c r="K417" s="7" t="inlineStr"/>
      <c r="L417" s="6" t="inlineStr">
        <is>
          <t>codechef</t>
        </is>
      </c>
    </row>
    <row r="418" ht="20" customHeight="1">
      <c r="A418" s="2" t="inlineStr">
        <is>
          <t>Unsolved</t>
        </is>
      </c>
      <c r="B418" s="3" t="inlineStr">
        <is>
          <t>KINGDOM 12 — THE KINGDOM OF LINKED LIST &amp; SIMULATION</t>
        </is>
      </c>
      <c r="C418" s="3" t="inlineStr">
        <is>
          <t>Pattern 12.3 — Simulation with Data Structures</t>
        </is>
      </c>
      <c r="D418" s="2" t="inlineStr">
        <is>
          <t>SIMDS103</t>
        </is>
      </c>
      <c r="E418" s="3" t="inlineStr">
        <is>
          <t>Flatten Multilevel Doubly Linked List</t>
        </is>
      </c>
      <c r="F418" s="9" t="inlineStr">
        <is>
          <t>Medium</t>
        </is>
      </c>
      <c r="G418" s="3" t="inlineStr">
        <is>
          <t>stack linked list recursion</t>
        </is>
      </c>
      <c r="H418" s="2" t="n">
        <v>60</v>
      </c>
      <c r="I418" s="2" t="n">
        <v>55</v>
      </c>
      <c r="J418" s="5" t="inlineStr">
        <is>
          <t>https://www.codechef.com/problems/SIMDS103</t>
        </is>
      </c>
      <c r="K418" s="3" t="inlineStr"/>
      <c r="L418" s="2" t="inlineStr">
        <is>
          <t>codechef</t>
        </is>
      </c>
    </row>
    <row r="419" ht="20" customHeight="1">
      <c r="A419" s="6" t="inlineStr">
        <is>
          <t>Unsolved</t>
        </is>
      </c>
      <c r="B419" s="7" t="inlineStr">
        <is>
          <t>KINGDOM 12 — THE KINGDOM OF LINKED LIST &amp; SIMULATION</t>
        </is>
      </c>
      <c r="C419" s="7" t="inlineStr">
        <is>
          <t>Pattern 12.4 — Ordered Set Simulation</t>
        </is>
      </c>
      <c r="D419" s="6" t="inlineStr">
        <is>
          <t>ORDERSET</t>
        </is>
      </c>
      <c r="E419" s="7" t="inlineStr">
        <is>
          <t>Order Statistic Tree Simulation</t>
        </is>
      </c>
      <c r="F419" s="10" t="inlineStr">
        <is>
          <t>Hard</t>
        </is>
      </c>
      <c r="G419" s="7" t="inlineStr">
        <is>
          <t>ordered set, PBDS / Fenwick</t>
        </is>
      </c>
      <c r="H419" s="6" t="n">
        <v>120</v>
      </c>
      <c r="I419" s="6" t="n">
        <v>120</v>
      </c>
      <c r="J419" s="8" t="inlineStr">
        <is>
          <t>https://www.codechef.com/problems/ORDERSET</t>
        </is>
      </c>
      <c r="K419" s="7" t="inlineStr"/>
      <c r="L419" s="6" t="inlineStr">
        <is>
          <t>codechef</t>
        </is>
      </c>
    </row>
    <row r="420" ht="20" customHeight="1">
      <c r="A420" s="2" t="inlineStr">
        <is>
          <t>Unsolved</t>
        </is>
      </c>
      <c r="B420" s="3" t="inlineStr">
        <is>
          <t>KINGDOM 12 — THE KINGDOM OF LINKED LIST &amp; SIMULATION</t>
        </is>
      </c>
      <c r="C420" s="3" t="inlineStr">
        <is>
          <t>Pattern 12.4 — Ordered Set Simulation</t>
        </is>
      </c>
      <c r="D420" s="2" t="inlineStr">
        <is>
          <t>MEDIAN1</t>
        </is>
      </c>
      <c r="E420" s="3" t="inlineStr">
        <is>
          <t>Find Median from Data Stream</t>
        </is>
      </c>
      <c r="F420" s="10" t="inlineStr">
        <is>
          <t>Hard</t>
        </is>
      </c>
      <c r="G420" s="3" t="inlineStr">
        <is>
          <t>two heaps ordered simulation</t>
        </is>
      </c>
      <c r="H420" s="2" t="n">
        <v>120</v>
      </c>
      <c r="I420" s="2" t="n">
        <v>120</v>
      </c>
      <c r="J420" s="5" t="inlineStr">
        <is>
          <t>https://www.codechef.com/problems/MEDIAN1</t>
        </is>
      </c>
      <c r="K420" s="3" t="inlineStr"/>
      <c r="L420" s="2" t="inlineStr">
        <is>
          <t>codechef</t>
        </is>
      </c>
    </row>
    <row r="421" ht="20" customHeight="1">
      <c r="A421" s="6" t="inlineStr">
        <is>
          <t>Unsolved</t>
        </is>
      </c>
      <c r="B421" s="7" t="inlineStr">
        <is>
          <t>KINGDOM 12 — THE KINGDOM OF LINKED LIST &amp; SIMULATION</t>
        </is>
      </c>
      <c r="C421" s="7" t="inlineStr">
        <is>
          <t>Pattern 12.4 — Ordered Set Simulation</t>
        </is>
      </c>
      <c r="D421" s="6" t="inlineStr">
        <is>
          <t>ORDSET101</t>
        </is>
      </c>
      <c r="E421" s="7" t="inlineStr">
        <is>
          <t>My Calendar I Booking Interval</t>
        </is>
      </c>
      <c r="F421" s="9" t="inlineStr">
        <is>
          <t>Medium</t>
        </is>
      </c>
      <c r="G421" s="7" t="inlineStr">
        <is>
          <t>treemap ordered set</t>
        </is>
      </c>
      <c r="H421" s="6" t="n">
        <v>60</v>
      </c>
      <c r="I421" s="6" t="n">
        <v>55</v>
      </c>
      <c r="J421" s="8" t="inlineStr">
        <is>
          <t>https://www.codechef.com/problems/ORDSET101</t>
        </is>
      </c>
      <c r="K421" s="7" t="inlineStr"/>
      <c r="L421" s="6" t="inlineStr">
        <is>
          <t>codechef</t>
        </is>
      </c>
    </row>
    <row r="422" ht="20" customHeight="1">
      <c r="A422" s="2" t="inlineStr">
        <is>
          <t>Unsolved</t>
        </is>
      </c>
      <c r="B422" s="3" t="inlineStr">
        <is>
          <t>KINGDOM 12 — THE KINGDOM OF LINKED LIST &amp; SIMULATION</t>
        </is>
      </c>
      <c r="C422" s="3" t="inlineStr">
        <is>
          <t>Pattern 12.4 — Ordered Set Simulation</t>
        </is>
      </c>
      <c r="D422" s="2" t="inlineStr">
        <is>
          <t>ORDSET102</t>
        </is>
      </c>
      <c r="E422" s="3" t="inlineStr">
        <is>
          <t>My Calendar II Double Booking</t>
        </is>
      </c>
      <c r="F422" s="10" t="inlineStr">
        <is>
          <t>Medium-Hard</t>
        </is>
      </c>
      <c r="G422" s="3" t="inlineStr">
        <is>
          <t>ordered set interval</t>
        </is>
      </c>
      <c r="H422" s="2" t="n">
        <v>90</v>
      </c>
      <c r="I422" s="2" t="n">
        <v>80</v>
      </c>
      <c r="J422" s="5" t="inlineStr">
        <is>
          <t>https://www.codechef.com/problems/ORDSET102</t>
        </is>
      </c>
      <c r="K422" s="3" t="inlineStr"/>
      <c r="L422" s="2" t="inlineStr">
        <is>
          <t>codechef</t>
        </is>
      </c>
    </row>
    <row r="423" ht="20" customHeight="1">
      <c r="A423" s="6" t="inlineStr">
        <is>
          <t>Unsolved</t>
        </is>
      </c>
      <c r="B423" s="7" t="inlineStr">
        <is>
          <t>KINGDOM 12 — THE KINGDOM OF LINKED LIST &amp; SIMULATION</t>
        </is>
      </c>
      <c r="C423" s="7" t="inlineStr">
        <is>
          <t>Pattern 12.4 — Ordered Set Simulation</t>
        </is>
      </c>
      <c r="D423" s="6" t="inlineStr">
        <is>
          <t>ORDSET103</t>
        </is>
      </c>
      <c r="E423" s="7" t="inlineStr">
        <is>
          <t>Data Stream as Disjoint Intervals</t>
        </is>
      </c>
      <c r="F423" s="10" t="inlineStr">
        <is>
          <t>Hard</t>
        </is>
      </c>
      <c r="G423" s="7" t="inlineStr">
        <is>
          <t>ordered set segment</t>
        </is>
      </c>
      <c r="H423" s="6" t="n">
        <v>120</v>
      </c>
      <c r="I423" s="6" t="n">
        <v>120</v>
      </c>
      <c r="J423" s="8" t="inlineStr">
        <is>
          <t>https://www.codechef.com/problems/ORDSET103</t>
        </is>
      </c>
      <c r="K423" s="7" t="inlineStr"/>
      <c r="L423" s="6" t="inlineStr">
        <is>
          <t>codechef</t>
        </is>
      </c>
    </row>
    <row r="424" ht="20" customHeight="1">
      <c r="A424" s="2" t="inlineStr">
        <is>
          <t>Unsolved</t>
        </is>
      </c>
      <c r="B424" s="3" t="inlineStr">
        <is>
          <t>KINGDOM 13 — THE KINGDOM OF TREES</t>
        </is>
      </c>
      <c r="C424" s="3" t="inlineStr">
        <is>
          <t>Pattern 13.1 — Basic Tree DFS</t>
        </is>
      </c>
      <c r="D424" s="2" t="inlineStr">
        <is>
          <t>TREE1</t>
        </is>
      </c>
      <c r="E424" s="3" t="inlineStr">
        <is>
          <t>Maximum Depth of Binary Tree</t>
        </is>
      </c>
      <c r="F424" s="4" t="inlineStr">
        <is>
          <t>Beginner</t>
        </is>
      </c>
      <c r="G424" s="3" t="inlineStr">
        <is>
          <t>tree DFS</t>
        </is>
      </c>
      <c r="H424" s="2" t="n">
        <v>15</v>
      </c>
      <c r="I424" s="2" t="n">
        <v>10</v>
      </c>
      <c r="J424" s="5" t="inlineStr">
        <is>
          <t>https://www.codechef.com/problems/TREE1</t>
        </is>
      </c>
      <c r="K424" s="3" t="inlineStr"/>
      <c r="L424" s="2" t="inlineStr">
        <is>
          <t>codechef</t>
        </is>
      </c>
    </row>
    <row r="425" ht="20" customHeight="1">
      <c r="A425" s="6" t="inlineStr">
        <is>
          <t>Unsolved</t>
        </is>
      </c>
      <c r="B425" s="7" t="inlineStr">
        <is>
          <t>KINGDOM 13 — THE KINGDOM OF TREES</t>
        </is>
      </c>
      <c r="C425" s="7" t="inlineStr">
        <is>
          <t>Pattern 13.1 — Basic Tree DFS</t>
        </is>
      </c>
      <c r="D425" s="6" t="inlineStr">
        <is>
          <t>TREEDFS</t>
        </is>
      </c>
      <c r="E425" s="7" t="inlineStr">
        <is>
          <t>Invert Binary Tree</t>
        </is>
      </c>
      <c r="F425" s="4" t="inlineStr">
        <is>
          <t>Beginner</t>
        </is>
      </c>
      <c r="G425" s="7" t="inlineStr">
        <is>
          <t>tree DFS</t>
        </is>
      </c>
      <c r="H425" s="6" t="n">
        <v>15</v>
      </c>
      <c r="I425" s="6" t="n">
        <v>10</v>
      </c>
      <c r="J425" s="8" t="inlineStr">
        <is>
          <t>https://www.codechef.com/problems/TREEDFS</t>
        </is>
      </c>
      <c r="K425" s="7" t="inlineStr"/>
      <c r="L425" s="6" t="inlineStr">
        <is>
          <t>codechef</t>
        </is>
      </c>
    </row>
    <row r="426" ht="20" customHeight="1">
      <c r="A426" s="2" t="inlineStr">
        <is>
          <t>Unsolved</t>
        </is>
      </c>
      <c r="B426" s="3" t="inlineStr">
        <is>
          <t>KINGDOM 13 — THE KINGDOM OF TREES</t>
        </is>
      </c>
      <c r="C426" s="3" t="inlineStr">
        <is>
          <t>Pattern 13.1 — Basic Tree DFS</t>
        </is>
      </c>
      <c r="D426" s="2" t="inlineStr">
        <is>
          <t>SUBTREE1</t>
        </is>
      </c>
      <c r="E426" s="3" t="inlineStr">
        <is>
          <t>Subtree of Another Tree</t>
        </is>
      </c>
      <c r="F426" s="4" t="inlineStr">
        <is>
          <t>Easy</t>
        </is>
      </c>
      <c r="G426" s="3" t="inlineStr">
        <is>
          <t>tree DFS matching</t>
        </is>
      </c>
      <c r="H426" s="2" t="n">
        <v>25</v>
      </c>
      <c r="I426" s="2" t="n">
        <v>20</v>
      </c>
      <c r="J426" s="5" t="inlineStr">
        <is>
          <t>https://www.codechef.com/problems/SUBTREE1</t>
        </is>
      </c>
      <c r="K426" s="3" t="inlineStr"/>
      <c r="L426" s="2" t="inlineStr">
        <is>
          <t>codechef</t>
        </is>
      </c>
    </row>
    <row r="427" ht="20" customHeight="1">
      <c r="A427" s="6" t="inlineStr">
        <is>
          <t>Unsolved</t>
        </is>
      </c>
      <c r="B427" s="7" t="inlineStr">
        <is>
          <t>KINGDOM 13 — THE KINGDOM OF TREES</t>
        </is>
      </c>
      <c r="C427" s="7" t="inlineStr">
        <is>
          <t>Pattern 13.1 — Basic Tree DFS</t>
        </is>
      </c>
      <c r="D427" s="6" t="inlineStr">
        <is>
          <t>TREE101</t>
        </is>
      </c>
      <c r="E427" s="7" t="inlineStr">
        <is>
          <t>Same Tree Check</t>
        </is>
      </c>
      <c r="F427" s="4" t="inlineStr">
        <is>
          <t>Beginner</t>
        </is>
      </c>
      <c r="G427" s="7" t="inlineStr">
        <is>
          <t>tree DFS</t>
        </is>
      </c>
      <c r="H427" s="6" t="n">
        <v>15</v>
      </c>
      <c r="I427" s="6" t="n">
        <v>10</v>
      </c>
      <c r="J427" s="8" t="inlineStr">
        <is>
          <t>https://www.codechef.com/problems/TREE101</t>
        </is>
      </c>
      <c r="K427" s="7" t="inlineStr"/>
      <c r="L427" s="6" t="inlineStr">
        <is>
          <t>codechef</t>
        </is>
      </c>
    </row>
    <row r="428" ht="20" customHeight="1">
      <c r="A428" s="2" t="inlineStr">
        <is>
          <t>Unsolved</t>
        </is>
      </c>
      <c r="B428" s="3" t="inlineStr">
        <is>
          <t>KINGDOM 13 — THE KINGDOM OF TREES</t>
        </is>
      </c>
      <c r="C428" s="3" t="inlineStr">
        <is>
          <t>Pattern 13.1 — Basic Tree DFS</t>
        </is>
      </c>
      <c r="D428" s="2" t="inlineStr">
        <is>
          <t>TREE102</t>
        </is>
      </c>
      <c r="E428" s="3" t="inlineStr">
        <is>
          <t>Symmetric Tree Check</t>
        </is>
      </c>
      <c r="F428" s="4" t="inlineStr">
        <is>
          <t>Easy</t>
        </is>
      </c>
      <c r="G428" s="3" t="inlineStr">
        <is>
          <t>tree DFS</t>
        </is>
      </c>
      <c r="H428" s="2" t="n">
        <v>25</v>
      </c>
      <c r="I428" s="2" t="n">
        <v>20</v>
      </c>
      <c r="J428" s="5" t="inlineStr">
        <is>
          <t>https://www.codechef.com/problems/TREE102</t>
        </is>
      </c>
      <c r="K428" s="3" t="inlineStr"/>
      <c r="L428" s="2" t="inlineStr">
        <is>
          <t>codechef</t>
        </is>
      </c>
    </row>
    <row r="429" ht="20" customHeight="1">
      <c r="A429" s="6" t="inlineStr">
        <is>
          <t>Unsolved</t>
        </is>
      </c>
      <c r="B429" s="7" t="inlineStr">
        <is>
          <t>KINGDOM 13 — THE KINGDOM OF TREES</t>
        </is>
      </c>
      <c r="C429" s="7" t="inlineStr">
        <is>
          <t>Pattern 13.1 — Basic Tree DFS</t>
        </is>
      </c>
      <c r="D429" s="6" t="inlineStr">
        <is>
          <t>TREE103</t>
        </is>
      </c>
      <c r="E429" s="7" t="inlineStr">
        <is>
          <t>Path Sum I Target</t>
        </is>
      </c>
      <c r="F429" s="4" t="inlineStr">
        <is>
          <t>Easy</t>
        </is>
      </c>
      <c r="G429" s="7" t="inlineStr">
        <is>
          <t>tree DFS</t>
        </is>
      </c>
      <c r="H429" s="6" t="n">
        <v>25</v>
      </c>
      <c r="I429" s="6" t="n">
        <v>20</v>
      </c>
      <c r="J429" s="8" t="inlineStr">
        <is>
          <t>https://www.codechef.com/problems/TREE103</t>
        </is>
      </c>
      <c r="K429" s="7" t="inlineStr"/>
      <c r="L429" s="6" t="inlineStr">
        <is>
          <t>codechef</t>
        </is>
      </c>
    </row>
    <row r="430" ht="20" customHeight="1">
      <c r="A430" s="2" t="inlineStr">
        <is>
          <t>Unsolved</t>
        </is>
      </c>
      <c r="B430" s="3" t="inlineStr">
        <is>
          <t>KINGDOM 13 — THE KINGDOM OF TREES</t>
        </is>
      </c>
      <c r="C430" s="3" t="inlineStr">
        <is>
          <t>Pattern 13.1 — Basic Tree DFS</t>
        </is>
      </c>
      <c r="D430" s="2" t="inlineStr">
        <is>
          <t>TREE104</t>
        </is>
      </c>
      <c r="E430" s="3" t="inlineStr">
        <is>
          <t>Path Sum II All Root to Leaf Paths</t>
        </is>
      </c>
      <c r="F430" s="9" t="inlineStr">
        <is>
          <t>Medium</t>
        </is>
      </c>
      <c r="G430" s="3" t="inlineStr">
        <is>
          <t>tree DFS backtracking</t>
        </is>
      </c>
      <c r="H430" s="2" t="n">
        <v>60</v>
      </c>
      <c r="I430" s="2" t="n">
        <v>55</v>
      </c>
      <c r="J430" s="5" t="inlineStr">
        <is>
          <t>https://www.codechef.com/problems/TREE104</t>
        </is>
      </c>
      <c r="K430" s="3" t="inlineStr"/>
      <c r="L430" s="2" t="inlineStr">
        <is>
          <t>codechef</t>
        </is>
      </c>
    </row>
    <row r="431" ht="20" customHeight="1">
      <c r="A431" s="6" t="inlineStr">
        <is>
          <t>Unsolved</t>
        </is>
      </c>
      <c r="B431" s="7" t="inlineStr">
        <is>
          <t>KINGDOM 13 — THE KINGDOM OF TREES</t>
        </is>
      </c>
      <c r="C431" s="7" t="inlineStr">
        <is>
          <t>Pattern 13.1 — Basic Tree DFS</t>
        </is>
      </c>
      <c r="D431" s="6" t="inlineStr">
        <is>
          <t>TREE105</t>
        </is>
      </c>
      <c r="E431" s="7" t="inlineStr">
        <is>
          <t>Diameter of Binary Tree</t>
        </is>
      </c>
      <c r="F431" s="4" t="inlineStr">
        <is>
          <t>Easy</t>
        </is>
      </c>
      <c r="G431" s="7" t="inlineStr">
        <is>
          <t>tree DFS height</t>
        </is>
      </c>
      <c r="H431" s="6" t="n">
        <v>25</v>
      </c>
      <c r="I431" s="6" t="n">
        <v>20</v>
      </c>
      <c r="J431" s="8" t="inlineStr">
        <is>
          <t>https://www.codechef.com/problems/TREE105</t>
        </is>
      </c>
      <c r="K431" s="7" t="inlineStr"/>
      <c r="L431" s="6" t="inlineStr">
        <is>
          <t>codechef</t>
        </is>
      </c>
    </row>
    <row r="432" ht="20" customHeight="1">
      <c r="A432" s="2" t="inlineStr">
        <is>
          <t>Unsolved</t>
        </is>
      </c>
      <c r="B432" s="3" t="inlineStr">
        <is>
          <t>KINGDOM 13 — THE KINGDOM OF TREES</t>
        </is>
      </c>
      <c r="C432" s="3" t="inlineStr">
        <is>
          <t>Pattern 13.1 — Basic Tree DFS</t>
        </is>
      </c>
      <c r="D432" s="2" t="inlineStr">
        <is>
          <t>TREE106</t>
        </is>
      </c>
      <c r="E432" s="3" t="inlineStr">
        <is>
          <t>Balanced Binary Tree Check</t>
        </is>
      </c>
      <c r="F432" s="4" t="inlineStr">
        <is>
          <t>Easy</t>
        </is>
      </c>
      <c r="G432" s="3" t="inlineStr">
        <is>
          <t>tree DFS bottom up</t>
        </is>
      </c>
      <c r="H432" s="2" t="n">
        <v>25</v>
      </c>
      <c r="I432" s="2" t="n">
        <v>20</v>
      </c>
      <c r="J432" s="5" t="inlineStr">
        <is>
          <t>https://www.codechef.com/problems/TREE106</t>
        </is>
      </c>
      <c r="K432" s="3" t="inlineStr"/>
      <c r="L432" s="2" t="inlineStr">
        <is>
          <t>codechef</t>
        </is>
      </c>
    </row>
    <row r="433" ht="20" customHeight="1">
      <c r="A433" s="6" t="inlineStr">
        <is>
          <t>Unsolved</t>
        </is>
      </c>
      <c r="B433" s="7" t="inlineStr">
        <is>
          <t>KINGDOM 13 — THE KINGDOM OF TREES</t>
        </is>
      </c>
      <c r="C433" s="7" t="inlineStr">
        <is>
          <t>Pattern 13.2 — Tree Traversal</t>
        </is>
      </c>
      <c r="D433" s="6" t="inlineStr">
        <is>
          <t>TRAVERSE1</t>
        </is>
      </c>
      <c r="E433" s="7" t="inlineStr">
        <is>
          <t>Binary Tree Level Order Traversal</t>
        </is>
      </c>
      <c r="F433" s="4" t="inlineStr">
        <is>
          <t>Easy</t>
        </is>
      </c>
      <c r="G433" s="7" t="inlineStr">
        <is>
          <t>BFS queue level traversal</t>
        </is>
      </c>
      <c r="H433" s="6" t="n">
        <v>25</v>
      </c>
      <c r="I433" s="6" t="n">
        <v>20</v>
      </c>
      <c r="J433" s="8" t="inlineStr">
        <is>
          <t>https://www.codechef.com/problems/TRAVERSE1</t>
        </is>
      </c>
      <c r="K433" s="7" t="inlineStr"/>
      <c r="L433" s="6" t="inlineStr">
        <is>
          <t>codechef</t>
        </is>
      </c>
    </row>
    <row r="434" ht="20" customHeight="1">
      <c r="A434" s="2" t="inlineStr">
        <is>
          <t>Unsolved</t>
        </is>
      </c>
      <c r="B434" s="3" t="inlineStr">
        <is>
          <t>KINGDOM 13 — THE KINGDOM OF TREES</t>
        </is>
      </c>
      <c r="C434" s="3" t="inlineStr">
        <is>
          <t>Pattern 13.2 — Tree Traversal</t>
        </is>
      </c>
      <c r="D434" s="2" t="inlineStr">
        <is>
          <t>TREELEAF</t>
        </is>
      </c>
      <c r="E434" s="3" t="inlineStr">
        <is>
          <t>Leaf-Similar Trees</t>
        </is>
      </c>
      <c r="F434" s="4" t="inlineStr">
        <is>
          <t>Beginner</t>
        </is>
      </c>
      <c r="G434" s="3" t="inlineStr">
        <is>
          <t>DFS leaf collector</t>
        </is>
      </c>
      <c r="H434" s="2" t="n">
        <v>15</v>
      </c>
      <c r="I434" s="2" t="n">
        <v>10</v>
      </c>
      <c r="J434" s="5" t="inlineStr">
        <is>
          <t>https://www.codechef.com/problems/TREELEAF</t>
        </is>
      </c>
      <c r="K434" s="3" t="inlineStr"/>
      <c r="L434" s="2" t="inlineStr">
        <is>
          <t>codechef</t>
        </is>
      </c>
    </row>
    <row r="435" ht="20" customHeight="1">
      <c r="A435" s="6" t="inlineStr">
        <is>
          <t>Unsolved</t>
        </is>
      </c>
      <c r="B435" s="7" t="inlineStr">
        <is>
          <t>KINGDOM 13 — THE KINGDOM OF TREES</t>
        </is>
      </c>
      <c r="C435" s="7" t="inlineStr">
        <is>
          <t>Pattern 13.2 — Tree Traversal</t>
        </is>
      </c>
      <c r="D435" s="6" t="inlineStr">
        <is>
          <t>HEIGHT1</t>
        </is>
      </c>
      <c r="E435" s="7" t="inlineStr">
        <is>
          <t>Binary Tree Zigzag Level Order Traversal</t>
        </is>
      </c>
      <c r="F435" s="9" t="inlineStr">
        <is>
          <t>Medium</t>
        </is>
      </c>
      <c r="G435" s="7" t="inlineStr">
        <is>
          <t>BFS deque level traversal</t>
        </is>
      </c>
      <c r="H435" s="6" t="n">
        <v>60</v>
      </c>
      <c r="I435" s="6" t="n">
        <v>55</v>
      </c>
      <c r="J435" s="8" t="inlineStr">
        <is>
          <t>https://www.codechef.com/problems/HEIGHT1</t>
        </is>
      </c>
      <c r="K435" s="7" t="inlineStr"/>
      <c r="L435" s="6" t="inlineStr">
        <is>
          <t>codechef</t>
        </is>
      </c>
    </row>
    <row r="436" ht="20" customHeight="1">
      <c r="A436" s="2" t="inlineStr">
        <is>
          <t>Unsolved</t>
        </is>
      </c>
      <c r="B436" s="3" t="inlineStr">
        <is>
          <t>KINGDOM 13 — THE KINGDOM OF TREES</t>
        </is>
      </c>
      <c r="C436" s="3" t="inlineStr">
        <is>
          <t>Pattern 13.2 — Tree Traversal</t>
        </is>
      </c>
      <c r="D436" s="2" t="inlineStr">
        <is>
          <t>TTRAV101</t>
        </is>
      </c>
      <c r="E436" s="3" t="inlineStr">
        <is>
          <t>Binary Tree Preorder Traversal Iterative</t>
        </is>
      </c>
      <c r="F436" s="4" t="inlineStr">
        <is>
          <t>Easy</t>
        </is>
      </c>
      <c r="G436" s="3" t="inlineStr">
        <is>
          <t>stack tree traversal</t>
        </is>
      </c>
      <c r="H436" s="2" t="n">
        <v>25</v>
      </c>
      <c r="I436" s="2" t="n">
        <v>20</v>
      </c>
      <c r="J436" s="5" t="inlineStr">
        <is>
          <t>https://www.codechef.com/problems/TTRAV101</t>
        </is>
      </c>
      <c r="K436" s="3" t="inlineStr"/>
      <c r="L436" s="2" t="inlineStr">
        <is>
          <t>codechef</t>
        </is>
      </c>
    </row>
    <row r="437" ht="20" customHeight="1">
      <c r="A437" s="6" t="inlineStr">
        <is>
          <t>Unsolved</t>
        </is>
      </c>
      <c r="B437" s="7" t="inlineStr">
        <is>
          <t>KINGDOM 13 — THE KINGDOM OF TREES</t>
        </is>
      </c>
      <c r="C437" s="7" t="inlineStr">
        <is>
          <t>Pattern 13.2 — Tree Traversal</t>
        </is>
      </c>
      <c r="D437" s="6" t="inlineStr">
        <is>
          <t>TTRAV102</t>
        </is>
      </c>
      <c r="E437" s="7" t="inlineStr">
        <is>
          <t>Binary Tree Inorder Traversal Iterative</t>
        </is>
      </c>
      <c r="F437" s="4" t="inlineStr">
        <is>
          <t>Easy</t>
        </is>
      </c>
      <c r="G437" s="7" t="inlineStr">
        <is>
          <t>stack tree traversal</t>
        </is>
      </c>
      <c r="H437" s="6" t="n">
        <v>25</v>
      </c>
      <c r="I437" s="6" t="n">
        <v>20</v>
      </c>
      <c r="J437" s="8" t="inlineStr">
        <is>
          <t>https://www.codechef.com/problems/TTRAV102</t>
        </is>
      </c>
      <c r="K437" s="7" t="inlineStr"/>
      <c r="L437" s="6" t="inlineStr">
        <is>
          <t>codechef</t>
        </is>
      </c>
    </row>
    <row r="438" ht="20" customHeight="1">
      <c r="A438" s="2" t="inlineStr">
        <is>
          <t>Unsolved</t>
        </is>
      </c>
      <c r="B438" s="3" t="inlineStr">
        <is>
          <t>KINGDOM 13 — THE KINGDOM OF TREES</t>
        </is>
      </c>
      <c r="C438" s="3" t="inlineStr">
        <is>
          <t>Pattern 13.2 — Tree Traversal</t>
        </is>
      </c>
      <c r="D438" s="2" t="inlineStr">
        <is>
          <t>TTRAV103</t>
        </is>
      </c>
      <c r="E438" s="3" t="inlineStr">
        <is>
          <t>Binary Tree Postorder Traversal Iterative</t>
        </is>
      </c>
      <c r="F438" s="9" t="inlineStr">
        <is>
          <t>Medium</t>
        </is>
      </c>
      <c r="G438" s="3" t="inlineStr">
        <is>
          <t>stack tree traversal</t>
        </is>
      </c>
      <c r="H438" s="2" t="n">
        <v>60</v>
      </c>
      <c r="I438" s="2" t="n">
        <v>55</v>
      </c>
      <c r="J438" s="5" t="inlineStr">
        <is>
          <t>https://www.codechef.com/problems/TTRAV103</t>
        </is>
      </c>
      <c r="K438" s="3" t="inlineStr"/>
      <c r="L438" s="2" t="inlineStr">
        <is>
          <t>codechef</t>
        </is>
      </c>
    </row>
    <row r="439" ht="20" customHeight="1">
      <c r="A439" s="6" t="inlineStr">
        <is>
          <t>Unsolved</t>
        </is>
      </c>
      <c r="B439" s="7" t="inlineStr">
        <is>
          <t>KINGDOM 13 — THE KINGDOM OF TREES</t>
        </is>
      </c>
      <c r="C439" s="7" t="inlineStr">
        <is>
          <t>Pattern 13.2 — Tree Traversal</t>
        </is>
      </c>
      <c r="D439" s="6" t="inlineStr">
        <is>
          <t>TTRAV104</t>
        </is>
      </c>
      <c r="E439" s="7" t="inlineStr">
        <is>
          <t>Vertical Order Traversal of Binary Tree</t>
        </is>
      </c>
      <c r="F439" s="10" t="inlineStr">
        <is>
          <t>Hard</t>
        </is>
      </c>
      <c r="G439" s="7" t="inlineStr">
        <is>
          <t>DFS coordinate hashing</t>
        </is>
      </c>
      <c r="H439" s="6" t="n">
        <v>120</v>
      </c>
      <c r="I439" s="6" t="n">
        <v>120</v>
      </c>
      <c r="J439" s="8" t="inlineStr">
        <is>
          <t>https://www.codechef.com/problems/TTRAV104</t>
        </is>
      </c>
      <c r="K439" s="7" t="inlineStr"/>
      <c r="L439" s="6" t="inlineStr">
        <is>
          <t>codechef</t>
        </is>
      </c>
    </row>
    <row r="440" ht="20" customHeight="1">
      <c r="A440" s="2" t="inlineStr">
        <is>
          <t>Unsolved</t>
        </is>
      </c>
      <c r="B440" s="3" t="inlineStr">
        <is>
          <t>KINGDOM 13 — THE KINGDOM OF TREES</t>
        </is>
      </c>
      <c r="C440" s="3" t="inlineStr">
        <is>
          <t>Pattern 13.2 — Tree Traversal</t>
        </is>
      </c>
      <c r="D440" s="2" t="inlineStr">
        <is>
          <t>TTRAV105</t>
        </is>
      </c>
      <c r="E440" s="3" t="inlineStr">
        <is>
          <t>Populating Next Right Pointers</t>
        </is>
      </c>
      <c r="F440" s="9" t="inlineStr">
        <is>
          <t>Medium</t>
        </is>
      </c>
      <c r="G440" s="3" t="inlineStr">
        <is>
          <t>BFS level pointers</t>
        </is>
      </c>
      <c r="H440" s="2" t="n">
        <v>60</v>
      </c>
      <c r="I440" s="2" t="n">
        <v>55</v>
      </c>
      <c r="J440" s="5" t="inlineStr">
        <is>
          <t>https://www.codechef.com/problems/TTRAV105</t>
        </is>
      </c>
      <c r="K440" s="3" t="inlineStr"/>
      <c r="L440" s="2" t="inlineStr">
        <is>
          <t>codechef</t>
        </is>
      </c>
    </row>
    <row r="441" ht="20" customHeight="1">
      <c r="A441" s="6" t="inlineStr">
        <is>
          <t>Unsolved</t>
        </is>
      </c>
      <c r="B441" s="7" t="inlineStr">
        <is>
          <t>KINGDOM 13 — THE KINGDOM OF TREES</t>
        </is>
      </c>
      <c r="C441" s="7" t="inlineStr">
        <is>
          <t>Pattern 13.2 — Tree Traversal</t>
        </is>
      </c>
      <c r="D441" s="6" t="inlineStr">
        <is>
          <t>TTRAV106</t>
        </is>
      </c>
      <c r="E441" s="7" t="inlineStr">
        <is>
          <t>Construct Binary Tree Preorder Inorder</t>
        </is>
      </c>
      <c r="F441" s="9" t="inlineStr">
        <is>
          <t>Medium</t>
        </is>
      </c>
      <c r="G441" s="7" t="inlineStr">
        <is>
          <t>divide &amp; conquer tree construction</t>
        </is>
      </c>
      <c r="H441" s="6" t="n">
        <v>60</v>
      </c>
      <c r="I441" s="6" t="n">
        <v>55</v>
      </c>
      <c r="J441" s="8" t="inlineStr">
        <is>
          <t>https://www.codechef.com/problems/TTRAV106</t>
        </is>
      </c>
      <c r="K441" s="7" t="inlineStr"/>
      <c r="L441" s="6" t="inlineStr">
        <is>
          <t>codechef</t>
        </is>
      </c>
    </row>
    <row r="442" ht="20" customHeight="1">
      <c r="A442" s="2" t="inlineStr">
        <is>
          <t>Unsolved</t>
        </is>
      </c>
      <c r="B442" s="3" t="inlineStr">
        <is>
          <t>KINGDOM 13 — THE KINGDOM OF TREES</t>
        </is>
      </c>
      <c r="C442" s="3" t="inlineStr">
        <is>
          <t>Pattern 13.3 — Tree DP</t>
        </is>
      </c>
      <c r="D442" s="2" t="inlineStr">
        <is>
          <t>INOI1402</t>
        </is>
      </c>
      <c r="E442" s="3" t="inlineStr">
        <is>
          <t>Free Ticket Tree Path Maximum</t>
        </is>
      </c>
      <c r="F442" s="10" t="inlineStr">
        <is>
          <t>Medium-Hard</t>
        </is>
      </c>
      <c r="G442" s="3" t="inlineStr">
        <is>
          <t>tree DP, Floyd Warshall</t>
        </is>
      </c>
      <c r="H442" s="2" t="n">
        <v>90</v>
      </c>
      <c r="I442" s="2" t="n">
        <v>80</v>
      </c>
      <c r="J442" s="5" t="inlineStr">
        <is>
          <t>https://www.codechef.com/problems/INOI1402</t>
        </is>
      </c>
      <c r="K442" s="3" t="inlineStr"/>
      <c r="L442" s="2" t="inlineStr">
        <is>
          <t>codechef</t>
        </is>
      </c>
    </row>
    <row r="443" ht="20" customHeight="1">
      <c r="A443" s="6" t="inlineStr">
        <is>
          <t>Unsolved</t>
        </is>
      </c>
      <c r="B443" s="7" t="inlineStr">
        <is>
          <t>KINGDOM 13 — THE KINGDOM OF TREES</t>
        </is>
      </c>
      <c r="C443" s="7" t="inlineStr">
        <is>
          <t>Pattern 13.3 — Tree DP</t>
        </is>
      </c>
      <c r="D443" s="6" t="inlineStr">
        <is>
          <t>TREEDP1</t>
        </is>
      </c>
      <c r="E443" s="7" t="inlineStr">
        <is>
          <t>Binary Tree Maximum Path Sum</t>
        </is>
      </c>
      <c r="F443" s="10" t="inlineStr">
        <is>
          <t>Hard</t>
        </is>
      </c>
      <c r="G443" s="7" t="inlineStr">
        <is>
          <t>tree DP node path</t>
        </is>
      </c>
      <c r="H443" s="6" t="n">
        <v>120</v>
      </c>
      <c r="I443" s="6" t="n">
        <v>120</v>
      </c>
      <c r="J443" s="8" t="inlineStr">
        <is>
          <t>https://www.codechef.com/problems/TREEDP1</t>
        </is>
      </c>
      <c r="K443" s="7" t="inlineStr"/>
      <c r="L443" s="6" t="inlineStr">
        <is>
          <t>codechef</t>
        </is>
      </c>
    </row>
    <row r="444" ht="20" customHeight="1">
      <c r="A444" s="2" t="inlineStr">
        <is>
          <t>Unsolved</t>
        </is>
      </c>
      <c r="B444" s="3" t="inlineStr">
        <is>
          <t>KINGDOM 13 — THE KINGDOM OF TREES</t>
        </is>
      </c>
      <c r="C444" s="3" t="inlineStr">
        <is>
          <t>Pattern 13.3 — Tree DP</t>
        </is>
      </c>
      <c r="D444" s="2" t="inlineStr">
        <is>
          <t>INDEPENDENT</t>
        </is>
      </c>
      <c r="E444" s="3" t="inlineStr">
        <is>
          <t>Maximum Weight Independent Set Tree</t>
        </is>
      </c>
      <c r="F444" s="10" t="inlineStr">
        <is>
          <t>Medium-Hard</t>
        </is>
      </c>
      <c r="G444" s="3" t="inlineStr">
        <is>
          <t>tree DP state 0 1</t>
        </is>
      </c>
      <c r="H444" s="2" t="n">
        <v>90</v>
      </c>
      <c r="I444" s="2" t="n">
        <v>80</v>
      </c>
      <c r="J444" s="5" t="inlineStr">
        <is>
          <t>https://www.codechef.com/problems/INDEPENDENT</t>
        </is>
      </c>
      <c r="K444" s="3" t="inlineStr"/>
      <c r="L444" s="2" t="inlineStr">
        <is>
          <t>codechef</t>
        </is>
      </c>
    </row>
    <row r="445" ht="20" customHeight="1">
      <c r="A445" s="6" t="inlineStr">
        <is>
          <t>Unsolved</t>
        </is>
      </c>
      <c r="B445" s="7" t="inlineStr">
        <is>
          <t>KINGDOM 13 — THE KINGDOM OF TREES</t>
        </is>
      </c>
      <c r="C445" s="7" t="inlineStr">
        <is>
          <t>Pattern 13.3 — Tree DP</t>
        </is>
      </c>
      <c r="D445" s="6" t="inlineStr">
        <is>
          <t>MAXWEIGHT</t>
        </is>
      </c>
      <c r="E445" s="7" t="inlineStr">
        <is>
          <t>House Robber III Tree DP</t>
        </is>
      </c>
      <c r="F445" s="9" t="inlineStr">
        <is>
          <t>Medium</t>
        </is>
      </c>
      <c r="G445" s="7" t="inlineStr">
        <is>
          <t>tree DP memoization</t>
        </is>
      </c>
      <c r="H445" s="6" t="n">
        <v>60</v>
      </c>
      <c r="I445" s="6" t="n">
        <v>55</v>
      </c>
      <c r="J445" s="8" t="inlineStr">
        <is>
          <t>https://www.codechef.com/problems/MAXWEIGHT</t>
        </is>
      </c>
      <c r="K445" s="7" t="inlineStr"/>
      <c r="L445" s="6" t="inlineStr">
        <is>
          <t>codechef</t>
        </is>
      </c>
    </row>
    <row r="446" ht="20" customHeight="1">
      <c r="A446" s="2" t="inlineStr">
        <is>
          <t>Unsolved</t>
        </is>
      </c>
      <c r="B446" s="3" t="inlineStr">
        <is>
          <t>KINGDOM 13 — THE KINGDOM OF TREES</t>
        </is>
      </c>
      <c r="C446" s="3" t="inlineStr">
        <is>
          <t>Pattern 13.3 — Tree DP</t>
        </is>
      </c>
      <c r="D446" s="2" t="inlineStr">
        <is>
          <t>TDP101</t>
        </is>
      </c>
      <c r="E446" s="3" t="inlineStr">
        <is>
          <t>Unique Binary Search Trees DP</t>
        </is>
      </c>
      <c r="F446" s="9" t="inlineStr">
        <is>
          <t>Medium</t>
        </is>
      </c>
      <c r="G446" s="3" t="inlineStr">
        <is>
          <t>Catalan number DP</t>
        </is>
      </c>
      <c r="H446" s="2" t="n">
        <v>60</v>
      </c>
      <c r="I446" s="2" t="n">
        <v>55</v>
      </c>
      <c r="J446" s="5" t="inlineStr">
        <is>
          <t>https://www.codechef.com/problems/TDP101</t>
        </is>
      </c>
      <c r="K446" s="3" t="inlineStr"/>
      <c r="L446" s="2" t="inlineStr">
        <is>
          <t>codechef</t>
        </is>
      </c>
    </row>
    <row r="447" ht="20" customHeight="1">
      <c r="A447" s="6" t="inlineStr">
        <is>
          <t>Unsolved</t>
        </is>
      </c>
      <c r="B447" s="7" t="inlineStr">
        <is>
          <t>KINGDOM 13 — THE KINGDOM OF TREES</t>
        </is>
      </c>
      <c r="C447" s="7" t="inlineStr">
        <is>
          <t>Pattern 13.3 — Tree DP</t>
        </is>
      </c>
      <c r="D447" s="6" t="inlineStr">
        <is>
          <t>TDP102</t>
        </is>
      </c>
      <c r="E447" s="7" t="inlineStr">
        <is>
          <t>Count Nodes Equal Average Subtree</t>
        </is>
      </c>
      <c r="F447" s="9" t="inlineStr">
        <is>
          <t>Medium</t>
        </is>
      </c>
      <c r="G447" s="7" t="inlineStr">
        <is>
          <t>tree DP sum count</t>
        </is>
      </c>
      <c r="H447" s="6" t="n">
        <v>60</v>
      </c>
      <c r="I447" s="6" t="n">
        <v>55</v>
      </c>
      <c r="J447" s="8" t="inlineStr">
        <is>
          <t>https://www.codechef.com/problems/TDP102</t>
        </is>
      </c>
      <c r="K447" s="7" t="inlineStr"/>
      <c r="L447" s="6" t="inlineStr">
        <is>
          <t>codechef</t>
        </is>
      </c>
    </row>
    <row r="448" ht="20" customHeight="1">
      <c r="A448" s="2" t="inlineStr">
        <is>
          <t>Unsolved</t>
        </is>
      </c>
      <c r="B448" s="3" t="inlineStr">
        <is>
          <t>KINGDOM 13 — THE KINGDOM OF TREES</t>
        </is>
      </c>
      <c r="C448" s="3" t="inlineStr">
        <is>
          <t>Pattern 13.3 — Tree DP</t>
        </is>
      </c>
      <c r="D448" s="2" t="inlineStr">
        <is>
          <t>TDP103</t>
        </is>
      </c>
      <c r="E448" s="3" t="inlineStr">
        <is>
          <t>Distribute Coins in Binary Tree</t>
        </is>
      </c>
      <c r="F448" s="9" t="inlineStr">
        <is>
          <t>Medium</t>
        </is>
      </c>
      <c r="G448" s="3" t="inlineStr">
        <is>
          <t>tree DP balance flow</t>
        </is>
      </c>
      <c r="H448" s="2" t="n">
        <v>60</v>
      </c>
      <c r="I448" s="2" t="n">
        <v>55</v>
      </c>
      <c r="J448" s="5" t="inlineStr">
        <is>
          <t>https://www.codechef.com/problems/TDP103</t>
        </is>
      </c>
      <c r="K448" s="3" t="inlineStr"/>
      <c r="L448" s="2" t="inlineStr">
        <is>
          <t>codechef</t>
        </is>
      </c>
    </row>
    <row r="449" ht="20" customHeight="1">
      <c r="A449" s="6" t="inlineStr">
        <is>
          <t>Unsolved</t>
        </is>
      </c>
      <c r="B449" s="7" t="inlineStr">
        <is>
          <t>KINGDOM 13 — THE KINGDOM OF TREES</t>
        </is>
      </c>
      <c r="C449" s="7" t="inlineStr">
        <is>
          <t>Pattern 13.3 — Tree DP</t>
        </is>
      </c>
      <c r="D449" s="6" t="inlineStr">
        <is>
          <t>TDP104</t>
        </is>
      </c>
      <c r="E449" s="7" t="inlineStr">
        <is>
          <t>Sum of Distances in Tree</t>
        </is>
      </c>
      <c r="F449" s="10" t="inlineStr">
        <is>
          <t>Hard</t>
        </is>
      </c>
      <c r="G449" s="7" t="inlineStr">
        <is>
          <t>rerooting tree DP</t>
        </is>
      </c>
      <c r="H449" s="6" t="n">
        <v>120</v>
      </c>
      <c r="I449" s="6" t="n">
        <v>120</v>
      </c>
      <c r="J449" s="8" t="inlineStr">
        <is>
          <t>https://www.codechef.com/problems/TDP104</t>
        </is>
      </c>
      <c r="K449" s="7" t="inlineStr"/>
      <c r="L449" s="6" t="inlineStr">
        <is>
          <t>codechef</t>
        </is>
      </c>
    </row>
    <row r="450" ht="20" customHeight="1">
      <c r="A450" s="2" t="inlineStr">
        <is>
          <t>Unsolved</t>
        </is>
      </c>
      <c r="B450" s="3" t="inlineStr">
        <is>
          <t>KINGDOM 13 — THE KINGDOM OF TREES</t>
        </is>
      </c>
      <c r="C450" s="3" t="inlineStr">
        <is>
          <t>Pattern 13.3 — Tree DP</t>
        </is>
      </c>
      <c r="D450" s="2" t="inlineStr">
        <is>
          <t>TDP105</t>
        </is>
      </c>
      <c r="E450" s="3" t="inlineStr">
        <is>
          <t>Longest Univalue Path Tree</t>
        </is>
      </c>
      <c r="F450" s="9" t="inlineStr">
        <is>
          <t>Medium</t>
        </is>
      </c>
      <c r="G450" s="3" t="inlineStr">
        <is>
          <t>tree DP path extension</t>
        </is>
      </c>
      <c r="H450" s="2" t="n">
        <v>60</v>
      </c>
      <c r="I450" s="2" t="n">
        <v>55</v>
      </c>
      <c r="J450" s="5" t="inlineStr">
        <is>
          <t>https://www.codechef.com/problems/TDP105</t>
        </is>
      </c>
      <c r="K450" s="3" t="inlineStr"/>
      <c r="L450" s="2" t="inlineStr">
        <is>
          <t>codechef</t>
        </is>
      </c>
    </row>
    <row r="451" ht="20" customHeight="1">
      <c r="A451" s="6" t="inlineStr">
        <is>
          <t>Unsolved</t>
        </is>
      </c>
      <c r="B451" s="7" t="inlineStr">
        <is>
          <t>KINGDOM 13 — THE KINGDOM OF TREES</t>
        </is>
      </c>
      <c r="C451" s="7" t="inlineStr">
        <is>
          <t>Pattern 13.4 — Binary Lifting (LCA)</t>
        </is>
      </c>
      <c r="D451" s="6" t="inlineStr">
        <is>
          <t>TALCA</t>
        </is>
      </c>
      <c r="E451" s="7" t="inlineStr">
        <is>
          <t>Lowest Common Ancestor Binary Lifting</t>
        </is>
      </c>
      <c r="F451" s="10" t="inlineStr">
        <is>
          <t>Medium-Hard</t>
        </is>
      </c>
      <c r="G451" s="7" t="inlineStr">
        <is>
          <t>binary lifting LCA</t>
        </is>
      </c>
      <c r="H451" s="6" t="n">
        <v>90</v>
      </c>
      <c r="I451" s="6" t="n">
        <v>80</v>
      </c>
      <c r="J451" s="8" t="inlineStr">
        <is>
          <t>https://www.codechef.com/problems/TALCA</t>
        </is>
      </c>
      <c r="K451" s="7" t="inlineStr"/>
      <c r="L451" s="6" t="inlineStr">
        <is>
          <t>codechef</t>
        </is>
      </c>
    </row>
    <row r="452" ht="20" customHeight="1">
      <c r="A452" s="2" t="inlineStr">
        <is>
          <t>Unsolved</t>
        </is>
      </c>
      <c r="B452" s="3" t="inlineStr">
        <is>
          <t>KINGDOM 13 — THE KINGDOM OF TREES</t>
        </is>
      </c>
      <c r="C452" s="3" t="inlineStr">
        <is>
          <t>Pattern 13.4 — Binary Lifting (LCA)</t>
        </is>
      </c>
      <c r="D452" s="2" t="inlineStr">
        <is>
          <t>LCA1</t>
        </is>
      </c>
      <c r="E452" s="3" t="inlineStr">
        <is>
          <t>Lowest Common Ancestor Binary Search Tree</t>
        </is>
      </c>
      <c r="F452" s="4" t="inlineStr">
        <is>
          <t>Easy</t>
        </is>
      </c>
      <c r="G452" s="3" t="inlineStr">
        <is>
          <t>BST LCA</t>
        </is>
      </c>
      <c r="H452" s="2" t="n">
        <v>25</v>
      </c>
      <c r="I452" s="2" t="n">
        <v>20</v>
      </c>
      <c r="J452" s="5" t="inlineStr">
        <is>
          <t>https://www.codechef.com/problems/LCA1</t>
        </is>
      </c>
      <c r="K452" s="3" t="inlineStr"/>
      <c r="L452" s="2" t="inlineStr">
        <is>
          <t>codechef</t>
        </is>
      </c>
    </row>
    <row r="453" ht="20" customHeight="1">
      <c r="A453" s="6" t="inlineStr">
        <is>
          <t>Unsolved</t>
        </is>
      </c>
      <c r="B453" s="7" t="inlineStr">
        <is>
          <t>KINGDOM 13 — THE KINGDOM OF TREES</t>
        </is>
      </c>
      <c r="C453" s="7" t="inlineStr">
        <is>
          <t>Pattern 13.4 — Binary Lifting (LCA)</t>
        </is>
      </c>
      <c r="D453" s="6" t="inlineStr">
        <is>
          <t>ANCESTOR1</t>
        </is>
      </c>
      <c r="E453" s="7" t="inlineStr">
        <is>
          <t>Lowest Common Ancestor Binary Tree</t>
        </is>
      </c>
      <c r="F453" s="9" t="inlineStr">
        <is>
          <t>Medium</t>
        </is>
      </c>
      <c r="G453" s="7" t="inlineStr">
        <is>
          <t>LCA recursion</t>
        </is>
      </c>
      <c r="H453" s="6" t="n">
        <v>60</v>
      </c>
      <c r="I453" s="6" t="n">
        <v>55</v>
      </c>
      <c r="J453" s="8" t="inlineStr">
        <is>
          <t>https://www.codechef.com/problems/ANCESTOR1</t>
        </is>
      </c>
      <c r="K453" s="7" t="inlineStr"/>
      <c r="L453" s="6" t="inlineStr">
        <is>
          <t>codechef</t>
        </is>
      </c>
    </row>
    <row r="454" ht="20" customHeight="1">
      <c r="A454" s="2" t="inlineStr">
        <is>
          <t>Unsolved</t>
        </is>
      </c>
      <c r="B454" s="3" t="inlineStr">
        <is>
          <t>KINGDOM 13 — THE KINGDOM OF TREES</t>
        </is>
      </c>
      <c r="C454" s="3" t="inlineStr">
        <is>
          <t>Pattern 13.4 — Binary Lifting (LCA)</t>
        </is>
      </c>
      <c r="D454" s="2" t="inlineStr">
        <is>
          <t>LCA101</t>
        </is>
      </c>
      <c r="E454" s="3" t="inlineStr">
        <is>
          <t>Kth Ancestor of a Tree Node</t>
        </is>
      </c>
      <c r="F454" s="10" t="inlineStr">
        <is>
          <t>Hard</t>
        </is>
      </c>
      <c r="G454" s="3" t="inlineStr">
        <is>
          <t>binary lifting matrix</t>
        </is>
      </c>
      <c r="H454" s="2" t="n">
        <v>120</v>
      </c>
      <c r="I454" s="2" t="n">
        <v>120</v>
      </c>
      <c r="J454" s="5" t="inlineStr">
        <is>
          <t>https://www.codechef.com/problems/LCA101</t>
        </is>
      </c>
      <c r="K454" s="3" t="inlineStr"/>
      <c r="L454" s="2" t="inlineStr">
        <is>
          <t>codechef</t>
        </is>
      </c>
    </row>
    <row r="455" ht="20" customHeight="1">
      <c r="A455" s="6" t="inlineStr">
        <is>
          <t>Unsolved</t>
        </is>
      </c>
      <c r="B455" s="7" t="inlineStr">
        <is>
          <t>KINGDOM 13 — THE KINGDOM OF TREES</t>
        </is>
      </c>
      <c r="C455" s="7" t="inlineStr">
        <is>
          <t>Pattern 13.4 — Binary Lifting (LCA)</t>
        </is>
      </c>
      <c r="D455" s="6" t="inlineStr">
        <is>
          <t>LCA102</t>
        </is>
      </c>
      <c r="E455" s="7" t="inlineStr">
        <is>
          <t>Distance Between Two Nodes in Tree</t>
        </is>
      </c>
      <c r="F455" s="10" t="inlineStr">
        <is>
          <t>Medium-Hard</t>
        </is>
      </c>
      <c r="G455" s="7" t="inlineStr">
        <is>
          <t>LCA depth formula</t>
        </is>
      </c>
      <c r="H455" s="6" t="n">
        <v>90</v>
      </c>
      <c r="I455" s="6" t="n">
        <v>80</v>
      </c>
      <c r="J455" s="8" t="inlineStr">
        <is>
          <t>https://www.codechef.com/problems/LCA102</t>
        </is>
      </c>
      <c r="K455" s="7" t="inlineStr"/>
      <c r="L455" s="6" t="inlineStr">
        <is>
          <t>codechef</t>
        </is>
      </c>
    </row>
    <row r="456" ht="20" customHeight="1">
      <c r="A456" s="2" t="inlineStr">
        <is>
          <t>Unsolved</t>
        </is>
      </c>
      <c r="B456" s="3" t="inlineStr">
        <is>
          <t>KINGDOM 13 — THE KINGDOM OF TREES</t>
        </is>
      </c>
      <c r="C456" s="3" t="inlineStr">
        <is>
          <t>Pattern 13.4 — Binary Lifting (LCA)</t>
        </is>
      </c>
      <c r="D456" s="2" t="inlineStr">
        <is>
          <t>LCA103</t>
        </is>
      </c>
      <c r="E456" s="3" t="inlineStr">
        <is>
          <t>Min Max Edge Weight Query Path</t>
        </is>
      </c>
      <c r="F456" s="10" t="inlineStr">
        <is>
          <t>Hard</t>
        </is>
      </c>
      <c r="G456" s="3" t="inlineStr">
        <is>
          <t>binary lifting max edge</t>
        </is>
      </c>
      <c r="H456" s="2" t="n">
        <v>120</v>
      </c>
      <c r="I456" s="2" t="n">
        <v>120</v>
      </c>
      <c r="J456" s="5" t="inlineStr">
        <is>
          <t>https://www.codechef.com/problems/LCA103</t>
        </is>
      </c>
      <c r="K456" s="3" t="inlineStr"/>
      <c r="L456" s="2" t="inlineStr">
        <is>
          <t>codechef</t>
        </is>
      </c>
    </row>
    <row r="457" ht="20" customHeight="1">
      <c r="A457" s="6" t="inlineStr">
        <is>
          <t>Unsolved</t>
        </is>
      </c>
      <c r="B457" s="7" t="inlineStr">
        <is>
          <t>KINGDOM 13 — THE KINGDOM OF TREES</t>
        </is>
      </c>
      <c r="C457" s="7" t="inlineStr">
        <is>
          <t>Pattern 13.4 — Binary Lifting (LCA)</t>
        </is>
      </c>
      <c r="D457" s="6" t="inlineStr">
        <is>
          <t>LCA104</t>
        </is>
      </c>
      <c r="E457" s="7" t="inlineStr">
        <is>
          <t>Tree Path XOR Query LCA</t>
        </is>
      </c>
      <c r="F457" s="10" t="inlineStr">
        <is>
          <t>Hard</t>
        </is>
      </c>
      <c r="G457" s="7" t="inlineStr">
        <is>
          <t>binary lifting XOR</t>
        </is>
      </c>
      <c r="H457" s="6" t="n">
        <v>120</v>
      </c>
      <c r="I457" s="6" t="n">
        <v>120</v>
      </c>
      <c r="J457" s="8" t="inlineStr">
        <is>
          <t>https://www.codechef.com/problems/LCA104</t>
        </is>
      </c>
      <c r="K457" s="7" t="inlineStr"/>
      <c r="L457" s="6" t="inlineStr">
        <is>
          <t>codechef</t>
        </is>
      </c>
    </row>
    <row r="458" ht="20" customHeight="1">
      <c r="A458" s="2" t="inlineStr">
        <is>
          <t>Unsolved</t>
        </is>
      </c>
      <c r="B458" s="3" t="inlineStr">
        <is>
          <t>KINGDOM 13 — THE KINGDOM OF TREES</t>
        </is>
      </c>
      <c r="C458" s="3" t="inlineStr">
        <is>
          <t>Pattern 13.4 — Binary Lifting (LCA)</t>
        </is>
      </c>
      <c r="D458" s="2" t="inlineStr">
        <is>
          <t>LCA105</t>
        </is>
      </c>
      <c r="E458" s="3" t="inlineStr">
        <is>
          <t>Lowest Common Ancestor Deepest Leaves</t>
        </is>
      </c>
      <c r="F458" s="9" t="inlineStr">
        <is>
          <t>Medium</t>
        </is>
      </c>
      <c r="G458" s="3" t="inlineStr">
        <is>
          <t>LCA height match</t>
        </is>
      </c>
      <c r="H458" s="2" t="n">
        <v>60</v>
      </c>
      <c r="I458" s="2" t="n">
        <v>55</v>
      </c>
      <c r="J458" s="5" t="inlineStr">
        <is>
          <t>https://www.codechef.com/problems/LCA105</t>
        </is>
      </c>
      <c r="K458" s="3" t="inlineStr"/>
      <c r="L458" s="2" t="inlineStr">
        <is>
          <t>codechef</t>
        </is>
      </c>
    </row>
    <row r="459" ht="20" customHeight="1">
      <c r="A459" s="6" t="inlineStr">
        <is>
          <t>Unsolved</t>
        </is>
      </c>
      <c r="B459" s="7" t="inlineStr">
        <is>
          <t>KINGDOM 13 — THE KINGDOM OF TREES</t>
        </is>
      </c>
      <c r="C459" s="7" t="inlineStr">
        <is>
          <t>Pattern 13.5 — Rerooting DP</t>
        </is>
      </c>
      <c r="D459" s="6" t="inlineStr">
        <is>
          <t>REROOT1</t>
        </is>
      </c>
      <c r="E459" s="7" t="inlineStr">
        <is>
          <t>Tree Node Distance Sum Rerooting</t>
        </is>
      </c>
      <c r="F459" s="10" t="inlineStr">
        <is>
          <t>Hard</t>
        </is>
      </c>
      <c r="G459" s="7" t="inlineStr">
        <is>
          <t>rerooting tree DP</t>
        </is>
      </c>
      <c r="H459" s="6" t="n">
        <v>120</v>
      </c>
      <c r="I459" s="6" t="n">
        <v>120</v>
      </c>
      <c r="J459" s="8" t="inlineStr">
        <is>
          <t>https://www.codechef.com/problems/REROOT1</t>
        </is>
      </c>
      <c r="K459" s="7" t="inlineStr"/>
      <c r="L459" s="6" t="inlineStr">
        <is>
          <t>codechef</t>
        </is>
      </c>
    </row>
    <row r="460" ht="20" customHeight="1">
      <c r="A460" s="2" t="inlineStr">
        <is>
          <t>Unsolved</t>
        </is>
      </c>
      <c r="B460" s="3" t="inlineStr">
        <is>
          <t>KINGDOM 13 — THE KINGDOM OF TREES</t>
        </is>
      </c>
      <c r="C460" s="3" t="inlineStr">
        <is>
          <t>Pattern 13.5 — Rerooting DP</t>
        </is>
      </c>
      <c r="D460" s="2" t="inlineStr">
        <is>
          <t>TREECENTROID</t>
        </is>
      </c>
      <c r="E460" s="3" t="inlineStr">
        <is>
          <t>Centroid of Tree Rerooting DP</t>
        </is>
      </c>
      <c r="F460" s="10" t="inlineStr">
        <is>
          <t>Hard</t>
        </is>
      </c>
      <c r="G460" s="3" t="inlineStr">
        <is>
          <t>tree centroid rerooting</t>
        </is>
      </c>
      <c r="H460" s="2" t="n">
        <v>120</v>
      </c>
      <c r="I460" s="2" t="n">
        <v>120</v>
      </c>
      <c r="J460" s="5" t="inlineStr">
        <is>
          <t>https://www.codechef.com/problems/TREECENTROID</t>
        </is>
      </c>
      <c r="K460" s="3" t="inlineStr"/>
      <c r="L460" s="2" t="inlineStr">
        <is>
          <t>codechef</t>
        </is>
      </c>
    </row>
    <row r="461" ht="20" customHeight="1">
      <c r="A461" s="6" t="inlineStr">
        <is>
          <t>Unsolved</t>
        </is>
      </c>
      <c r="B461" s="7" t="inlineStr">
        <is>
          <t>KINGDOM 13 — THE KINGDOM OF TREES</t>
        </is>
      </c>
      <c r="C461" s="7" t="inlineStr">
        <is>
          <t>Pattern 13.5 — Rerooting DP</t>
        </is>
      </c>
      <c r="D461" s="6" t="inlineStr">
        <is>
          <t>REROOT101</t>
        </is>
      </c>
      <c r="E461" s="7" t="inlineStr">
        <is>
          <t>Tree All Nodes Minimum Height Trees</t>
        </is>
      </c>
      <c r="F461" s="10" t="inlineStr">
        <is>
          <t>Medium-Hard</t>
        </is>
      </c>
      <c r="G461" s="7" t="inlineStr">
        <is>
          <t>rerooting BFS</t>
        </is>
      </c>
      <c r="H461" s="6" t="n">
        <v>90</v>
      </c>
      <c r="I461" s="6" t="n">
        <v>80</v>
      </c>
      <c r="J461" s="8" t="inlineStr">
        <is>
          <t>https://www.codechef.com/problems/REROOT101</t>
        </is>
      </c>
      <c r="K461" s="7" t="inlineStr"/>
      <c r="L461" s="6" t="inlineStr">
        <is>
          <t>codechef</t>
        </is>
      </c>
    </row>
    <row r="462" ht="20" customHeight="1">
      <c r="A462" s="2" t="inlineStr">
        <is>
          <t>Unsolved</t>
        </is>
      </c>
      <c r="B462" s="3" t="inlineStr">
        <is>
          <t>KINGDOM 13 — THE KINGDOM OF TREES</t>
        </is>
      </c>
      <c r="C462" s="3" t="inlineStr">
        <is>
          <t>Pattern 13.5 — Rerooting DP</t>
        </is>
      </c>
      <c r="D462" s="2" t="inlineStr">
        <is>
          <t>REROOT102</t>
        </is>
      </c>
      <c r="E462" s="3" t="inlineStr">
        <is>
          <t>Maximum Product of Splitting Tree</t>
        </is>
      </c>
      <c r="F462" s="9" t="inlineStr">
        <is>
          <t>Medium</t>
        </is>
      </c>
      <c r="G462" s="3" t="inlineStr">
        <is>
          <t>subtree sum tree DP</t>
        </is>
      </c>
      <c r="H462" s="2" t="n">
        <v>60</v>
      </c>
      <c r="I462" s="2" t="n">
        <v>55</v>
      </c>
      <c r="J462" s="5" t="inlineStr">
        <is>
          <t>https://www.codechef.com/problems/REROOT102</t>
        </is>
      </c>
      <c r="K462" s="3" t="inlineStr"/>
      <c r="L462" s="2" t="inlineStr">
        <is>
          <t>codechef</t>
        </is>
      </c>
    </row>
    <row r="463" ht="20" customHeight="1">
      <c r="A463" s="6" t="inlineStr">
        <is>
          <t>Unsolved</t>
        </is>
      </c>
      <c r="B463" s="7" t="inlineStr">
        <is>
          <t>KINGDOM 13 — THE KINGDOM OF TREES</t>
        </is>
      </c>
      <c r="C463" s="7" t="inlineStr">
        <is>
          <t>Pattern 13.5 — Rerooting DP</t>
        </is>
      </c>
      <c r="D463" s="6" t="inlineStr">
        <is>
          <t>REROOT103</t>
        </is>
      </c>
      <c r="E463" s="7" t="inlineStr">
        <is>
          <t>Greatest Common Divisor Tree Subtree DP</t>
        </is>
      </c>
      <c r="F463" s="10" t="inlineStr">
        <is>
          <t>Hard</t>
        </is>
      </c>
      <c r="G463" s="7" t="inlineStr">
        <is>
          <t>rerooting DP</t>
        </is>
      </c>
      <c r="H463" s="6" t="n">
        <v>120</v>
      </c>
      <c r="I463" s="6" t="n">
        <v>120</v>
      </c>
      <c r="J463" s="8" t="inlineStr">
        <is>
          <t>https://www.codechef.com/problems/REROOT103</t>
        </is>
      </c>
      <c r="K463" s="7" t="inlineStr"/>
      <c r="L463" s="6" t="inlineStr">
        <is>
          <t>codechef</t>
        </is>
      </c>
    </row>
    <row r="464" ht="20" customHeight="1">
      <c r="A464" s="2" t="inlineStr">
        <is>
          <t>Unsolved</t>
        </is>
      </c>
      <c r="B464" s="3" t="inlineStr">
        <is>
          <t>KINGDOM 13 — THE KINGDOM OF TREES</t>
        </is>
      </c>
      <c r="C464" s="3" t="inlineStr">
        <is>
          <t>Pattern 13.5 — Rerooting DP</t>
        </is>
      </c>
      <c r="D464" s="2" t="inlineStr">
        <is>
          <t>REROOT104</t>
        </is>
      </c>
      <c r="E464" s="3" t="inlineStr">
        <is>
          <t>Tree Coloring Max Score Rerooting</t>
        </is>
      </c>
      <c r="F464" s="10" t="inlineStr">
        <is>
          <t>Hard</t>
        </is>
      </c>
      <c r="G464" s="3" t="inlineStr">
        <is>
          <t>rerooting DP</t>
        </is>
      </c>
      <c r="H464" s="2" t="n">
        <v>120</v>
      </c>
      <c r="I464" s="2" t="n">
        <v>120</v>
      </c>
      <c r="J464" s="5" t="inlineStr">
        <is>
          <t>https://www.codechef.com/problems/REROOT104</t>
        </is>
      </c>
      <c r="K464" s="3" t="inlineStr"/>
      <c r="L464" s="2" t="inlineStr">
        <is>
          <t>codechef</t>
        </is>
      </c>
    </row>
    <row r="465" ht="20" customHeight="1">
      <c r="A465" s="6" t="inlineStr">
        <is>
          <t>Unsolved</t>
        </is>
      </c>
      <c r="B465" s="7" t="inlineStr">
        <is>
          <t>KINGDOM 13 — THE KINGDOM OF TREES</t>
        </is>
      </c>
      <c r="C465" s="7" t="inlineStr">
        <is>
          <t>Pattern 13.5 — Rerooting DP</t>
        </is>
      </c>
      <c r="D465" s="6" t="inlineStr">
        <is>
          <t>REROOT105</t>
        </is>
      </c>
      <c r="E465" s="7" t="inlineStr">
        <is>
          <t>Tree Path Coverage Rerooting</t>
        </is>
      </c>
      <c r="F465" s="11" t="inlineStr">
        <is>
          <t>Expert</t>
        </is>
      </c>
      <c r="G465" s="7" t="inlineStr">
        <is>
          <t>rerooting DP</t>
        </is>
      </c>
      <c r="H465" s="6" t="n">
        <v>180</v>
      </c>
      <c r="I465" s="6" t="n">
        <v>180</v>
      </c>
      <c r="J465" s="8" t="inlineStr">
        <is>
          <t>https://www.codechef.com/problems/REROOT105</t>
        </is>
      </c>
      <c r="K465" s="7" t="inlineStr"/>
      <c r="L465" s="6" t="inlineStr">
        <is>
          <t>codechef</t>
        </is>
      </c>
    </row>
    <row r="466" ht="20" customHeight="1">
      <c r="A466" s="2" t="inlineStr">
        <is>
          <t>Unsolved</t>
        </is>
      </c>
      <c r="B466" s="3" t="inlineStr">
        <is>
          <t>KINGDOM 13 — THE KINGDOM OF TREES</t>
        </is>
      </c>
      <c r="C466" s="3" t="inlineStr">
        <is>
          <t>Pattern 13.6 — Euler Tour</t>
        </is>
      </c>
      <c r="D466" s="2" t="inlineStr">
        <is>
          <t>EULERTOUR1</t>
        </is>
      </c>
      <c r="E466" s="3" t="inlineStr">
        <is>
          <t>Euler Tour Subtree Query Flattening</t>
        </is>
      </c>
      <c r="F466" s="10" t="inlineStr">
        <is>
          <t>Hard</t>
        </is>
      </c>
      <c r="G466" s="3" t="inlineStr">
        <is>
          <t>Euler tour segment tree</t>
        </is>
      </c>
      <c r="H466" s="2" t="n">
        <v>120</v>
      </c>
      <c r="I466" s="2" t="n">
        <v>120</v>
      </c>
      <c r="J466" s="5" t="inlineStr">
        <is>
          <t>https://www.codechef.com/problems/EULERTOUR1</t>
        </is>
      </c>
      <c r="K466" s="3" t="inlineStr"/>
      <c r="L466" s="2" t="inlineStr">
        <is>
          <t>codechef</t>
        </is>
      </c>
    </row>
    <row r="467" ht="20" customHeight="1">
      <c r="A467" s="6" t="inlineStr">
        <is>
          <t>Unsolved</t>
        </is>
      </c>
      <c r="B467" s="7" t="inlineStr">
        <is>
          <t>KINGDOM 13 — THE KINGDOM OF TREES</t>
        </is>
      </c>
      <c r="C467" s="7" t="inlineStr">
        <is>
          <t>Pattern 13.6 — Euler Tour</t>
        </is>
      </c>
      <c r="D467" s="6" t="inlineStr">
        <is>
          <t>SUBTREEQUERY</t>
        </is>
      </c>
      <c r="E467" s="7" t="inlineStr">
        <is>
          <t>Tree Subtree Update Point Query</t>
        </is>
      </c>
      <c r="F467" s="10" t="inlineStr">
        <is>
          <t>Hard</t>
        </is>
      </c>
      <c r="G467" s="7" t="inlineStr">
        <is>
          <t>Euler tour Fenwick tree</t>
        </is>
      </c>
      <c r="H467" s="6" t="n">
        <v>120</v>
      </c>
      <c r="I467" s="6" t="n">
        <v>120</v>
      </c>
      <c r="J467" s="8" t="inlineStr">
        <is>
          <t>https://www.codechef.com/problems/SUBTREEQUERY</t>
        </is>
      </c>
      <c r="K467" s="7" t="inlineStr"/>
      <c r="L467" s="6" t="inlineStr">
        <is>
          <t>codechef</t>
        </is>
      </c>
    </row>
    <row r="468" ht="20" customHeight="1">
      <c r="A468" s="2" t="inlineStr">
        <is>
          <t>Unsolved</t>
        </is>
      </c>
      <c r="B468" s="3" t="inlineStr">
        <is>
          <t>KINGDOM 13 — THE KINGDOM OF TREES</t>
        </is>
      </c>
      <c r="C468" s="3" t="inlineStr">
        <is>
          <t>Pattern 13.6 — Euler Tour</t>
        </is>
      </c>
      <c r="D468" s="2" t="inlineStr">
        <is>
          <t>ETOUR101</t>
        </is>
      </c>
      <c r="E468" s="3" t="inlineStr">
        <is>
          <t>Tree Subtree Sum Query Fenwick</t>
        </is>
      </c>
      <c r="F468" s="10" t="inlineStr">
        <is>
          <t>Hard</t>
        </is>
      </c>
      <c r="G468" s="3" t="inlineStr">
        <is>
          <t>Euler tour BIT</t>
        </is>
      </c>
      <c r="H468" s="2" t="n">
        <v>120</v>
      </c>
      <c r="I468" s="2" t="n">
        <v>120</v>
      </c>
      <c r="J468" s="5" t="inlineStr">
        <is>
          <t>https://www.codechef.com/problems/ETOUR101</t>
        </is>
      </c>
      <c r="K468" s="3" t="inlineStr"/>
      <c r="L468" s="2" t="inlineStr">
        <is>
          <t>codechef</t>
        </is>
      </c>
    </row>
    <row r="469" ht="20" customHeight="1">
      <c r="A469" s="6" t="inlineStr">
        <is>
          <t>Unsolved</t>
        </is>
      </c>
      <c r="B469" s="7" t="inlineStr">
        <is>
          <t>KINGDOM 13 — THE KINGDOM OF TREES</t>
        </is>
      </c>
      <c r="C469" s="7" t="inlineStr">
        <is>
          <t>Pattern 13.6 — Euler Tour</t>
        </is>
      </c>
      <c r="D469" s="6" t="inlineStr">
        <is>
          <t>ETOUR102</t>
        </is>
      </c>
      <c r="E469" s="7" t="inlineStr">
        <is>
          <t>LCA via Euler Tour RMQ Segment Tree</t>
        </is>
      </c>
      <c r="F469" s="10" t="inlineStr">
        <is>
          <t>Hard</t>
        </is>
      </c>
      <c r="G469" s="7" t="inlineStr">
        <is>
          <t>Euler tour RMQ LCA</t>
        </is>
      </c>
      <c r="H469" s="6" t="n">
        <v>120</v>
      </c>
      <c r="I469" s="6" t="n">
        <v>120</v>
      </c>
      <c r="J469" s="8" t="inlineStr">
        <is>
          <t>https://www.codechef.com/problems/ETOUR102</t>
        </is>
      </c>
      <c r="K469" s="7" t="inlineStr"/>
      <c r="L469" s="6" t="inlineStr">
        <is>
          <t>codechef</t>
        </is>
      </c>
    </row>
    <row r="470" ht="20" customHeight="1">
      <c r="A470" s="2" t="inlineStr">
        <is>
          <t>Unsolved</t>
        </is>
      </c>
      <c r="B470" s="3" t="inlineStr">
        <is>
          <t>KINGDOM 13 — THE KINGDOM OF TREES</t>
        </is>
      </c>
      <c r="C470" s="3" t="inlineStr">
        <is>
          <t>Pattern 13.6 — Euler Tour</t>
        </is>
      </c>
      <c r="D470" s="2" t="inlineStr">
        <is>
          <t>ETOUR103</t>
        </is>
      </c>
      <c r="E470" s="3" t="inlineStr">
        <is>
          <t>Subtree Color Count Query</t>
        </is>
      </c>
      <c r="F470" s="10" t="inlineStr">
        <is>
          <t>Hard</t>
        </is>
      </c>
      <c r="G470" s="3" t="inlineStr">
        <is>
          <t>Euler tour DSU on tree Sack</t>
        </is>
      </c>
      <c r="H470" s="2" t="n">
        <v>120</v>
      </c>
      <c r="I470" s="2" t="n">
        <v>120</v>
      </c>
      <c r="J470" s="5" t="inlineStr">
        <is>
          <t>https://www.codechef.com/problems/ETOUR103</t>
        </is>
      </c>
      <c r="K470" s="3" t="inlineStr"/>
      <c r="L470" s="2" t="inlineStr">
        <is>
          <t>codechef</t>
        </is>
      </c>
    </row>
    <row r="471" ht="20" customHeight="1">
      <c r="A471" s="6" t="inlineStr">
        <is>
          <t>Unsolved</t>
        </is>
      </c>
      <c r="B471" s="7" t="inlineStr">
        <is>
          <t>KINGDOM 13 — THE KINGDOM OF TREES</t>
        </is>
      </c>
      <c r="C471" s="7" t="inlineStr">
        <is>
          <t>Pattern 13.6 — Euler Tour</t>
        </is>
      </c>
      <c r="D471" s="6" t="inlineStr">
        <is>
          <t>ETOUR104</t>
        </is>
      </c>
      <c r="E471" s="7" t="inlineStr">
        <is>
          <t>Subtree Frequency Mo's Algorithm on Tree</t>
        </is>
      </c>
      <c r="F471" s="11" t="inlineStr">
        <is>
          <t>Expert</t>
        </is>
      </c>
      <c r="G471" s="7" t="inlineStr">
        <is>
          <t>Euler tour Mo algorithm</t>
        </is>
      </c>
      <c r="H471" s="6" t="n">
        <v>180</v>
      </c>
      <c r="I471" s="6" t="n">
        <v>180</v>
      </c>
      <c r="J471" s="8" t="inlineStr">
        <is>
          <t>https://www.codechef.com/problems/ETOUR104</t>
        </is>
      </c>
      <c r="K471" s="7" t="inlineStr"/>
      <c r="L471" s="6" t="inlineStr">
        <is>
          <t>codechef</t>
        </is>
      </c>
    </row>
    <row r="472" ht="20" customHeight="1">
      <c r="A472" s="2" t="inlineStr">
        <is>
          <t>Unsolved</t>
        </is>
      </c>
      <c r="B472" s="3" t="inlineStr">
        <is>
          <t>KINGDOM 13 — THE KINGDOM OF TREES</t>
        </is>
      </c>
      <c r="C472" s="3" t="inlineStr">
        <is>
          <t>Pattern 13.6 — Euler Tour</t>
        </is>
      </c>
      <c r="D472" s="2" t="inlineStr">
        <is>
          <t>ETOUR105</t>
        </is>
      </c>
      <c r="E472" s="3" t="inlineStr">
        <is>
          <t>Path Update Point Query Euler Tour</t>
        </is>
      </c>
      <c r="F472" s="10" t="inlineStr">
        <is>
          <t>Hard</t>
        </is>
      </c>
      <c r="G472" s="3" t="inlineStr">
        <is>
          <t>Euler tour BIT</t>
        </is>
      </c>
      <c r="H472" s="2" t="n">
        <v>120</v>
      </c>
      <c r="I472" s="2" t="n">
        <v>120</v>
      </c>
      <c r="J472" s="5" t="inlineStr">
        <is>
          <t>https://www.codechef.com/problems/ETOUR105</t>
        </is>
      </c>
      <c r="K472" s="3" t="inlineStr"/>
      <c r="L472" s="2" t="inlineStr">
        <is>
          <t>codechef</t>
        </is>
      </c>
    </row>
    <row r="473" ht="20" customHeight="1">
      <c r="A473" s="6" t="inlineStr">
        <is>
          <t>Unsolved</t>
        </is>
      </c>
      <c r="B473" s="7" t="inlineStr">
        <is>
          <t>KINGDOM 13 — THE KINGDOM OF TREES</t>
        </is>
      </c>
      <c r="C473" s="7" t="inlineStr">
        <is>
          <t>Pattern 13.6 — Euler Tour</t>
        </is>
      </c>
      <c r="D473" s="6" t="inlineStr">
        <is>
          <t>ETOUR106</t>
        </is>
      </c>
      <c r="E473" s="7" t="inlineStr">
        <is>
          <t>Heavy Light Decomposition Base Euler Tour</t>
        </is>
      </c>
      <c r="F473" s="10" t="inlineStr">
        <is>
          <t>Hard</t>
        </is>
      </c>
      <c r="G473" s="7" t="inlineStr">
        <is>
          <t>Euler tour HLD</t>
        </is>
      </c>
      <c r="H473" s="6" t="n">
        <v>120</v>
      </c>
      <c r="I473" s="6" t="n">
        <v>120</v>
      </c>
      <c r="J473" s="8" t="inlineStr">
        <is>
          <t>https://www.codechef.com/problems/ETOUR106</t>
        </is>
      </c>
      <c r="K473" s="7" t="inlineStr"/>
      <c r="L473" s="6" t="inlineStr">
        <is>
          <t>codechef</t>
        </is>
      </c>
    </row>
    <row r="474" ht="20" customHeight="1">
      <c r="A474" s="2" t="inlineStr">
        <is>
          <t>Unsolved</t>
        </is>
      </c>
      <c r="B474" s="3" t="inlineStr">
        <is>
          <t>KINGDOM 14 — THE KINGDOM OF GRAPH TRAVERSAL (DFS &amp; BFS)</t>
        </is>
      </c>
      <c r="C474" s="3" t="inlineStr">
        <is>
          <t>Pattern 14.1 — Connected Components</t>
        </is>
      </c>
      <c r="D474" s="2" t="inlineStr">
        <is>
          <t>FIRESC</t>
        </is>
      </c>
      <c r="E474" s="3" t="inlineStr">
        <is>
          <t>Fire Escape Routes</t>
        </is>
      </c>
      <c r="F474" s="9" t="inlineStr">
        <is>
          <t>Medium</t>
        </is>
      </c>
      <c r="G474" s="3" t="inlineStr">
        <is>
          <t>DFS connected components, product combinatorics</t>
        </is>
      </c>
      <c r="H474" s="2" t="n">
        <v>60</v>
      </c>
      <c r="I474" s="2" t="n">
        <v>55</v>
      </c>
      <c r="J474" s="5" t="inlineStr">
        <is>
          <t>https://www.codechef.com/problems/FIRESC</t>
        </is>
      </c>
      <c r="K474" s="3" t="inlineStr"/>
      <c r="L474" s="2" t="inlineStr">
        <is>
          <t>codechef</t>
        </is>
      </c>
    </row>
    <row r="475" ht="20" customHeight="1">
      <c r="A475" s="6" t="inlineStr">
        <is>
          <t>Unsolved</t>
        </is>
      </c>
      <c r="B475" s="7" t="inlineStr">
        <is>
          <t>KINGDOM 14 — THE KINGDOM OF GRAPH TRAVERSAL (DFS &amp; BFS)</t>
        </is>
      </c>
      <c r="C475" s="7" t="inlineStr">
        <is>
          <t>Pattern 14.1 — Connected Components</t>
        </is>
      </c>
      <c r="D475" s="6" t="inlineStr">
        <is>
          <t>DISHOWN</t>
        </is>
      </c>
      <c r="E475" s="7" t="inlineStr">
        <is>
          <t>Dish Owner</t>
        </is>
      </c>
      <c r="F475" s="9" t="inlineStr">
        <is>
          <t>Medium</t>
        </is>
      </c>
      <c r="G475" s="7" t="inlineStr">
        <is>
          <t>DSU / DFS connected components</t>
        </is>
      </c>
      <c r="H475" s="6" t="n">
        <v>60</v>
      </c>
      <c r="I475" s="6" t="n">
        <v>55</v>
      </c>
      <c r="J475" s="8" t="inlineStr">
        <is>
          <t>https://www.codechef.com/problems/DISHOWN</t>
        </is>
      </c>
      <c r="K475" s="7" t="inlineStr"/>
      <c r="L475" s="6" t="inlineStr">
        <is>
          <t>codechef</t>
        </is>
      </c>
    </row>
    <row r="476" ht="20" customHeight="1">
      <c r="A476" s="2" t="inlineStr">
        <is>
          <t>Unsolved</t>
        </is>
      </c>
      <c r="B476" s="3" t="inlineStr">
        <is>
          <t>KINGDOM 14 — THE KINGDOM OF GRAPH TRAVERSAL (DFS &amp; BFS)</t>
        </is>
      </c>
      <c r="C476" s="3" t="inlineStr">
        <is>
          <t>Pattern 14.1 — Connected Components</t>
        </is>
      </c>
      <c r="D476" s="2" t="inlineStr">
        <is>
          <t>CONNECT1</t>
        </is>
      </c>
      <c r="E476" s="3" t="inlineStr">
        <is>
          <t>Number of Islands Grid</t>
        </is>
      </c>
      <c r="F476" s="9" t="inlineStr">
        <is>
          <t>Medium</t>
        </is>
      </c>
      <c r="G476" s="3" t="inlineStr">
        <is>
          <t>DFS 2D grid components</t>
        </is>
      </c>
      <c r="H476" s="2" t="n">
        <v>60</v>
      </c>
      <c r="I476" s="2" t="n">
        <v>55</v>
      </c>
      <c r="J476" s="5" t="inlineStr">
        <is>
          <t>https://www.codechef.com/problems/CONNECT1</t>
        </is>
      </c>
      <c r="K476" s="3" t="inlineStr"/>
      <c r="L476" s="2" t="inlineStr">
        <is>
          <t>codechef</t>
        </is>
      </c>
    </row>
    <row r="477" ht="20" customHeight="1">
      <c r="A477" s="6" t="inlineStr">
        <is>
          <t>Unsolved</t>
        </is>
      </c>
      <c r="B477" s="7" t="inlineStr">
        <is>
          <t>KINGDOM 14 — THE KINGDOM OF GRAPH TRAVERSAL (DFS &amp; BFS)</t>
        </is>
      </c>
      <c r="C477" s="7" t="inlineStr">
        <is>
          <t>Pattern 14.1 — Connected Components</t>
        </is>
      </c>
      <c r="D477" s="6" t="inlineStr">
        <is>
          <t>CONN101</t>
        </is>
      </c>
      <c r="E477" s="7" t="inlineStr">
        <is>
          <t>Max Area of Island Grid</t>
        </is>
      </c>
      <c r="F477" s="9" t="inlineStr">
        <is>
          <t>Medium</t>
        </is>
      </c>
      <c r="G477" s="7" t="inlineStr">
        <is>
          <t>DFS grid area sum</t>
        </is>
      </c>
      <c r="H477" s="6" t="n">
        <v>60</v>
      </c>
      <c r="I477" s="6" t="n">
        <v>55</v>
      </c>
      <c r="J477" s="8" t="inlineStr">
        <is>
          <t>https://www.codechef.com/problems/CONN101</t>
        </is>
      </c>
      <c r="K477" s="7" t="inlineStr"/>
      <c r="L477" s="6" t="inlineStr">
        <is>
          <t>codechef</t>
        </is>
      </c>
    </row>
    <row r="478" ht="20" customHeight="1">
      <c r="A478" s="2" t="inlineStr">
        <is>
          <t>Unsolved</t>
        </is>
      </c>
      <c r="B478" s="3" t="inlineStr">
        <is>
          <t>KINGDOM 14 — THE KINGDOM OF GRAPH TRAVERSAL (DFS &amp; BFS)</t>
        </is>
      </c>
      <c r="C478" s="3" t="inlineStr">
        <is>
          <t>Pattern 14.1 — Connected Components</t>
        </is>
      </c>
      <c r="D478" s="2" t="inlineStr">
        <is>
          <t>CONN102</t>
        </is>
      </c>
      <c r="E478" s="3" t="inlineStr">
        <is>
          <t>Number of Provinces Graph</t>
        </is>
      </c>
      <c r="F478" s="9" t="inlineStr">
        <is>
          <t>Medium</t>
        </is>
      </c>
      <c r="G478" s="3" t="inlineStr">
        <is>
          <t>DFS adjacency matrix</t>
        </is>
      </c>
      <c r="H478" s="2" t="n">
        <v>60</v>
      </c>
      <c r="I478" s="2" t="n">
        <v>55</v>
      </c>
      <c r="J478" s="5" t="inlineStr">
        <is>
          <t>https://www.codechef.com/problems/CONN102</t>
        </is>
      </c>
      <c r="K478" s="3" t="inlineStr"/>
      <c r="L478" s="2" t="inlineStr">
        <is>
          <t>codechef</t>
        </is>
      </c>
    </row>
    <row r="479" ht="20" customHeight="1">
      <c r="A479" s="6" t="inlineStr">
        <is>
          <t>Unsolved</t>
        </is>
      </c>
      <c r="B479" s="7" t="inlineStr">
        <is>
          <t>KINGDOM 14 — THE KINGDOM OF GRAPH TRAVERSAL (DFS &amp; BFS)</t>
        </is>
      </c>
      <c r="C479" s="7" t="inlineStr">
        <is>
          <t>Pattern 14.1 — Connected Components</t>
        </is>
      </c>
      <c r="D479" s="6" t="inlineStr">
        <is>
          <t>CONN103</t>
        </is>
      </c>
      <c r="E479" s="7" t="inlineStr">
        <is>
          <t>Surrounded Regions Capture Grid</t>
        </is>
      </c>
      <c r="F479" s="9" t="inlineStr">
        <is>
          <t>Medium</t>
        </is>
      </c>
      <c r="G479" s="7" t="inlineStr">
        <is>
          <t>boundary DFS BFS</t>
        </is>
      </c>
      <c r="H479" s="6" t="n">
        <v>60</v>
      </c>
      <c r="I479" s="6" t="n">
        <v>55</v>
      </c>
      <c r="J479" s="8" t="inlineStr">
        <is>
          <t>https://www.codechef.com/problems/CONN103</t>
        </is>
      </c>
      <c r="K479" s="7" t="inlineStr"/>
      <c r="L479" s="6" t="inlineStr">
        <is>
          <t>codechef</t>
        </is>
      </c>
    </row>
    <row r="480" ht="20" customHeight="1">
      <c r="A480" s="2" t="inlineStr">
        <is>
          <t>Unsolved</t>
        </is>
      </c>
      <c r="B480" s="3" t="inlineStr">
        <is>
          <t>KINGDOM 14 — THE KINGDOM OF GRAPH TRAVERSAL (DFS &amp; BFS)</t>
        </is>
      </c>
      <c r="C480" s="3" t="inlineStr">
        <is>
          <t>Pattern 14.1 — Connected Components</t>
        </is>
      </c>
      <c r="D480" s="2" t="inlineStr">
        <is>
          <t>CONN104</t>
        </is>
      </c>
      <c r="E480" s="3" t="inlineStr">
        <is>
          <t>Number of Closed Islands Grid</t>
        </is>
      </c>
      <c r="F480" s="9" t="inlineStr">
        <is>
          <t>Medium</t>
        </is>
      </c>
      <c r="G480" s="3" t="inlineStr">
        <is>
          <t>boundary DFS</t>
        </is>
      </c>
      <c r="H480" s="2" t="n">
        <v>60</v>
      </c>
      <c r="I480" s="2" t="n">
        <v>55</v>
      </c>
      <c r="J480" s="5" t="inlineStr">
        <is>
          <t>https://www.codechef.com/problems/CONN104</t>
        </is>
      </c>
      <c r="K480" s="3" t="inlineStr"/>
      <c r="L480" s="2" t="inlineStr">
        <is>
          <t>codechef</t>
        </is>
      </c>
    </row>
    <row r="481" ht="20" customHeight="1">
      <c r="A481" s="6" t="inlineStr">
        <is>
          <t>Unsolved</t>
        </is>
      </c>
      <c r="B481" s="7" t="inlineStr">
        <is>
          <t>KINGDOM 14 — THE KINGDOM OF GRAPH TRAVERSAL (DFS &amp; BFS)</t>
        </is>
      </c>
      <c r="C481" s="7" t="inlineStr">
        <is>
          <t>Pattern 14.1 — Connected Components</t>
        </is>
      </c>
      <c r="D481" s="6" t="inlineStr">
        <is>
          <t>CONN105</t>
        </is>
      </c>
      <c r="E481" s="7" t="inlineStr">
        <is>
          <t>Count Sub Islands Grid</t>
        </is>
      </c>
      <c r="F481" s="9" t="inlineStr">
        <is>
          <t>Medium</t>
        </is>
      </c>
      <c r="G481" s="7" t="inlineStr">
        <is>
          <t>dual DFS grid</t>
        </is>
      </c>
      <c r="H481" s="6" t="n">
        <v>60</v>
      </c>
      <c r="I481" s="6" t="n">
        <v>55</v>
      </c>
      <c r="J481" s="8" t="inlineStr">
        <is>
          <t>https://www.codechef.com/problems/CONN105</t>
        </is>
      </c>
      <c r="K481" s="7" t="inlineStr"/>
      <c r="L481" s="6" t="inlineStr">
        <is>
          <t>codechef</t>
        </is>
      </c>
    </row>
    <row r="482" ht="20" customHeight="1">
      <c r="A482" s="2" t="inlineStr">
        <is>
          <t>Unsolved</t>
        </is>
      </c>
      <c r="B482" s="3" t="inlineStr">
        <is>
          <t>KINGDOM 14 — THE KINGDOM OF GRAPH TRAVERSAL (DFS &amp; BFS)</t>
        </is>
      </c>
      <c r="C482" s="3" t="inlineStr">
        <is>
          <t>Pattern 14.1 — Connected Components</t>
        </is>
      </c>
      <c r="D482" s="2" t="inlineStr">
        <is>
          <t>CONN106</t>
        </is>
      </c>
      <c r="E482" s="3" t="inlineStr">
        <is>
          <t>Number of Operations to Make Network Connected</t>
        </is>
      </c>
      <c r="F482" s="9" t="inlineStr">
        <is>
          <t>Medium</t>
        </is>
      </c>
      <c r="G482" s="3" t="inlineStr">
        <is>
          <t>DSU connected components</t>
        </is>
      </c>
      <c r="H482" s="2" t="n">
        <v>60</v>
      </c>
      <c r="I482" s="2" t="n">
        <v>55</v>
      </c>
      <c r="J482" s="5" t="inlineStr">
        <is>
          <t>https://www.codechef.com/problems/CONN106</t>
        </is>
      </c>
      <c r="K482" s="3" t="inlineStr"/>
      <c r="L482" s="2" t="inlineStr">
        <is>
          <t>codechef</t>
        </is>
      </c>
    </row>
    <row r="483" ht="20" customHeight="1">
      <c r="A483" s="6" t="inlineStr">
        <is>
          <t>Unsolved</t>
        </is>
      </c>
      <c r="B483" s="7" t="inlineStr">
        <is>
          <t>KINGDOM 14 — THE KINGDOM OF GRAPH TRAVERSAL (DFS &amp; BFS)</t>
        </is>
      </c>
      <c r="C483" s="7" t="inlineStr">
        <is>
          <t>Pattern 14.1 — Connected Components</t>
        </is>
      </c>
      <c r="D483" s="6" t="inlineStr">
        <is>
          <t>CONN107</t>
        </is>
      </c>
      <c r="E483" s="7" t="inlineStr">
        <is>
          <t>Accounts Merge Email Graph</t>
        </is>
      </c>
      <c r="F483" s="10" t="inlineStr">
        <is>
          <t>Medium-Hard</t>
        </is>
      </c>
      <c r="G483" s="7" t="inlineStr">
        <is>
          <t>DFS DSU components</t>
        </is>
      </c>
      <c r="H483" s="6" t="n">
        <v>90</v>
      </c>
      <c r="I483" s="6" t="n">
        <v>80</v>
      </c>
      <c r="J483" s="8" t="inlineStr">
        <is>
          <t>https://www.codechef.com/problems/CONN107</t>
        </is>
      </c>
      <c r="K483" s="7" t="inlineStr"/>
      <c r="L483" s="6" t="inlineStr">
        <is>
          <t>codechef</t>
        </is>
      </c>
    </row>
    <row r="484" ht="20" customHeight="1">
      <c r="A484" s="2" t="inlineStr">
        <is>
          <t>Unsolved</t>
        </is>
      </c>
      <c r="B484" s="3" t="inlineStr">
        <is>
          <t>KINGDOM 14 — THE KINGDOM OF GRAPH TRAVERSAL (DFS &amp; BFS)</t>
        </is>
      </c>
      <c r="C484" s="3" t="inlineStr">
        <is>
          <t>Pattern 14.2 — DFS</t>
        </is>
      </c>
      <c r="D484" s="2" t="inlineStr">
        <is>
          <t>DFS1</t>
        </is>
      </c>
      <c r="E484" s="3" t="inlineStr">
        <is>
          <t>Graph DFS Traversal</t>
        </is>
      </c>
      <c r="F484" s="4" t="inlineStr">
        <is>
          <t>Easy</t>
        </is>
      </c>
      <c r="G484" s="3" t="inlineStr">
        <is>
          <t>DFS recursion</t>
        </is>
      </c>
      <c r="H484" s="2" t="n">
        <v>25</v>
      </c>
      <c r="I484" s="2" t="n">
        <v>20</v>
      </c>
      <c r="J484" s="5" t="inlineStr">
        <is>
          <t>https://www.codechef.com/problems/DFS1</t>
        </is>
      </c>
      <c r="K484" s="3" t="inlineStr"/>
      <c r="L484" s="2" t="inlineStr">
        <is>
          <t>codechef</t>
        </is>
      </c>
    </row>
    <row r="485" ht="20" customHeight="1">
      <c r="A485" s="6" t="inlineStr">
        <is>
          <t>Unsolved</t>
        </is>
      </c>
      <c r="B485" s="7" t="inlineStr">
        <is>
          <t>KINGDOM 14 — THE KINGDOM OF GRAPH TRAVERSAL (DFS &amp; BFS)</t>
        </is>
      </c>
      <c r="C485" s="7" t="inlineStr">
        <is>
          <t>Pattern 14.2 — DFS</t>
        </is>
      </c>
      <c r="D485" s="6" t="inlineStr">
        <is>
          <t>GRAPHDFS</t>
        </is>
      </c>
      <c r="E485" s="7" t="inlineStr">
        <is>
          <t>Clone Graph DFS</t>
        </is>
      </c>
      <c r="F485" s="9" t="inlineStr">
        <is>
          <t>Medium</t>
        </is>
      </c>
      <c r="G485" s="7" t="inlineStr">
        <is>
          <t>DFS hash map memo</t>
        </is>
      </c>
      <c r="H485" s="6" t="n">
        <v>60</v>
      </c>
      <c r="I485" s="6" t="n">
        <v>55</v>
      </c>
      <c r="J485" s="8" t="inlineStr">
        <is>
          <t>https://www.codechef.com/problems/GRAPHDFS</t>
        </is>
      </c>
      <c r="K485" s="7" t="inlineStr"/>
      <c r="L485" s="6" t="inlineStr">
        <is>
          <t>codechef</t>
        </is>
      </c>
    </row>
    <row r="486" ht="20" customHeight="1">
      <c r="A486" s="2" t="inlineStr">
        <is>
          <t>Unsolved</t>
        </is>
      </c>
      <c r="B486" s="3" t="inlineStr">
        <is>
          <t>KINGDOM 14 — THE KINGDOM OF GRAPH TRAVERSAL (DFS &amp; BFS)</t>
        </is>
      </c>
      <c r="C486" s="3" t="inlineStr">
        <is>
          <t>Pattern 14.2 — DFS</t>
        </is>
      </c>
      <c r="D486" s="2" t="inlineStr">
        <is>
          <t>PATHFIND</t>
        </is>
      </c>
      <c r="E486" s="3" t="inlineStr">
        <is>
          <t>All Paths From Source to Target</t>
        </is>
      </c>
      <c r="F486" s="9" t="inlineStr">
        <is>
          <t>Medium</t>
        </is>
      </c>
      <c r="G486" s="3" t="inlineStr">
        <is>
          <t>DFS backtracking path</t>
        </is>
      </c>
      <c r="H486" s="2" t="n">
        <v>60</v>
      </c>
      <c r="I486" s="2" t="n">
        <v>55</v>
      </c>
      <c r="J486" s="5" t="inlineStr">
        <is>
          <t>https://www.codechef.com/problems/PATHFIND</t>
        </is>
      </c>
      <c r="K486" s="3" t="inlineStr"/>
      <c r="L486" s="2" t="inlineStr">
        <is>
          <t>codechef</t>
        </is>
      </c>
    </row>
    <row r="487" ht="20" customHeight="1">
      <c r="A487" s="6" t="inlineStr">
        <is>
          <t>Unsolved</t>
        </is>
      </c>
      <c r="B487" s="7" t="inlineStr">
        <is>
          <t>KINGDOM 14 — THE KINGDOM OF GRAPH TRAVERSAL (DFS &amp; BFS)</t>
        </is>
      </c>
      <c r="C487" s="7" t="inlineStr">
        <is>
          <t>Pattern 14.2 — DFS</t>
        </is>
      </c>
      <c r="D487" s="6" t="inlineStr">
        <is>
          <t>DFS101</t>
        </is>
      </c>
      <c r="E487" s="7" t="inlineStr">
        <is>
          <t>Keys and Rooms Graph DFS</t>
        </is>
      </c>
      <c r="F487" s="4" t="inlineStr">
        <is>
          <t>Easy</t>
        </is>
      </c>
      <c r="G487" s="7" t="inlineStr">
        <is>
          <t>DFS set traversal</t>
        </is>
      </c>
      <c r="H487" s="6" t="n">
        <v>25</v>
      </c>
      <c r="I487" s="6" t="n">
        <v>20</v>
      </c>
      <c r="J487" s="8" t="inlineStr">
        <is>
          <t>https://www.codechef.com/problems/DFS101</t>
        </is>
      </c>
      <c r="K487" s="7" t="inlineStr"/>
      <c r="L487" s="6" t="inlineStr">
        <is>
          <t>codechef</t>
        </is>
      </c>
    </row>
    <row r="488" ht="20" customHeight="1">
      <c r="A488" s="2" t="inlineStr">
        <is>
          <t>Unsolved</t>
        </is>
      </c>
      <c r="B488" s="3" t="inlineStr">
        <is>
          <t>KINGDOM 14 — THE KINGDOM OF GRAPH TRAVERSAL (DFS &amp; BFS)</t>
        </is>
      </c>
      <c r="C488" s="3" t="inlineStr">
        <is>
          <t>Pattern 14.2 — DFS</t>
        </is>
      </c>
      <c r="D488" s="2" t="inlineStr">
        <is>
          <t>DFS102</t>
        </is>
      </c>
      <c r="E488" s="3" t="inlineStr">
        <is>
          <t>Reconstruct Itinerary Eulerian DFS</t>
        </is>
      </c>
      <c r="F488" s="10" t="inlineStr">
        <is>
          <t>Hard</t>
        </is>
      </c>
      <c r="G488" s="3" t="inlineStr">
        <is>
          <t>Hierholzer algorithm Eulerian DFS</t>
        </is>
      </c>
      <c r="H488" s="2" t="n">
        <v>120</v>
      </c>
      <c r="I488" s="2" t="n">
        <v>120</v>
      </c>
      <c r="J488" s="5" t="inlineStr">
        <is>
          <t>https://www.codechef.com/problems/DFS102</t>
        </is>
      </c>
      <c r="K488" s="3" t="inlineStr"/>
      <c r="L488" s="2" t="inlineStr">
        <is>
          <t>codechef</t>
        </is>
      </c>
    </row>
    <row r="489" ht="20" customHeight="1">
      <c r="A489" s="6" t="inlineStr">
        <is>
          <t>Unsolved</t>
        </is>
      </c>
      <c r="B489" s="7" t="inlineStr">
        <is>
          <t>KINGDOM 14 — THE KINGDOM OF GRAPH TRAVERSAL (DFS &amp; BFS)</t>
        </is>
      </c>
      <c r="C489" s="7" t="inlineStr">
        <is>
          <t>Pattern 14.2 — DFS</t>
        </is>
      </c>
      <c r="D489" s="6" t="inlineStr">
        <is>
          <t>DFS103</t>
        </is>
      </c>
      <c r="E489" s="7" t="inlineStr">
        <is>
          <t>Evaluate Division Graph DFS Weights</t>
        </is>
      </c>
      <c r="F489" s="9" t="inlineStr">
        <is>
          <t>Medium</t>
        </is>
      </c>
      <c r="G489" s="7" t="inlineStr">
        <is>
          <t>DFS path multiplication</t>
        </is>
      </c>
      <c r="H489" s="6" t="n">
        <v>60</v>
      </c>
      <c r="I489" s="6" t="n">
        <v>55</v>
      </c>
      <c r="J489" s="8" t="inlineStr">
        <is>
          <t>https://www.codechef.com/problems/DFS103</t>
        </is>
      </c>
      <c r="K489" s="7" t="inlineStr"/>
      <c r="L489" s="6" t="inlineStr">
        <is>
          <t>codechef</t>
        </is>
      </c>
    </row>
    <row r="490" ht="20" customHeight="1">
      <c r="A490" s="2" t="inlineStr">
        <is>
          <t>Unsolved</t>
        </is>
      </c>
      <c r="B490" s="3" t="inlineStr">
        <is>
          <t>KINGDOM 14 — THE KINGDOM OF GRAPH TRAVERSAL (DFS &amp; BFS)</t>
        </is>
      </c>
      <c r="C490" s="3" t="inlineStr">
        <is>
          <t>Pattern 14.2 — DFS</t>
        </is>
      </c>
      <c r="D490" s="2" t="inlineStr">
        <is>
          <t>DFS104</t>
        </is>
      </c>
      <c r="E490" s="3" t="inlineStr">
        <is>
          <t>Time Needed to Inform All Employees</t>
        </is>
      </c>
      <c r="F490" s="9" t="inlineStr">
        <is>
          <t>Medium</t>
        </is>
      </c>
      <c r="G490" s="3" t="inlineStr">
        <is>
          <t>tree DFS max depth weight</t>
        </is>
      </c>
      <c r="H490" s="2" t="n">
        <v>60</v>
      </c>
      <c r="I490" s="2" t="n">
        <v>55</v>
      </c>
      <c r="J490" s="5" t="inlineStr">
        <is>
          <t>https://www.codechef.com/problems/DFS104</t>
        </is>
      </c>
      <c r="K490" s="3" t="inlineStr"/>
      <c r="L490" s="2" t="inlineStr">
        <is>
          <t>codechef</t>
        </is>
      </c>
    </row>
    <row r="491" ht="20" customHeight="1">
      <c r="A491" s="6" t="inlineStr">
        <is>
          <t>Unsolved</t>
        </is>
      </c>
      <c r="B491" s="7" t="inlineStr">
        <is>
          <t>KINGDOM 14 — THE KINGDOM OF GRAPH TRAVERSAL (DFS &amp; BFS)</t>
        </is>
      </c>
      <c r="C491" s="7" t="inlineStr">
        <is>
          <t>Pattern 14.2 — DFS</t>
        </is>
      </c>
      <c r="D491" s="6" t="inlineStr">
        <is>
          <t>DFS105</t>
        </is>
      </c>
      <c r="E491" s="7" t="inlineStr">
        <is>
          <t>Pacific Atlantic Water Flow Grid DFS</t>
        </is>
      </c>
      <c r="F491" s="9" t="inlineStr">
        <is>
          <t>Medium</t>
        </is>
      </c>
      <c r="G491" s="7" t="inlineStr">
        <is>
          <t>dual boundary DFS</t>
        </is>
      </c>
      <c r="H491" s="6" t="n">
        <v>60</v>
      </c>
      <c r="I491" s="6" t="n">
        <v>55</v>
      </c>
      <c r="J491" s="8" t="inlineStr">
        <is>
          <t>https://www.codechef.com/problems/DFS105</t>
        </is>
      </c>
      <c r="K491" s="7" t="inlineStr"/>
      <c r="L491" s="6" t="inlineStr">
        <is>
          <t>codechef</t>
        </is>
      </c>
    </row>
    <row r="492" ht="20" customHeight="1">
      <c r="A492" s="2" t="inlineStr">
        <is>
          <t>Unsolved</t>
        </is>
      </c>
      <c r="B492" s="3" t="inlineStr">
        <is>
          <t>KINGDOM 14 — THE KINGDOM OF GRAPH TRAVERSAL (DFS &amp; BFS)</t>
        </is>
      </c>
      <c r="C492" s="3" t="inlineStr">
        <is>
          <t>Pattern 14.2 — DFS</t>
        </is>
      </c>
      <c r="D492" s="2" t="inlineStr">
        <is>
          <t>DFS106</t>
        </is>
      </c>
      <c r="E492" s="3" t="inlineStr">
        <is>
          <t>Word Search II Trie + Grid DFS</t>
        </is>
      </c>
      <c r="F492" s="10" t="inlineStr">
        <is>
          <t>Hard</t>
        </is>
      </c>
      <c r="G492" s="3" t="inlineStr">
        <is>
          <t>Trie DFS backtracking</t>
        </is>
      </c>
      <c r="H492" s="2" t="n">
        <v>120</v>
      </c>
      <c r="I492" s="2" t="n">
        <v>120</v>
      </c>
      <c r="J492" s="5" t="inlineStr">
        <is>
          <t>https://www.codechef.com/problems/DFS106</t>
        </is>
      </c>
      <c r="K492" s="3" t="inlineStr"/>
      <c r="L492" s="2" t="inlineStr">
        <is>
          <t>codechef</t>
        </is>
      </c>
    </row>
    <row r="493" ht="20" customHeight="1">
      <c r="A493" s="6" t="inlineStr">
        <is>
          <t>Unsolved</t>
        </is>
      </c>
      <c r="B493" s="7" t="inlineStr">
        <is>
          <t>KINGDOM 14 — THE KINGDOM OF GRAPH TRAVERSAL (DFS &amp; BFS)</t>
        </is>
      </c>
      <c r="C493" s="7" t="inlineStr">
        <is>
          <t>Pattern 14.2 — DFS</t>
        </is>
      </c>
      <c r="D493" s="6" t="inlineStr">
        <is>
          <t>DFS107</t>
        </is>
      </c>
      <c r="E493" s="7" t="inlineStr">
        <is>
          <t>Making A Large Island Grid DFS</t>
        </is>
      </c>
      <c r="F493" s="10" t="inlineStr">
        <is>
          <t>Hard</t>
        </is>
      </c>
      <c r="G493" s="7" t="inlineStr">
        <is>
          <t>component ID DFS grid</t>
        </is>
      </c>
      <c r="H493" s="6" t="n">
        <v>120</v>
      </c>
      <c r="I493" s="6" t="n">
        <v>120</v>
      </c>
      <c r="J493" s="8" t="inlineStr">
        <is>
          <t>https://www.codechef.com/problems/DFS107</t>
        </is>
      </c>
      <c r="K493" s="7" t="inlineStr"/>
      <c r="L493" s="6" t="inlineStr">
        <is>
          <t>codechef</t>
        </is>
      </c>
    </row>
    <row r="494" ht="20" customHeight="1">
      <c r="A494" s="2" t="inlineStr">
        <is>
          <t>Unsolved</t>
        </is>
      </c>
      <c r="B494" s="3" t="inlineStr">
        <is>
          <t>KINGDOM 14 — THE KINGDOM OF GRAPH TRAVERSAL (DFS &amp; BFS)</t>
        </is>
      </c>
      <c r="C494" s="3" t="inlineStr">
        <is>
          <t>Pattern 14.4 — Topological Sort</t>
        </is>
      </c>
      <c r="D494" s="2" t="inlineStr">
        <is>
          <t>TOPSORT1</t>
        </is>
      </c>
      <c r="E494" s="3" t="inlineStr">
        <is>
          <t>Course Schedule I Cycle Detection</t>
        </is>
      </c>
      <c r="F494" s="9" t="inlineStr">
        <is>
          <t>Medium</t>
        </is>
      </c>
      <c r="G494" s="3" t="inlineStr">
        <is>
          <t>Kahn algorithm in-degree BFS</t>
        </is>
      </c>
      <c r="H494" s="2" t="n">
        <v>60</v>
      </c>
      <c r="I494" s="2" t="n">
        <v>55</v>
      </c>
      <c r="J494" s="5" t="inlineStr">
        <is>
          <t>https://www.codechef.com/problems/TOPSORT1</t>
        </is>
      </c>
      <c r="K494" s="3" t="inlineStr"/>
      <c r="L494" s="2" t="inlineStr">
        <is>
          <t>codechef</t>
        </is>
      </c>
    </row>
    <row r="495" ht="20" customHeight="1">
      <c r="A495" s="6" t="inlineStr">
        <is>
          <t>Unsolved</t>
        </is>
      </c>
      <c r="B495" s="7" t="inlineStr">
        <is>
          <t>KINGDOM 14 — THE KINGDOM OF GRAPH TRAVERSAL (DFS &amp; BFS)</t>
        </is>
      </c>
      <c r="C495" s="7" t="inlineStr">
        <is>
          <t>Pattern 14.4 — Topological Sort</t>
        </is>
      </c>
      <c r="D495" s="6" t="inlineStr">
        <is>
          <t>DEPENDENCY</t>
        </is>
      </c>
      <c r="E495" s="7" t="inlineStr">
        <is>
          <t>Course Schedule II Ordering</t>
        </is>
      </c>
      <c r="F495" s="9" t="inlineStr">
        <is>
          <t>Medium</t>
        </is>
      </c>
      <c r="G495" s="7" t="inlineStr">
        <is>
          <t>Kahn algorithm topological sort</t>
        </is>
      </c>
      <c r="H495" s="6" t="n">
        <v>60</v>
      </c>
      <c r="I495" s="6" t="n">
        <v>55</v>
      </c>
      <c r="J495" s="8" t="inlineStr">
        <is>
          <t>https://www.codechef.com/problems/DEPENDENCY</t>
        </is>
      </c>
      <c r="K495" s="7" t="inlineStr"/>
      <c r="L495" s="6" t="inlineStr">
        <is>
          <t>codechef</t>
        </is>
      </c>
    </row>
    <row r="496" ht="20" customHeight="1">
      <c r="A496" s="2" t="inlineStr">
        <is>
          <t>Unsolved</t>
        </is>
      </c>
      <c r="B496" s="3" t="inlineStr">
        <is>
          <t>KINGDOM 14 — THE KINGDOM OF GRAPH TRAVERSAL (DFS &amp; BFS)</t>
        </is>
      </c>
      <c r="C496" s="3" t="inlineStr">
        <is>
          <t>Pattern 14.4 — Topological Sort</t>
        </is>
      </c>
      <c r="D496" s="2" t="inlineStr">
        <is>
          <t>TOP101</t>
        </is>
      </c>
      <c r="E496" s="3" t="inlineStr">
        <is>
          <t>Alien Dictionary Order Topological Sort</t>
        </is>
      </c>
      <c r="F496" s="10" t="inlineStr">
        <is>
          <t>Hard</t>
        </is>
      </c>
      <c r="G496" s="3" t="inlineStr">
        <is>
          <t>topological sort Kahn DFS</t>
        </is>
      </c>
      <c r="H496" s="2" t="n">
        <v>120</v>
      </c>
      <c r="I496" s="2" t="n">
        <v>120</v>
      </c>
      <c r="J496" s="5" t="inlineStr">
        <is>
          <t>https://www.codechef.com/problems/TOP101</t>
        </is>
      </c>
      <c r="K496" s="3" t="inlineStr"/>
      <c r="L496" s="2" t="inlineStr">
        <is>
          <t>codechef</t>
        </is>
      </c>
    </row>
    <row r="497" ht="20" customHeight="1">
      <c r="A497" s="6" t="inlineStr">
        <is>
          <t>Unsolved</t>
        </is>
      </c>
      <c r="B497" s="7" t="inlineStr">
        <is>
          <t>KINGDOM 14 — THE KINGDOM OF GRAPH TRAVERSAL (DFS &amp; BFS)</t>
        </is>
      </c>
      <c r="C497" s="7" t="inlineStr">
        <is>
          <t>Pattern 14.4 — Topological Sort</t>
        </is>
      </c>
      <c r="D497" s="6" t="inlineStr">
        <is>
          <t>TOP102</t>
        </is>
      </c>
      <c r="E497" s="7" t="inlineStr">
        <is>
          <t>Minimum Height Trees Topological Trim</t>
        </is>
      </c>
      <c r="F497" s="9" t="inlineStr">
        <is>
          <t>Medium</t>
        </is>
      </c>
      <c r="G497" s="7" t="inlineStr">
        <is>
          <t>leaf trimming BFS topological</t>
        </is>
      </c>
      <c r="H497" s="6" t="n">
        <v>60</v>
      </c>
      <c r="I497" s="6" t="n">
        <v>55</v>
      </c>
      <c r="J497" s="8" t="inlineStr">
        <is>
          <t>https://www.codechef.com/problems/TOP102</t>
        </is>
      </c>
      <c r="K497" s="7" t="inlineStr"/>
      <c r="L497" s="6" t="inlineStr">
        <is>
          <t>codechef</t>
        </is>
      </c>
    </row>
    <row r="498" ht="20" customHeight="1">
      <c r="A498" s="2" t="inlineStr">
        <is>
          <t>Unsolved</t>
        </is>
      </c>
      <c r="B498" s="3" t="inlineStr">
        <is>
          <t>KINGDOM 14 — THE KINGDOM OF GRAPH TRAVERSAL (DFS &amp; BFS)</t>
        </is>
      </c>
      <c r="C498" s="3" t="inlineStr">
        <is>
          <t>Pattern 14.4 — Topological Sort</t>
        </is>
      </c>
      <c r="D498" s="2" t="inlineStr">
        <is>
          <t>TOP103</t>
        </is>
      </c>
      <c r="E498" s="3" t="inlineStr">
        <is>
          <t>Sequence Reconstruction Unique Topological Sort</t>
        </is>
      </c>
      <c r="F498" s="10" t="inlineStr">
        <is>
          <t>Hard</t>
        </is>
      </c>
      <c r="G498" s="3" t="inlineStr">
        <is>
          <t>Kahn algorithm topological sort</t>
        </is>
      </c>
      <c r="H498" s="2" t="n">
        <v>120</v>
      </c>
      <c r="I498" s="2" t="n">
        <v>120</v>
      </c>
      <c r="J498" s="5" t="inlineStr">
        <is>
          <t>https://www.codechef.com/problems/TOP103</t>
        </is>
      </c>
      <c r="K498" s="3" t="inlineStr"/>
      <c r="L498" s="2" t="inlineStr">
        <is>
          <t>codechef</t>
        </is>
      </c>
    </row>
    <row r="499" ht="20" customHeight="1">
      <c r="A499" s="6" t="inlineStr">
        <is>
          <t>Unsolved</t>
        </is>
      </c>
      <c r="B499" s="7" t="inlineStr">
        <is>
          <t>KINGDOM 14 — THE KINGDOM OF GRAPH TRAVERSAL (DFS &amp; BFS)</t>
        </is>
      </c>
      <c r="C499" s="7" t="inlineStr">
        <is>
          <t>Pattern 14.4 — Topological Sort</t>
        </is>
      </c>
      <c r="D499" s="6" t="inlineStr">
        <is>
          <t>TOP104</t>
        </is>
      </c>
      <c r="E499" s="7" t="inlineStr">
        <is>
          <t>Find Eventual Safe States Graph</t>
        </is>
      </c>
      <c r="F499" s="9" t="inlineStr">
        <is>
          <t>Medium</t>
        </is>
      </c>
      <c r="G499" s="7" t="inlineStr">
        <is>
          <t>reverse topological sort / cycle DFS</t>
        </is>
      </c>
      <c r="H499" s="6" t="n">
        <v>60</v>
      </c>
      <c r="I499" s="6" t="n">
        <v>55</v>
      </c>
      <c r="J499" s="8" t="inlineStr">
        <is>
          <t>https://www.codechef.com/problems/TOP104</t>
        </is>
      </c>
      <c r="K499" s="7" t="inlineStr"/>
      <c r="L499" s="6" t="inlineStr">
        <is>
          <t>codechef</t>
        </is>
      </c>
    </row>
    <row r="500" ht="20" customHeight="1">
      <c r="A500" s="2" t="inlineStr">
        <is>
          <t>Unsolved</t>
        </is>
      </c>
      <c r="B500" s="3" t="inlineStr">
        <is>
          <t>KINGDOM 14 — THE KINGDOM OF GRAPH TRAVERSAL (DFS &amp; BFS)</t>
        </is>
      </c>
      <c r="C500" s="3" t="inlineStr">
        <is>
          <t>Pattern 14.4 — Topological Sort</t>
        </is>
      </c>
      <c r="D500" s="2" t="inlineStr">
        <is>
          <t>TOP105</t>
        </is>
      </c>
      <c r="E500" s="3" t="inlineStr">
        <is>
          <t>Sort Items by Groups Respecting Dependencies</t>
        </is>
      </c>
      <c r="F500" s="10" t="inlineStr">
        <is>
          <t>Hard</t>
        </is>
      </c>
      <c r="G500" s="3" t="inlineStr">
        <is>
          <t>double topological sort</t>
        </is>
      </c>
      <c r="H500" s="2" t="n">
        <v>120</v>
      </c>
      <c r="I500" s="2" t="n">
        <v>120</v>
      </c>
      <c r="J500" s="5" t="inlineStr">
        <is>
          <t>https://www.codechef.com/problems/TOP105</t>
        </is>
      </c>
      <c r="K500" s="3" t="inlineStr"/>
      <c r="L500" s="2" t="inlineStr">
        <is>
          <t>codechef</t>
        </is>
      </c>
    </row>
    <row r="501" ht="20" customHeight="1">
      <c r="A501" s="6" t="inlineStr">
        <is>
          <t>Unsolved</t>
        </is>
      </c>
      <c r="B501" s="7" t="inlineStr">
        <is>
          <t>KINGDOM 14 — THE KINGDOM OF GRAPH TRAVERSAL (DFS &amp; BFS)</t>
        </is>
      </c>
      <c r="C501" s="7" t="inlineStr">
        <is>
          <t>Pattern 14.4 — Topological Sort</t>
        </is>
      </c>
      <c r="D501" s="6" t="inlineStr">
        <is>
          <t>TOP106</t>
        </is>
      </c>
      <c r="E501" s="7" t="inlineStr">
        <is>
          <t>Parallel Courses I Semester Count</t>
        </is>
      </c>
      <c r="F501" s="9" t="inlineStr">
        <is>
          <t>Medium</t>
        </is>
      </c>
      <c r="G501" s="7" t="inlineStr">
        <is>
          <t>topological sort BFS level</t>
        </is>
      </c>
      <c r="H501" s="6" t="n">
        <v>60</v>
      </c>
      <c r="I501" s="6" t="n">
        <v>55</v>
      </c>
      <c r="J501" s="8" t="inlineStr">
        <is>
          <t>https://www.codechef.com/problems/TOP106</t>
        </is>
      </c>
      <c r="K501" s="7" t="inlineStr"/>
      <c r="L501" s="6" t="inlineStr">
        <is>
          <t>codechef</t>
        </is>
      </c>
    </row>
    <row r="502" ht="20" customHeight="1">
      <c r="A502" s="2" t="inlineStr">
        <is>
          <t>Unsolved</t>
        </is>
      </c>
      <c r="B502" s="3" t="inlineStr">
        <is>
          <t>KINGDOM 14 — THE KINGDOM OF GRAPH TRAVERSAL (DFS &amp; BFS)</t>
        </is>
      </c>
      <c r="C502" s="3" t="inlineStr">
        <is>
          <t>Pattern 14.4 — Topological Sort</t>
        </is>
      </c>
      <c r="D502" s="2" t="inlineStr">
        <is>
          <t>TOP107</t>
        </is>
      </c>
      <c r="E502" s="3" t="inlineStr">
        <is>
          <t>Build a Matrix With Conditions Topological</t>
        </is>
      </c>
      <c r="F502" s="10" t="inlineStr">
        <is>
          <t>Hard</t>
        </is>
      </c>
      <c r="G502" s="3" t="inlineStr">
        <is>
          <t>2D topological sort</t>
        </is>
      </c>
      <c r="H502" s="2" t="n">
        <v>120</v>
      </c>
      <c r="I502" s="2" t="n">
        <v>120</v>
      </c>
      <c r="J502" s="5" t="inlineStr">
        <is>
          <t>https://www.codechef.com/problems/TOP107</t>
        </is>
      </c>
      <c r="K502" s="3" t="inlineStr"/>
      <c r="L502" s="2" t="inlineStr">
        <is>
          <t>codechef</t>
        </is>
      </c>
    </row>
    <row r="503" ht="20" customHeight="1">
      <c r="A503" s="6" t="inlineStr">
        <is>
          <t>Unsolved</t>
        </is>
      </c>
      <c r="B503" s="7" t="inlineStr">
        <is>
          <t>KINGDOM 14 — THE KINGDOM OF GRAPH TRAVERSAL (DFS &amp; BFS)</t>
        </is>
      </c>
      <c r="C503" s="7" t="inlineStr">
        <is>
          <t>Pattern 14.5 — Cycle Detection</t>
        </is>
      </c>
      <c r="D503" s="6" t="inlineStr">
        <is>
          <t>CYCLEDET</t>
        </is>
      </c>
      <c r="E503" s="7" t="inlineStr">
        <is>
          <t>Cycle Detection Undirected Graph DFS</t>
        </is>
      </c>
      <c r="F503" s="9" t="inlineStr">
        <is>
          <t>Easy-Medium</t>
        </is>
      </c>
      <c r="G503" s="7" t="inlineStr">
        <is>
          <t>DFS parent check</t>
        </is>
      </c>
      <c r="H503" s="6" t="n">
        <v>40</v>
      </c>
      <c r="I503" s="6" t="n">
        <v>35</v>
      </c>
      <c r="J503" s="8" t="inlineStr">
        <is>
          <t>https://www.codechef.com/problems/CYCLEDET</t>
        </is>
      </c>
      <c r="K503" s="7" t="inlineStr"/>
      <c r="L503" s="6" t="inlineStr">
        <is>
          <t>codechef</t>
        </is>
      </c>
    </row>
    <row r="504" ht="20" customHeight="1">
      <c r="A504" s="2" t="inlineStr">
        <is>
          <t>Unsolved</t>
        </is>
      </c>
      <c r="B504" s="3" t="inlineStr">
        <is>
          <t>KINGDOM 14 — THE KINGDOM OF GRAPH TRAVERSAL (DFS &amp; BFS)</t>
        </is>
      </c>
      <c r="C504" s="3" t="inlineStr">
        <is>
          <t>Pattern 14.5 — Cycle Detection</t>
        </is>
      </c>
      <c r="D504" s="2" t="inlineStr">
        <is>
          <t>DIRECTEDCYC</t>
        </is>
      </c>
      <c r="E504" s="3" t="inlineStr">
        <is>
          <t>Cycle Detection Directed Graph DFS</t>
        </is>
      </c>
      <c r="F504" s="9" t="inlineStr">
        <is>
          <t>Medium</t>
        </is>
      </c>
      <c r="G504" s="3" t="inlineStr">
        <is>
          <t>DFS visited state 0 1 2</t>
        </is>
      </c>
      <c r="H504" s="2" t="n">
        <v>60</v>
      </c>
      <c r="I504" s="2" t="n">
        <v>55</v>
      </c>
      <c r="J504" s="5" t="inlineStr">
        <is>
          <t>https://www.codechef.com/problems/DIRECTEDCYC</t>
        </is>
      </c>
      <c r="K504" s="3" t="inlineStr"/>
      <c r="L504" s="2" t="inlineStr">
        <is>
          <t>codechef</t>
        </is>
      </c>
    </row>
    <row r="505" ht="20" customHeight="1">
      <c r="A505" s="6" t="inlineStr">
        <is>
          <t>Unsolved</t>
        </is>
      </c>
      <c r="B505" s="7" t="inlineStr">
        <is>
          <t>KINGDOM 14 — THE KINGDOM OF GRAPH TRAVERSAL (DFS &amp; BFS)</t>
        </is>
      </c>
      <c r="C505" s="7" t="inlineStr">
        <is>
          <t>Pattern 14.5 — Cycle Detection</t>
        </is>
      </c>
      <c r="D505" s="6" t="inlineStr">
        <is>
          <t>CYC101</t>
        </is>
      </c>
      <c r="E505" s="7" t="inlineStr">
        <is>
          <t>Redundant Connection Undirected Cycle</t>
        </is>
      </c>
      <c r="F505" s="9" t="inlineStr">
        <is>
          <t>Medium</t>
        </is>
      </c>
      <c r="G505" s="7" t="inlineStr">
        <is>
          <t>DSU cycle detection</t>
        </is>
      </c>
      <c r="H505" s="6" t="n">
        <v>60</v>
      </c>
      <c r="I505" s="6" t="n">
        <v>55</v>
      </c>
      <c r="J505" s="8" t="inlineStr">
        <is>
          <t>https://www.codechef.com/problems/CYC101</t>
        </is>
      </c>
      <c r="K505" s="7" t="inlineStr"/>
      <c r="L505" s="6" t="inlineStr">
        <is>
          <t>codechef</t>
        </is>
      </c>
    </row>
    <row r="506" ht="20" customHeight="1">
      <c r="A506" s="2" t="inlineStr">
        <is>
          <t>Unsolved</t>
        </is>
      </c>
      <c r="B506" s="3" t="inlineStr">
        <is>
          <t>KINGDOM 14 — THE KINGDOM OF GRAPH TRAVERSAL (DFS &amp; BFS)</t>
        </is>
      </c>
      <c r="C506" s="3" t="inlineStr">
        <is>
          <t>Pattern 14.5 — Cycle Detection</t>
        </is>
      </c>
      <c r="D506" s="2" t="inlineStr">
        <is>
          <t>CYC102</t>
        </is>
      </c>
      <c r="E506" s="3" t="inlineStr">
        <is>
          <t>Redundant Connection II Directed Tree Edge</t>
        </is>
      </c>
      <c r="F506" s="10" t="inlineStr">
        <is>
          <t>Hard</t>
        </is>
      </c>
      <c r="G506" s="3" t="inlineStr">
        <is>
          <t>DSU directed cycle</t>
        </is>
      </c>
      <c r="H506" s="2" t="n">
        <v>120</v>
      </c>
      <c r="I506" s="2" t="n">
        <v>120</v>
      </c>
      <c r="J506" s="5" t="inlineStr">
        <is>
          <t>https://www.codechef.com/problems/CYC102</t>
        </is>
      </c>
      <c r="K506" s="3" t="inlineStr"/>
      <c r="L506" s="2" t="inlineStr">
        <is>
          <t>codechef</t>
        </is>
      </c>
    </row>
    <row r="507" ht="20" customHeight="1">
      <c r="A507" s="6" t="inlineStr">
        <is>
          <t>Unsolved</t>
        </is>
      </c>
      <c r="B507" s="7" t="inlineStr">
        <is>
          <t>KINGDOM 14 — THE KINGDOM OF GRAPH TRAVERSAL (DFS &amp; BFS)</t>
        </is>
      </c>
      <c r="C507" s="7" t="inlineStr">
        <is>
          <t>Pattern 14.5 — Cycle Detection</t>
        </is>
      </c>
      <c r="D507" s="6" t="inlineStr">
        <is>
          <t>CYC103</t>
        </is>
      </c>
      <c r="E507" s="7" t="inlineStr">
        <is>
          <t>Find All Groups of Farmland Cycle Free</t>
        </is>
      </c>
      <c r="F507" s="9" t="inlineStr">
        <is>
          <t>Medium</t>
        </is>
      </c>
      <c r="G507" s="7" t="inlineStr">
        <is>
          <t>grid traversal cycle free</t>
        </is>
      </c>
      <c r="H507" s="6" t="n">
        <v>60</v>
      </c>
      <c r="I507" s="6" t="n">
        <v>55</v>
      </c>
      <c r="J507" s="8" t="inlineStr">
        <is>
          <t>https://www.codechef.com/problems/CYC103</t>
        </is>
      </c>
      <c r="K507" s="7" t="inlineStr"/>
      <c r="L507" s="6" t="inlineStr">
        <is>
          <t>codechef</t>
        </is>
      </c>
    </row>
    <row r="508" ht="20" customHeight="1">
      <c r="A508" s="2" t="inlineStr">
        <is>
          <t>Unsolved</t>
        </is>
      </c>
      <c r="B508" s="3" t="inlineStr">
        <is>
          <t>KINGDOM 14 — THE KINGDOM OF GRAPH TRAVERSAL (DFS &amp; BFS)</t>
        </is>
      </c>
      <c r="C508" s="3" t="inlineStr">
        <is>
          <t>Pattern 14.5 — Cycle Detection</t>
        </is>
      </c>
      <c r="D508" s="2" t="inlineStr">
        <is>
          <t>CYC104</t>
        </is>
      </c>
      <c r="E508" s="3" t="inlineStr">
        <is>
          <t>Graph Valid Tree Check</t>
        </is>
      </c>
      <c r="F508" s="9" t="inlineStr">
        <is>
          <t>Medium</t>
        </is>
      </c>
      <c r="G508" s="3" t="inlineStr">
        <is>
          <t>DSU / DFS cycle + component count</t>
        </is>
      </c>
      <c r="H508" s="2" t="n">
        <v>60</v>
      </c>
      <c r="I508" s="2" t="n">
        <v>55</v>
      </c>
      <c r="J508" s="5" t="inlineStr">
        <is>
          <t>https://www.codechef.com/problems/CYC104</t>
        </is>
      </c>
      <c r="K508" s="3" t="inlineStr"/>
      <c r="L508" s="2" t="inlineStr">
        <is>
          <t>codechef</t>
        </is>
      </c>
    </row>
    <row r="509" ht="20" customHeight="1">
      <c r="A509" s="6" t="inlineStr">
        <is>
          <t>Unsolved</t>
        </is>
      </c>
      <c r="B509" s="7" t="inlineStr">
        <is>
          <t>KINGDOM 14 — THE KINGDOM OF GRAPH TRAVERSAL (DFS &amp; BFS)</t>
        </is>
      </c>
      <c r="C509" s="7" t="inlineStr">
        <is>
          <t>Pattern 14.5 — Cycle Detection</t>
        </is>
      </c>
      <c r="D509" s="6" t="inlineStr">
        <is>
          <t>CYC105</t>
        </is>
      </c>
      <c r="E509" s="7" t="inlineStr">
        <is>
          <t>Detect Cycles in 2D Grid</t>
        </is>
      </c>
      <c r="F509" s="9" t="inlineStr">
        <is>
          <t>Medium</t>
        </is>
      </c>
      <c r="G509" s="7" t="inlineStr">
        <is>
          <t>grid DFS parent cycle check</t>
        </is>
      </c>
      <c r="H509" s="6" t="n">
        <v>60</v>
      </c>
      <c r="I509" s="6" t="n">
        <v>55</v>
      </c>
      <c r="J509" s="8" t="inlineStr">
        <is>
          <t>https://www.codechef.com/problems/CYC105</t>
        </is>
      </c>
      <c r="K509" s="7" t="inlineStr"/>
      <c r="L509" s="6" t="inlineStr">
        <is>
          <t>codechef</t>
        </is>
      </c>
    </row>
    <row r="510" ht="20" customHeight="1">
      <c r="A510" s="2" t="inlineStr">
        <is>
          <t>Unsolved</t>
        </is>
      </c>
      <c r="B510" s="3" t="inlineStr">
        <is>
          <t>KINGDOM 14 — THE KINGDOM OF GRAPH TRAVERSAL (DFS &amp; BFS)</t>
        </is>
      </c>
      <c r="C510" s="3" t="inlineStr">
        <is>
          <t>Pattern 14.5 — Cycle Detection</t>
        </is>
      </c>
      <c r="D510" s="2" t="inlineStr">
        <is>
          <t>CYC106</t>
        </is>
      </c>
      <c r="E510" s="3" t="inlineStr">
        <is>
          <t>Shortest Cycle in a Graph BFS</t>
        </is>
      </c>
      <c r="F510" s="10" t="inlineStr">
        <is>
          <t>Hard</t>
        </is>
      </c>
      <c r="G510" s="3" t="inlineStr">
        <is>
          <t>BFS cycle length minimum</t>
        </is>
      </c>
      <c r="H510" s="2" t="n">
        <v>120</v>
      </c>
      <c r="I510" s="2" t="n">
        <v>120</v>
      </c>
      <c r="J510" s="5" t="inlineStr">
        <is>
          <t>https://www.codechef.com/problems/CYC106</t>
        </is>
      </c>
      <c r="K510" s="3" t="inlineStr"/>
      <c r="L510" s="2" t="inlineStr">
        <is>
          <t>codechef</t>
        </is>
      </c>
    </row>
    <row r="511" ht="20" customHeight="1">
      <c r="A511" s="6" t="inlineStr">
        <is>
          <t>Unsolved</t>
        </is>
      </c>
      <c r="B511" s="7" t="inlineStr">
        <is>
          <t>KINGDOM 14 — THE KINGDOM OF GRAPH TRAVERSAL (DFS &amp; BFS)</t>
        </is>
      </c>
      <c r="C511" s="7" t="inlineStr">
        <is>
          <t>Pattern 14.5 — Cycle Detection</t>
        </is>
      </c>
      <c r="D511" s="6" t="inlineStr">
        <is>
          <t>CYC107</t>
        </is>
      </c>
      <c r="E511" s="7" t="inlineStr">
        <is>
          <t>Longest Cycle in a Graph Functional</t>
        </is>
      </c>
      <c r="F511" s="10" t="inlineStr">
        <is>
          <t>Hard</t>
        </is>
      </c>
      <c r="G511" s="7" t="inlineStr">
        <is>
          <t>functional graph cycle DFS</t>
        </is>
      </c>
      <c r="H511" s="6" t="n">
        <v>120</v>
      </c>
      <c r="I511" s="6" t="n">
        <v>120</v>
      </c>
      <c r="J511" s="8" t="inlineStr">
        <is>
          <t>https://www.codechef.com/problems/CYC107</t>
        </is>
      </c>
      <c r="K511" s="7" t="inlineStr"/>
      <c r="L511" s="6" t="inlineStr">
        <is>
          <t>codechef</t>
        </is>
      </c>
    </row>
    <row r="512" ht="20" customHeight="1">
      <c r="A512" s="2" t="inlineStr">
        <is>
          <t>Unsolved</t>
        </is>
      </c>
      <c r="B512" s="3" t="inlineStr">
        <is>
          <t>KINGDOM 14 — THE KINGDOM OF GRAPH TRAVERSAL (DFS &amp; BFS)</t>
        </is>
      </c>
      <c r="C512" s="3" t="inlineStr">
        <is>
          <t>Pattern 14.6 — Bipartite Graph</t>
        </is>
      </c>
      <c r="D512" s="2" t="inlineStr">
        <is>
          <t>BIPARTITE1</t>
        </is>
      </c>
      <c r="E512" s="3" t="inlineStr">
        <is>
          <t>Is Graph Bipartite 2-Coloring DFS</t>
        </is>
      </c>
      <c r="F512" s="9" t="inlineStr">
        <is>
          <t>Medium</t>
        </is>
      </c>
      <c r="G512" s="3" t="inlineStr">
        <is>
          <t>BFS DFS 2-coloring</t>
        </is>
      </c>
      <c r="H512" s="2" t="n">
        <v>60</v>
      </c>
      <c r="I512" s="2" t="n">
        <v>55</v>
      </c>
      <c r="J512" s="5" t="inlineStr">
        <is>
          <t>https://www.codechef.com/problems/BIPARTITE1</t>
        </is>
      </c>
      <c r="K512" s="3" t="inlineStr"/>
      <c r="L512" s="2" t="inlineStr">
        <is>
          <t>codechef</t>
        </is>
      </c>
    </row>
    <row r="513" ht="20" customHeight="1">
      <c r="A513" s="6" t="inlineStr">
        <is>
          <t>Unsolved</t>
        </is>
      </c>
      <c r="B513" s="7" t="inlineStr">
        <is>
          <t>KINGDOM 14 — THE KINGDOM OF GRAPH TRAVERSAL (DFS &amp; BFS)</t>
        </is>
      </c>
      <c r="C513" s="7" t="inlineStr">
        <is>
          <t>Pattern 14.6 — Bipartite Graph</t>
        </is>
      </c>
      <c r="D513" s="6" t="inlineStr">
        <is>
          <t>TWOCOLOR</t>
        </is>
      </c>
      <c r="E513" s="7" t="inlineStr">
        <is>
          <t>Possible Bipartition Group Split</t>
        </is>
      </c>
      <c r="F513" s="9" t="inlineStr">
        <is>
          <t>Medium</t>
        </is>
      </c>
      <c r="G513" s="7" t="inlineStr">
        <is>
          <t>bipartite 2-coloring BFS</t>
        </is>
      </c>
      <c r="H513" s="6" t="n">
        <v>60</v>
      </c>
      <c r="I513" s="6" t="n">
        <v>55</v>
      </c>
      <c r="J513" s="8" t="inlineStr">
        <is>
          <t>https://www.codechef.com/problems/TWOCOLOR</t>
        </is>
      </c>
      <c r="K513" s="7" t="inlineStr"/>
      <c r="L513" s="6" t="inlineStr">
        <is>
          <t>codechef</t>
        </is>
      </c>
    </row>
    <row r="514" ht="20" customHeight="1">
      <c r="A514" s="2" t="inlineStr">
        <is>
          <t>Unsolved</t>
        </is>
      </c>
      <c r="B514" s="3" t="inlineStr">
        <is>
          <t>KINGDOM 14 — THE KINGDOM OF GRAPH TRAVERSAL (DFS &amp; BFS)</t>
        </is>
      </c>
      <c r="C514" s="3" t="inlineStr">
        <is>
          <t>Pattern 14.6 — Bipartite Graph</t>
        </is>
      </c>
      <c r="D514" s="2" t="inlineStr">
        <is>
          <t>BIP101</t>
        </is>
      </c>
      <c r="E514" s="3" t="inlineStr">
        <is>
          <t>Cheating Student Bipartite Graph</t>
        </is>
      </c>
      <c r="F514" s="9" t="inlineStr">
        <is>
          <t>Medium</t>
        </is>
      </c>
      <c r="G514" s="3" t="inlineStr">
        <is>
          <t>bipartite graph check</t>
        </is>
      </c>
      <c r="H514" s="2" t="n">
        <v>60</v>
      </c>
      <c r="I514" s="2" t="n">
        <v>55</v>
      </c>
      <c r="J514" s="5" t="inlineStr">
        <is>
          <t>https://www.codechef.com/problems/BIP101</t>
        </is>
      </c>
      <c r="K514" s="3" t="inlineStr"/>
      <c r="L514" s="2" t="inlineStr">
        <is>
          <t>codechef</t>
        </is>
      </c>
    </row>
    <row r="515" ht="20" customHeight="1">
      <c r="A515" s="6" t="inlineStr">
        <is>
          <t>Unsolved</t>
        </is>
      </c>
      <c r="B515" s="7" t="inlineStr">
        <is>
          <t>KINGDOM 14 — THE KINGDOM OF GRAPH TRAVERSAL (DFS &amp; BFS)</t>
        </is>
      </c>
      <c r="C515" s="7" t="inlineStr">
        <is>
          <t>Pattern 14.6 — Bipartite Graph</t>
        </is>
      </c>
      <c r="D515" s="6" t="inlineStr">
        <is>
          <t>BIP102</t>
        </is>
      </c>
      <c r="E515" s="7" t="inlineStr">
        <is>
          <t>Maximum Bipartite Matching Hopcroft-Karp</t>
        </is>
      </c>
      <c r="F515" s="10" t="inlineStr">
        <is>
          <t>Hard</t>
        </is>
      </c>
      <c r="G515" s="7" t="inlineStr">
        <is>
          <t>Hopcroft-Karp Bipartite Matching</t>
        </is>
      </c>
      <c r="H515" s="6" t="n">
        <v>120</v>
      </c>
      <c r="I515" s="6" t="n">
        <v>120</v>
      </c>
      <c r="J515" s="8" t="inlineStr">
        <is>
          <t>https://www.codechef.com/problems/BIP102</t>
        </is>
      </c>
      <c r="K515" s="7" t="inlineStr"/>
      <c r="L515" s="6" t="inlineStr">
        <is>
          <t>codechef</t>
        </is>
      </c>
    </row>
    <row r="516" ht="20" customHeight="1">
      <c r="A516" s="2" t="inlineStr">
        <is>
          <t>Unsolved</t>
        </is>
      </c>
      <c r="B516" s="3" t="inlineStr">
        <is>
          <t>KINGDOM 14 — THE KINGDOM OF GRAPH TRAVERSAL (DFS &amp; BFS)</t>
        </is>
      </c>
      <c r="C516" s="3" t="inlineStr">
        <is>
          <t>Pattern 14.6 — Bipartite Graph</t>
        </is>
      </c>
      <c r="D516" s="2" t="inlineStr">
        <is>
          <t>BIP103</t>
        </is>
      </c>
      <c r="E516" s="3" t="inlineStr">
        <is>
          <t>Hungarian Algorithm Minimum Weight Bipartite Matching</t>
        </is>
      </c>
      <c r="F516" s="11" t="inlineStr">
        <is>
          <t>Expert</t>
        </is>
      </c>
      <c r="G516" s="3" t="inlineStr">
        <is>
          <t>Hungarian KM Algorithm</t>
        </is>
      </c>
      <c r="H516" s="2" t="n">
        <v>180</v>
      </c>
      <c r="I516" s="2" t="n">
        <v>180</v>
      </c>
      <c r="J516" s="5" t="inlineStr">
        <is>
          <t>https://www.codechef.com/problems/BIP103</t>
        </is>
      </c>
      <c r="K516" s="3" t="inlineStr"/>
      <c r="L516" s="2" t="inlineStr">
        <is>
          <t>codechef</t>
        </is>
      </c>
    </row>
    <row r="517" ht="20" customHeight="1">
      <c r="A517" s="6" t="inlineStr">
        <is>
          <t>Unsolved</t>
        </is>
      </c>
      <c r="B517" s="7" t="inlineStr">
        <is>
          <t>KINGDOM 14 — THE KINGDOM OF GRAPH TRAVERSAL (DFS &amp; BFS)</t>
        </is>
      </c>
      <c r="C517" s="7" t="inlineStr">
        <is>
          <t>Pattern 14.6 — Bipartite Graph</t>
        </is>
      </c>
      <c r="D517" s="6" t="inlineStr">
        <is>
          <t>BIP104</t>
        </is>
      </c>
      <c r="E517" s="7" t="inlineStr">
        <is>
          <t>Bipartite Graph Maximum Independent Set</t>
        </is>
      </c>
      <c r="F517" s="10" t="inlineStr">
        <is>
          <t>Hard</t>
        </is>
      </c>
      <c r="G517" s="7" t="inlineStr">
        <is>
          <t>Konig theorem bipartite max matching</t>
        </is>
      </c>
      <c r="H517" s="6" t="n">
        <v>120</v>
      </c>
      <c r="I517" s="6" t="n">
        <v>120</v>
      </c>
      <c r="J517" s="8" t="inlineStr">
        <is>
          <t>https://www.codechef.com/problems/BIP104</t>
        </is>
      </c>
      <c r="K517" s="7" t="inlineStr"/>
      <c r="L517" s="6" t="inlineStr">
        <is>
          <t>codechef</t>
        </is>
      </c>
    </row>
    <row r="518" ht="20" customHeight="1">
      <c r="A518" s="2" t="inlineStr">
        <is>
          <t>Unsolved</t>
        </is>
      </c>
      <c r="B518" s="3" t="inlineStr">
        <is>
          <t>KINGDOM 14 — THE KINGDOM OF GRAPH TRAVERSAL (DFS &amp; BFS)</t>
        </is>
      </c>
      <c r="C518" s="3" t="inlineStr">
        <is>
          <t>Pattern 14.6 — Bipartite Graph</t>
        </is>
      </c>
      <c r="D518" s="2" t="inlineStr">
        <is>
          <t>BIP105</t>
        </is>
      </c>
      <c r="E518" s="3" t="inlineStr">
        <is>
          <t>Divide Nodes Into the Maximum Number of Groups</t>
        </is>
      </c>
      <c r="F518" s="10" t="inlineStr">
        <is>
          <t>Hard</t>
        </is>
      </c>
      <c r="G518" s="3" t="inlineStr">
        <is>
          <t>BFS bipartite component diameter</t>
        </is>
      </c>
      <c r="H518" s="2" t="n">
        <v>120</v>
      </c>
      <c r="I518" s="2" t="n">
        <v>120</v>
      </c>
      <c r="J518" s="5" t="inlineStr">
        <is>
          <t>https://www.codechef.com/problems/BIP105</t>
        </is>
      </c>
      <c r="K518" s="3" t="inlineStr"/>
      <c r="L518" s="2" t="inlineStr">
        <is>
          <t>codechef</t>
        </is>
      </c>
    </row>
    <row r="519" ht="20" customHeight="1">
      <c r="A519" s="6" t="inlineStr">
        <is>
          <t>Unsolved</t>
        </is>
      </c>
      <c r="B519" s="7" t="inlineStr">
        <is>
          <t>KINGDOM 14 — THE KINGDOM OF GRAPH TRAVERSAL (DFS &amp; BFS)</t>
        </is>
      </c>
      <c r="C519" s="7" t="inlineStr">
        <is>
          <t>Pattern 14.6 — Bipartite Graph</t>
        </is>
      </c>
      <c r="D519" s="6" t="inlineStr">
        <is>
          <t>BIP106</t>
        </is>
      </c>
      <c r="E519" s="7" t="inlineStr">
        <is>
          <t>Minimum Vertex Cover in Bipartite Graph</t>
        </is>
      </c>
      <c r="F519" s="10" t="inlineStr">
        <is>
          <t>Hard</t>
        </is>
      </c>
      <c r="G519" s="7" t="inlineStr">
        <is>
          <t>Konig theorem bipartite cover</t>
        </is>
      </c>
      <c r="H519" s="6" t="n">
        <v>120</v>
      </c>
      <c r="I519" s="6" t="n">
        <v>120</v>
      </c>
      <c r="J519" s="8" t="inlineStr">
        <is>
          <t>https://www.codechef.com/problems/BIP106</t>
        </is>
      </c>
      <c r="K519" s="7" t="inlineStr"/>
      <c r="L519" s="6" t="inlineStr">
        <is>
          <t>codechef</t>
        </is>
      </c>
    </row>
    <row r="520" ht="20" customHeight="1">
      <c r="A520" s="2" t="inlineStr">
        <is>
          <t>Unsolved</t>
        </is>
      </c>
      <c r="B520" s="3" t="inlineStr">
        <is>
          <t>KINGDOM 14 — THE KINGDOM OF GRAPH TRAVERSAL (DFS &amp; BFS)</t>
        </is>
      </c>
      <c r="C520" s="3" t="inlineStr">
        <is>
          <t>Pattern 14.6 — Bipartite Graph</t>
        </is>
      </c>
      <c r="D520" s="2" t="inlineStr">
        <is>
          <t>BIP107</t>
        </is>
      </c>
      <c r="E520" s="3" t="inlineStr">
        <is>
          <t>Bipartite Graph Edge Removal Equal Color</t>
        </is>
      </c>
      <c r="F520" s="10" t="inlineStr">
        <is>
          <t>Medium-Hard</t>
        </is>
      </c>
      <c r="G520" s="3" t="inlineStr">
        <is>
          <t>bipartite 2-coloring</t>
        </is>
      </c>
      <c r="H520" s="2" t="n">
        <v>90</v>
      </c>
      <c r="I520" s="2" t="n">
        <v>80</v>
      </c>
      <c r="J520" s="5" t="inlineStr">
        <is>
          <t>https://www.codechef.com/problems/BIP107</t>
        </is>
      </c>
      <c r="K520" s="3" t="inlineStr"/>
      <c r="L520" s="2" t="inlineStr">
        <is>
          <t>codechef</t>
        </is>
      </c>
    </row>
    <row r="521" ht="20" customHeight="1">
      <c r="A521" s="6" t="inlineStr">
        <is>
          <t>Unsolved</t>
        </is>
      </c>
      <c r="B521" s="7" t="inlineStr">
        <is>
          <t>KINGDOM 14 — THE KINGDOM OF GRAPH TRAVERSAL (DFS &amp; BFS)</t>
        </is>
      </c>
      <c r="C521" s="7" t="inlineStr">
        <is>
          <t>Pattern 14.6 — Bipartite Graph</t>
        </is>
      </c>
      <c r="D521" s="6" t="inlineStr">
        <is>
          <t>BIP108</t>
        </is>
      </c>
      <c r="E521" s="7" t="inlineStr">
        <is>
          <t>Coloring a Border 2D Grid Bipartite</t>
        </is>
      </c>
      <c r="F521" s="9" t="inlineStr">
        <is>
          <t>Medium</t>
        </is>
      </c>
      <c r="G521" s="7" t="inlineStr">
        <is>
          <t>grid DFS 2-coloring boundary</t>
        </is>
      </c>
      <c r="H521" s="6" t="n">
        <v>60</v>
      </c>
      <c r="I521" s="6" t="n">
        <v>55</v>
      </c>
      <c r="J521" s="8" t="inlineStr">
        <is>
          <t>https://www.codechef.com/problems/BIP108</t>
        </is>
      </c>
      <c r="K521" s="7" t="inlineStr"/>
      <c r="L521" s="6" t="inlineStr">
        <is>
          <t>codechef</t>
        </is>
      </c>
    </row>
    <row r="522" ht="20" customHeight="1">
      <c r="A522" s="2" t="inlineStr">
        <is>
          <t>Unsolved</t>
        </is>
      </c>
      <c r="B522" s="3" t="inlineStr">
        <is>
          <t>KINGDOM 15 — THE KINGDOM OF SHORTEST PATHS</t>
        </is>
      </c>
      <c r="C522" s="3" t="inlineStr">
        <is>
          <t>Pattern 15.1 — Standard Dijkstra</t>
        </is>
      </c>
      <c r="D522" s="2" t="inlineStr">
        <is>
          <t>DIJKSTRA1</t>
        </is>
      </c>
      <c r="E522" s="3" t="inlineStr">
        <is>
          <t>Network Delay Time Dijkstra</t>
        </is>
      </c>
      <c r="F522" s="9" t="inlineStr">
        <is>
          <t>Medium</t>
        </is>
      </c>
      <c r="G522" s="3" t="inlineStr">
        <is>
          <t>Dijkstra min-heap priority queue</t>
        </is>
      </c>
      <c r="H522" s="2" t="n">
        <v>60</v>
      </c>
      <c r="I522" s="2" t="n">
        <v>55</v>
      </c>
      <c r="J522" s="5" t="inlineStr">
        <is>
          <t>https://www.codechef.com/problems/DIJKSTRA1</t>
        </is>
      </c>
      <c r="K522" s="3" t="inlineStr"/>
      <c r="L522" s="2" t="inlineStr">
        <is>
          <t>codechef</t>
        </is>
      </c>
    </row>
    <row r="523" ht="20" customHeight="1">
      <c r="A523" s="6" t="inlineStr">
        <is>
          <t>Unsolved</t>
        </is>
      </c>
      <c r="B523" s="7" t="inlineStr">
        <is>
          <t>KINGDOM 15 — THE KINGDOM OF SHORTEST PATHS</t>
        </is>
      </c>
      <c r="C523" s="7" t="inlineStr">
        <is>
          <t>Pattern 15.1 — Standard Dijkstra</t>
        </is>
      </c>
      <c r="D523" s="6" t="inlineStr">
        <is>
          <t>SHORTPATH</t>
        </is>
      </c>
      <c r="E523" s="7" t="inlineStr">
        <is>
          <t>Path with Maximum Probability Dijkstra</t>
        </is>
      </c>
      <c r="F523" s="9" t="inlineStr">
        <is>
          <t>Medium</t>
        </is>
      </c>
      <c r="G523" s="7" t="inlineStr">
        <is>
          <t>Dijkstra max-heap product</t>
        </is>
      </c>
      <c r="H523" s="6" t="n">
        <v>60</v>
      </c>
      <c r="I523" s="6" t="n">
        <v>55</v>
      </c>
      <c r="J523" s="8" t="inlineStr">
        <is>
          <t>https://www.codechef.com/problems/SHORTPATH</t>
        </is>
      </c>
      <c r="K523" s="7" t="inlineStr"/>
      <c r="L523" s="6" t="inlineStr">
        <is>
          <t>codechef</t>
        </is>
      </c>
    </row>
    <row r="524" ht="20" customHeight="1">
      <c r="A524" s="2" t="inlineStr">
        <is>
          <t>Unsolved</t>
        </is>
      </c>
      <c r="B524" s="3" t="inlineStr">
        <is>
          <t>KINGDOM 15 — THE KINGDOM OF SHORTEST PATHS</t>
        </is>
      </c>
      <c r="C524" s="3" t="inlineStr">
        <is>
          <t>Pattern 15.1 — Standard Dijkstra</t>
        </is>
      </c>
      <c r="D524" s="2" t="inlineStr">
        <is>
          <t>DIJ101</t>
        </is>
      </c>
      <c r="E524" s="3" t="inlineStr">
        <is>
          <t>Cheapest Flights Within K Stops Dijkstra</t>
        </is>
      </c>
      <c r="F524" s="10" t="inlineStr">
        <is>
          <t>Medium-Hard</t>
        </is>
      </c>
      <c r="G524" s="3" t="inlineStr">
        <is>
          <t>Dijkstra modified state / Bellman-Ford</t>
        </is>
      </c>
      <c r="H524" s="2" t="n">
        <v>90</v>
      </c>
      <c r="I524" s="2" t="n">
        <v>80</v>
      </c>
      <c r="J524" s="5" t="inlineStr">
        <is>
          <t>https://www.codechef.com/problems/DIJ101</t>
        </is>
      </c>
      <c r="K524" s="3" t="inlineStr"/>
      <c r="L524" s="2" t="inlineStr">
        <is>
          <t>codechef</t>
        </is>
      </c>
    </row>
    <row r="525" ht="20" customHeight="1">
      <c r="A525" s="6" t="inlineStr">
        <is>
          <t>Unsolved</t>
        </is>
      </c>
      <c r="B525" s="7" t="inlineStr">
        <is>
          <t>KINGDOM 15 — THE KINGDOM OF SHORTEST PATHS</t>
        </is>
      </c>
      <c r="C525" s="7" t="inlineStr">
        <is>
          <t>Pattern 15.1 — Standard Dijkstra</t>
        </is>
      </c>
      <c r="D525" s="6" t="inlineStr">
        <is>
          <t>DIJ102</t>
        </is>
      </c>
      <c r="E525" s="7" t="inlineStr">
        <is>
          <t>Swim in Rising Water Dijkstra Grid</t>
        </is>
      </c>
      <c r="F525" s="10" t="inlineStr">
        <is>
          <t>Hard</t>
        </is>
      </c>
      <c r="G525" s="7" t="inlineStr">
        <is>
          <t>Dijkstra min-heap grid max elevation</t>
        </is>
      </c>
      <c r="H525" s="6" t="n">
        <v>120</v>
      </c>
      <c r="I525" s="6" t="n">
        <v>120</v>
      </c>
      <c r="J525" s="8" t="inlineStr">
        <is>
          <t>https://www.codechef.com/problems/DIJ102</t>
        </is>
      </c>
      <c r="K525" s="7" t="inlineStr"/>
      <c r="L525" s="6" t="inlineStr">
        <is>
          <t>codechef</t>
        </is>
      </c>
    </row>
    <row r="526" ht="20" customHeight="1">
      <c r="A526" s="2" t="inlineStr">
        <is>
          <t>Unsolved</t>
        </is>
      </c>
      <c r="B526" s="3" t="inlineStr">
        <is>
          <t>KINGDOM 15 — THE KINGDOM OF SHORTEST PATHS</t>
        </is>
      </c>
      <c r="C526" s="3" t="inlineStr">
        <is>
          <t>Pattern 15.1 — Standard Dijkstra</t>
        </is>
      </c>
      <c r="D526" s="2" t="inlineStr">
        <is>
          <t>DIJ103</t>
        </is>
      </c>
      <c r="E526" s="3" t="inlineStr">
        <is>
          <t>Path With Minimum Effort Grid Dijkstra</t>
        </is>
      </c>
      <c r="F526" s="9" t="inlineStr">
        <is>
          <t>Medium</t>
        </is>
      </c>
      <c r="G526" s="3" t="inlineStr">
        <is>
          <t>Dijkstra min max diff</t>
        </is>
      </c>
      <c r="H526" s="2" t="n">
        <v>60</v>
      </c>
      <c r="I526" s="2" t="n">
        <v>55</v>
      </c>
      <c r="J526" s="5" t="inlineStr">
        <is>
          <t>https://www.codechef.com/problems/DIJ103</t>
        </is>
      </c>
      <c r="K526" s="3" t="inlineStr"/>
      <c r="L526" s="2" t="inlineStr">
        <is>
          <t>codechef</t>
        </is>
      </c>
    </row>
    <row r="527" ht="20" customHeight="1">
      <c r="A527" s="6" t="inlineStr">
        <is>
          <t>Unsolved</t>
        </is>
      </c>
      <c r="B527" s="7" t="inlineStr">
        <is>
          <t>KINGDOM 15 — THE KINGDOM OF SHORTEST PATHS</t>
        </is>
      </c>
      <c r="C527" s="7" t="inlineStr">
        <is>
          <t>Pattern 15.1 — Standard Dijkstra</t>
        </is>
      </c>
      <c r="D527" s="6" t="inlineStr">
        <is>
          <t>DIJ104</t>
        </is>
      </c>
      <c r="E527" s="7" t="inlineStr">
        <is>
          <t>Shortest Path Visiting All Nodes Bitmask Dijkstra</t>
        </is>
      </c>
      <c r="F527" s="10" t="inlineStr">
        <is>
          <t>Hard</t>
        </is>
      </c>
      <c r="G527" s="7" t="inlineStr">
        <is>
          <t>Dijkstra bitmask state</t>
        </is>
      </c>
      <c r="H527" s="6" t="n">
        <v>120</v>
      </c>
      <c r="I527" s="6" t="n">
        <v>120</v>
      </c>
      <c r="J527" s="8" t="inlineStr">
        <is>
          <t>https://www.codechef.com/problems/DIJ104</t>
        </is>
      </c>
      <c r="K527" s="7" t="inlineStr"/>
      <c r="L527" s="6" t="inlineStr">
        <is>
          <t>codechef</t>
        </is>
      </c>
    </row>
    <row r="528" ht="20" customHeight="1">
      <c r="A528" s="2" t="inlineStr">
        <is>
          <t>Unsolved</t>
        </is>
      </c>
      <c r="B528" s="3" t="inlineStr">
        <is>
          <t>KINGDOM 15 — THE KINGDOM OF SHORTEST PATHS</t>
        </is>
      </c>
      <c r="C528" s="3" t="inlineStr">
        <is>
          <t>Pattern 15.1 — Standard Dijkstra</t>
        </is>
      </c>
      <c r="D528" s="2" t="inlineStr">
        <is>
          <t>DIJ105</t>
        </is>
      </c>
      <c r="E528" s="3" t="inlineStr">
        <is>
          <t>Reachable Nodes In Subdivided Graph Dijkstra</t>
        </is>
      </c>
      <c r="F528" s="10" t="inlineStr">
        <is>
          <t>Hard</t>
        </is>
      </c>
      <c r="G528" s="3" t="inlineStr">
        <is>
          <t>Dijkstra edge subdivision count</t>
        </is>
      </c>
      <c r="H528" s="2" t="n">
        <v>120</v>
      </c>
      <c r="I528" s="2" t="n">
        <v>120</v>
      </c>
      <c r="J528" s="5" t="inlineStr">
        <is>
          <t>https://www.codechef.com/problems/DIJ105</t>
        </is>
      </c>
      <c r="K528" s="3" t="inlineStr"/>
      <c r="L528" s="2" t="inlineStr">
        <is>
          <t>codechef</t>
        </is>
      </c>
    </row>
    <row r="529" ht="20" customHeight="1">
      <c r="A529" s="6" t="inlineStr">
        <is>
          <t>Unsolved</t>
        </is>
      </c>
      <c r="B529" s="7" t="inlineStr">
        <is>
          <t>KINGDOM 15 — THE KINGDOM OF SHORTEST PATHS</t>
        </is>
      </c>
      <c r="C529" s="7" t="inlineStr">
        <is>
          <t>Pattern 15.1 — Standard Dijkstra</t>
        </is>
      </c>
      <c r="D529" s="6" t="inlineStr">
        <is>
          <t>DIJ106</t>
        </is>
      </c>
      <c r="E529" s="7" t="inlineStr">
        <is>
          <t>Find Minimum Time to Finish All Jobs Dijkstra</t>
        </is>
      </c>
      <c r="F529" s="10" t="inlineStr">
        <is>
          <t>Hard</t>
        </is>
      </c>
      <c r="G529" s="7" t="inlineStr">
        <is>
          <t>Dijkstra state space</t>
        </is>
      </c>
      <c r="H529" s="6" t="n">
        <v>120</v>
      </c>
      <c r="I529" s="6" t="n">
        <v>120</v>
      </c>
      <c r="J529" s="8" t="inlineStr">
        <is>
          <t>https://www.codechef.com/problems/DIJ106</t>
        </is>
      </c>
      <c r="K529" s="7" t="inlineStr"/>
      <c r="L529" s="6" t="inlineStr">
        <is>
          <t>codechef</t>
        </is>
      </c>
    </row>
    <row r="530" ht="20" customHeight="1">
      <c r="A530" s="2" t="inlineStr">
        <is>
          <t>Unsolved</t>
        </is>
      </c>
      <c r="B530" s="3" t="inlineStr">
        <is>
          <t>KINGDOM 15 — THE KINGDOM OF SHORTEST PATHS</t>
        </is>
      </c>
      <c r="C530" s="3" t="inlineStr">
        <is>
          <t>Pattern 15.1 — Standard Dijkstra</t>
        </is>
      </c>
      <c r="D530" s="2" t="inlineStr">
        <is>
          <t>DIJ107</t>
        </is>
      </c>
      <c r="E530" s="3" t="inlineStr">
        <is>
          <t>Shortest Distance After Road Addition Queries I</t>
        </is>
      </c>
      <c r="F530" s="9" t="inlineStr">
        <is>
          <t>Medium</t>
        </is>
      </c>
      <c r="G530" s="3" t="inlineStr">
        <is>
          <t>Dijkstra BFS queries</t>
        </is>
      </c>
      <c r="H530" s="2" t="n">
        <v>60</v>
      </c>
      <c r="I530" s="2" t="n">
        <v>55</v>
      </c>
      <c r="J530" s="5" t="inlineStr">
        <is>
          <t>https://www.codechef.com/problems/DIJ107</t>
        </is>
      </c>
      <c r="K530" s="3" t="inlineStr"/>
      <c r="L530" s="2" t="inlineStr">
        <is>
          <t>codechef</t>
        </is>
      </c>
    </row>
    <row r="531" ht="20" customHeight="1">
      <c r="A531" s="6" t="inlineStr">
        <is>
          <t>Unsolved</t>
        </is>
      </c>
      <c r="B531" s="7" t="inlineStr">
        <is>
          <t>KINGDOM 15 — THE KINGDOM OF SHORTEST PATHS</t>
        </is>
      </c>
      <c r="C531" s="7" t="inlineStr">
        <is>
          <t>Pattern 15.1 — Standard Dijkstra</t>
        </is>
      </c>
      <c r="D531" s="6" t="inlineStr">
        <is>
          <t>DIJ108</t>
        </is>
      </c>
      <c r="E531" s="7" t="inlineStr">
        <is>
          <t>Second Shortest Path to Reach Destination</t>
        </is>
      </c>
      <c r="F531" s="10" t="inlineStr">
        <is>
          <t>Hard</t>
        </is>
      </c>
      <c r="G531" s="7" t="inlineStr">
        <is>
          <t>Dijkstra k-th shortest path</t>
        </is>
      </c>
      <c r="H531" s="6" t="n">
        <v>120</v>
      </c>
      <c r="I531" s="6" t="n">
        <v>120</v>
      </c>
      <c r="J531" s="8" t="inlineStr">
        <is>
          <t>https://www.codechef.com/problems/DIJ108</t>
        </is>
      </c>
      <c r="K531" s="7" t="inlineStr"/>
      <c r="L531" s="6" t="inlineStr">
        <is>
          <t>codechef</t>
        </is>
      </c>
    </row>
    <row r="532" ht="20" customHeight="1">
      <c r="A532" s="2" t="inlineStr">
        <is>
          <t>Unsolved</t>
        </is>
      </c>
      <c r="B532" s="3" t="inlineStr">
        <is>
          <t>KINGDOM 15 — THE KINGDOM OF SHORTEST PATHS</t>
        </is>
      </c>
      <c r="C532" s="3" t="inlineStr">
        <is>
          <t>Pattern 15.3 — 0-1 BFS</t>
        </is>
      </c>
      <c r="D532" s="2" t="inlineStr">
        <is>
          <t>BFS01</t>
        </is>
      </c>
      <c r="E532" s="3" t="inlineStr">
        <is>
          <t>Shortest Path 0-1 Edge Weights Deque BFS</t>
        </is>
      </c>
      <c r="F532" s="9" t="inlineStr">
        <is>
          <t>Medium</t>
        </is>
      </c>
      <c r="G532" s="3" t="inlineStr">
        <is>
          <t>0-1 BFS deque popleft pushleft</t>
        </is>
      </c>
      <c r="H532" s="2" t="n">
        <v>60</v>
      </c>
      <c r="I532" s="2" t="n">
        <v>55</v>
      </c>
      <c r="J532" s="5" t="inlineStr">
        <is>
          <t>https://www.codechef.com/problems/BFS01</t>
        </is>
      </c>
      <c r="K532" s="3" t="inlineStr"/>
      <c r="L532" s="2" t="inlineStr">
        <is>
          <t>codechef</t>
        </is>
      </c>
    </row>
    <row r="533" ht="20" customHeight="1">
      <c r="A533" s="6" t="inlineStr">
        <is>
          <t>Unsolved</t>
        </is>
      </c>
      <c r="B533" s="7" t="inlineStr">
        <is>
          <t>KINGDOM 15 — THE KINGDOM OF SHORTEST PATHS</t>
        </is>
      </c>
      <c r="C533" s="7" t="inlineStr">
        <is>
          <t>Pattern 15.3 — 0-1 BFS</t>
        </is>
      </c>
      <c r="D533" s="6" t="inlineStr">
        <is>
          <t>CHEAPEST1</t>
        </is>
      </c>
      <c r="E533" s="7" t="inlineStr">
        <is>
          <t>Minimum Cost to Make at Least One Valid Path Grid</t>
        </is>
      </c>
      <c r="F533" s="10" t="inlineStr">
        <is>
          <t>Hard</t>
        </is>
      </c>
      <c r="G533" s="7" t="inlineStr">
        <is>
          <t>0-1 BFS grid direction deque</t>
        </is>
      </c>
      <c r="H533" s="6" t="n">
        <v>120</v>
      </c>
      <c r="I533" s="6" t="n">
        <v>120</v>
      </c>
      <c r="J533" s="8" t="inlineStr">
        <is>
          <t>https://www.codechef.com/problems/CHEAPEST1</t>
        </is>
      </c>
      <c r="K533" s="7" t="inlineStr"/>
      <c r="L533" s="6" t="inlineStr">
        <is>
          <t>codechef</t>
        </is>
      </c>
    </row>
    <row r="534" ht="20" customHeight="1">
      <c r="A534" s="2" t="inlineStr">
        <is>
          <t>Unsolved</t>
        </is>
      </c>
      <c r="B534" s="3" t="inlineStr">
        <is>
          <t>KINGDOM 15 — THE KINGDOM OF SHORTEST PATHS</t>
        </is>
      </c>
      <c r="C534" s="3" t="inlineStr">
        <is>
          <t>Pattern 15.3 — 0-1 BFS</t>
        </is>
      </c>
      <c r="D534" s="2" t="inlineStr">
        <is>
          <t>Z1BFS101</t>
        </is>
      </c>
      <c r="E534" s="3" t="inlineStr">
        <is>
          <t>Minimum Obstacle Removal to Reach Corner</t>
        </is>
      </c>
      <c r="F534" s="10" t="inlineStr">
        <is>
          <t>Hard</t>
        </is>
      </c>
      <c r="G534" s="3" t="inlineStr">
        <is>
          <t>0-1 BFS grid removal count</t>
        </is>
      </c>
      <c r="H534" s="2" t="n">
        <v>120</v>
      </c>
      <c r="I534" s="2" t="n">
        <v>120</v>
      </c>
      <c r="J534" s="5" t="inlineStr">
        <is>
          <t>https://www.codechef.com/problems/Z1BFS101</t>
        </is>
      </c>
      <c r="K534" s="3" t="inlineStr"/>
      <c r="L534" s="2" t="inlineStr">
        <is>
          <t>codechef</t>
        </is>
      </c>
    </row>
    <row r="535" ht="20" customHeight="1">
      <c r="A535" s="6" t="inlineStr">
        <is>
          <t>Unsolved</t>
        </is>
      </c>
      <c r="B535" s="7" t="inlineStr">
        <is>
          <t>KINGDOM 15 — THE KINGDOM OF SHORTEST PATHS</t>
        </is>
      </c>
      <c r="C535" s="7" t="inlineStr">
        <is>
          <t>Pattern 15.3 — 0-1 BFS</t>
        </is>
      </c>
      <c r="D535" s="6" t="inlineStr">
        <is>
          <t>Z1BFS102</t>
        </is>
      </c>
      <c r="E535" s="7" t="inlineStr">
        <is>
          <t>Minimum Cost to Reach City 0-1 BFS</t>
        </is>
      </c>
      <c r="F535" s="9" t="inlineStr">
        <is>
          <t>Medium</t>
        </is>
      </c>
      <c r="G535" s="7" t="inlineStr">
        <is>
          <t>0-1 BFS state deque</t>
        </is>
      </c>
      <c r="H535" s="6" t="n">
        <v>60</v>
      </c>
      <c r="I535" s="6" t="n">
        <v>55</v>
      </c>
      <c r="J535" s="8" t="inlineStr">
        <is>
          <t>https://www.codechef.com/problems/Z1BFS102</t>
        </is>
      </c>
      <c r="K535" s="7" t="inlineStr"/>
      <c r="L535" s="6" t="inlineStr">
        <is>
          <t>codechef</t>
        </is>
      </c>
    </row>
    <row r="536" ht="20" customHeight="1">
      <c r="A536" s="2" t="inlineStr">
        <is>
          <t>Unsolved</t>
        </is>
      </c>
      <c r="B536" s="3" t="inlineStr">
        <is>
          <t>KINGDOM 15 — THE KINGDOM OF SHORTEST PATHS</t>
        </is>
      </c>
      <c r="C536" s="3" t="inlineStr">
        <is>
          <t>Pattern 15.3 — 0-1 BFS</t>
        </is>
      </c>
      <c r="D536" s="2" t="inlineStr">
        <is>
          <t>Z1BFS103</t>
        </is>
      </c>
      <c r="E536" s="3" t="inlineStr">
        <is>
          <t>Minimum Flips to Grid Edge Path 0-1 BFS</t>
        </is>
      </c>
      <c r="F536" s="10" t="inlineStr">
        <is>
          <t>Medium-Hard</t>
        </is>
      </c>
      <c r="G536" s="3" t="inlineStr">
        <is>
          <t>0-1 BFS grid</t>
        </is>
      </c>
      <c r="H536" s="2" t="n">
        <v>90</v>
      </c>
      <c r="I536" s="2" t="n">
        <v>80</v>
      </c>
      <c r="J536" s="5" t="inlineStr">
        <is>
          <t>https://www.codechef.com/problems/Z1BFS103</t>
        </is>
      </c>
      <c r="K536" s="3" t="inlineStr"/>
      <c r="L536" s="2" t="inlineStr">
        <is>
          <t>codechef</t>
        </is>
      </c>
    </row>
    <row r="537" ht="20" customHeight="1">
      <c r="A537" s="6" t="inlineStr">
        <is>
          <t>Unsolved</t>
        </is>
      </c>
      <c r="B537" s="7" t="inlineStr">
        <is>
          <t>KINGDOM 15 — THE KINGDOM OF SHORTEST PATHS</t>
        </is>
      </c>
      <c r="C537" s="7" t="inlineStr">
        <is>
          <t>Pattern 15.3 — 0-1 BFS</t>
        </is>
      </c>
      <c r="D537" s="6" t="inlineStr">
        <is>
          <t>Z1BFS104</t>
        </is>
      </c>
      <c r="E537" s="7" t="inlineStr">
        <is>
          <t>Shortest Grid Path With 0 and 1 Weight Edge</t>
        </is>
      </c>
      <c r="F537" s="9" t="inlineStr">
        <is>
          <t>Medium</t>
        </is>
      </c>
      <c r="G537" s="7" t="inlineStr">
        <is>
          <t>0-1 BFS deque</t>
        </is>
      </c>
      <c r="H537" s="6" t="n">
        <v>60</v>
      </c>
      <c r="I537" s="6" t="n">
        <v>55</v>
      </c>
      <c r="J537" s="8" t="inlineStr">
        <is>
          <t>https://www.codechef.com/problems/Z1BFS104</t>
        </is>
      </c>
      <c r="K537" s="7" t="inlineStr"/>
      <c r="L537" s="6" t="inlineStr">
        <is>
          <t>codechef</t>
        </is>
      </c>
    </row>
    <row r="538" ht="20" customHeight="1">
      <c r="A538" s="2" t="inlineStr">
        <is>
          <t>Unsolved</t>
        </is>
      </c>
      <c r="B538" s="3" t="inlineStr">
        <is>
          <t>KINGDOM 15 — THE KINGDOM OF SHORTEST PATHS</t>
        </is>
      </c>
      <c r="C538" s="3" t="inlineStr">
        <is>
          <t>Pattern 15.3 — 0-1 BFS</t>
        </is>
      </c>
      <c r="D538" s="2" t="inlineStr">
        <is>
          <t>Z1BFS105</t>
        </is>
      </c>
      <c r="E538" s="3" t="inlineStr">
        <is>
          <t>Zero One Weight Shortest Cycle BFS</t>
        </is>
      </c>
      <c r="F538" s="10" t="inlineStr">
        <is>
          <t>Hard</t>
        </is>
      </c>
      <c r="G538" s="3" t="inlineStr">
        <is>
          <t>0-1 BFS deque cycle</t>
        </is>
      </c>
      <c r="H538" s="2" t="n">
        <v>120</v>
      </c>
      <c r="I538" s="2" t="n">
        <v>120</v>
      </c>
      <c r="J538" s="5" t="inlineStr">
        <is>
          <t>https://www.codechef.com/problems/Z1BFS105</t>
        </is>
      </c>
      <c r="K538" s="3" t="inlineStr"/>
      <c r="L538" s="2" t="inlineStr">
        <is>
          <t>codechef</t>
        </is>
      </c>
    </row>
    <row r="539" ht="20" customHeight="1">
      <c r="A539" s="6" t="inlineStr">
        <is>
          <t>Unsolved</t>
        </is>
      </c>
      <c r="B539" s="7" t="inlineStr">
        <is>
          <t>KINGDOM 15 — THE KINGDOM OF SHORTEST PATHS</t>
        </is>
      </c>
      <c r="C539" s="7" t="inlineStr">
        <is>
          <t>Pattern 15.3 — 0-1 BFS</t>
        </is>
      </c>
      <c r="D539" s="6" t="inlineStr">
        <is>
          <t>Z1BFS106</t>
        </is>
      </c>
      <c r="E539" s="7" t="inlineStr">
        <is>
          <t>Binary Grid Shortest Path Toggle Cost</t>
        </is>
      </c>
      <c r="F539" s="10" t="inlineStr">
        <is>
          <t>Medium-Hard</t>
        </is>
      </c>
      <c r="G539" s="7" t="inlineStr">
        <is>
          <t>0-1 BFS deque</t>
        </is>
      </c>
      <c r="H539" s="6" t="n">
        <v>90</v>
      </c>
      <c r="I539" s="6" t="n">
        <v>80</v>
      </c>
      <c r="J539" s="8" t="inlineStr">
        <is>
          <t>https://www.codechef.com/problems/Z1BFS106</t>
        </is>
      </c>
      <c r="K539" s="7" t="inlineStr"/>
      <c r="L539" s="6" t="inlineStr">
        <is>
          <t>codechef</t>
        </is>
      </c>
    </row>
    <row r="540" ht="20" customHeight="1">
      <c r="A540" s="2" t="inlineStr">
        <is>
          <t>Unsolved</t>
        </is>
      </c>
      <c r="B540" s="3" t="inlineStr">
        <is>
          <t>KINGDOM 15 — THE KINGDOM OF SHORTEST PATHS</t>
        </is>
      </c>
      <c r="C540" s="3" t="inlineStr">
        <is>
          <t>Pattern 15.4 — Bellman-Ford / Negative Edges</t>
        </is>
      </c>
      <c r="D540" s="2" t="inlineStr">
        <is>
          <t>BELLMAN1</t>
        </is>
      </c>
      <c r="E540" s="3" t="inlineStr">
        <is>
          <t>Bellman Ford Single Source Shortest Path</t>
        </is>
      </c>
      <c r="F540" s="10" t="inlineStr">
        <is>
          <t>Medium-Hard</t>
        </is>
      </c>
      <c r="G540" s="3" t="inlineStr">
        <is>
          <t>Bellman-Ford V-1 relaxation</t>
        </is>
      </c>
      <c r="H540" s="2" t="n">
        <v>90</v>
      </c>
      <c r="I540" s="2" t="n">
        <v>80</v>
      </c>
      <c r="J540" s="5" t="inlineStr">
        <is>
          <t>https://www.codechef.com/problems/BELLMAN1</t>
        </is>
      </c>
      <c r="K540" s="3" t="inlineStr"/>
      <c r="L540" s="2" t="inlineStr">
        <is>
          <t>codechef</t>
        </is>
      </c>
    </row>
    <row r="541" ht="20" customHeight="1">
      <c r="A541" s="6" t="inlineStr">
        <is>
          <t>Unsolved</t>
        </is>
      </c>
      <c r="B541" s="7" t="inlineStr">
        <is>
          <t>KINGDOM 15 — THE KINGDOM OF SHORTEST PATHS</t>
        </is>
      </c>
      <c r="C541" s="7" t="inlineStr">
        <is>
          <t>Pattern 15.4 — Bellman-Ford / Negative Edges</t>
        </is>
      </c>
      <c r="D541" s="6" t="inlineStr">
        <is>
          <t>NEGATIVE1</t>
        </is>
      </c>
      <c r="E541" s="7" t="inlineStr">
        <is>
          <t>Negative Weight Cycle Detection Bellman Ford</t>
        </is>
      </c>
      <c r="F541" s="10" t="inlineStr">
        <is>
          <t>Medium-Hard</t>
        </is>
      </c>
      <c r="G541" s="7" t="inlineStr">
        <is>
          <t>Bellman-Ford V-th relaxation cycle</t>
        </is>
      </c>
      <c r="H541" s="6" t="n">
        <v>90</v>
      </c>
      <c r="I541" s="6" t="n">
        <v>80</v>
      </c>
      <c r="J541" s="8" t="inlineStr">
        <is>
          <t>https://www.codechef.com/problems/NEGATIVE1</t>
        </is>
      </c>
      <c r="K541" s="7" t="inlineStr"/>
      <c r="L541" s="6" t="inlineStr">
        <is>
          <t>codechef</t>
        </is>
      </c>
    </row>
    <row r="542" ht="20" customHeight="1">
      <c r="A542" s="2" t="inlineStr">
        <is>
          <t>Unsolved</t>
        </is>
      </c>
      <c r="B542" s="3" t="inlineStr">
        <is>
          <t>KINGDOM 15 — THE KINGDOM OF SHORTEST PATHS</t>
        </is>
      </c>
      <c r="C542" s="3" t="inlineStr">
        <is>
          <t>Pattern 15.4 — Bellman-Ford / Negative Edges</t>
        </is>
      </c>
      <c r="D542" s="2" t="inlineStr">
        <is>
          <t>BF101</t>
        </is>
      </c>
      <c r="E542" s="3" t="inlineStr">
        <is>
          <t>SPFA Shortest Path Faster Algorithm</t>
        </is>
      </c>
      <c r="F542" s="10" t="inlineStr">
        <is>
          <t>Medium-Hard</t>
        </is>
      </c>
      <c r="G542" s="3" t="inlineStr">
        <is>
          <t>SPFA queue relaxation</t>
        </is>
      </c>
      <c r="H542" s="2" t="n">
        <v>90</v>
      </c>
      <c r="I542" s="2" t="n">
        <v>80</v>
      </c>
      <c r="J542" s="5" t="inlineStr">
        <is>
          <t>https://www.codechef.com/problems/BF101</t>
        </is>
      </c>
      <c r="K542" s="3" t="inlineStr"/>
      <c r="L542" s="2" t="inlineStr">
        <is>
          <t>codechef</t>
        </is>
      </c>
    </row>
    <row r="543" ht="20" customHeight="1">
      <c r="A543" s="6" t="inlineStr">
        <is>
          <t>Unsolved</t>
        </is>
      </c>
      <c r="B543" s="7" t="inlineStr">
        <is>
          <t>KINGDOM 15 — THE KINGDOM OF SHORTEST PATHS</t>
        </is>
      </c>
      <c r="C543" s="7" t="inlineStr">
        <is>
          <t>Pattern 15.4 — Bellman-Ford / Negative Edges</t>
        </is>
      </c>
      <c r="D543" s="6" t="inlineStr">
        <is>
          <t>BF102</t>
        </is>
      </c>
      <c r="E543" s="7" t="inlineStr">
        <is>
          <t>Cheapest Flights Bellman Ford Array</t>
        </is>
      </c>
      <c r="F543" s="9" t="inlineStr">
        <is>
          <t>Medium</t>
        </is>
      </c>
      <c r="G543" s="7" t="inlineStr">
        <is>
          <t>Bellman-Ford K iterations</t>
        </is>
      </c>
      <c r="H543" s="6" t="n">
        <v>60</v>
      </c>
      <c r="I543" s="6" t="n">
        <v>55</v>
      </c>
      <c r="J543" s="8" t="inlineStr">
        <is>
          <t>https://www.codechef.com/problems/BF102</t>
        </is>
      </c>
      <c r="K543" s="7" t="inlineStr"/>
      <c r="L543" s="6" t="inlineStr">
        <is>
          <t>codechef</t>
        </is>
      </c>
    </row>
    <row r="544" ht="20" customHeight="1">
      <c r="A544" s="2" t="inlineStr">
        <is>
          <t>Unsolved</t>
        </is>
      </c>
      <c r="B544" s="3" t="inlineStr">
        <is>
          <t>KINGDOM 15 — THE KINGDOM OF SHORTEST PATHS</t>
        </is>
      </c>
      <c r="C544" s="3" t="inlineStr">
        <is>
          <t>Pattern 15.4 — Bellman-Ford / Negative Edges</t>
        </is>
      </c>
      <c r="D544" s="2" t="inlineStr">
        <is>
          <t>BF103</t>
        </is>
      </c>
      <c r="E544" s="3" t="inlineStr">
        <is>
          <t>Arbitrage Currency Conversion Negative Cycle</t>
        </is>
      </c>
      <c r="F544" s="10" t="inlineStr">
        <is>
          <t>Hard</t>
        </is>
      </c>
      <c r="G544" s="3" t="inlineStr">
        <is>
          <t>Bellman-Ford log weights negative cycle</t>
        </is>
      </c>
      <c r="H544" s="2" t="n">
        <v>120</v>
      </c>
      <c r="I544" s="2" t="n">
        <v>120</v>
      </c>
      <c r="J544" s="5" t="inlineStr">
        <is>
          <t>https://www.codechef.com/problems/BF103</t>
        </is>
      </c>
      <c r="K544" s="3" t="inlineStr"/>
      <c r="L544" s="2" t="inlineStr">
        <is>
          <t>codechef</t>
        </is>
      </c>
    </row>
    <row r="545" ht="20" customHeight="1">
      <c r="A545" s="6" t="inlineStr">
        <is>
          <t>Unsolved</t>
        </is>
      </c>
      <c r="B545" s="7" t="inlineStr">
        <is>
          <t>KINGDOM 15 — THE KINGDOM OF SHORTEST PATHS</t>
        </is>
      </c>
      <c r="C545" s="7" t="inlineStr">
        <is>
          <t>Pattern 15.4 — Bellman-Ford / Negative Edges</t>
        </is>
      </c>
      <c r="D545" s="6" t="inlineStr">
        <is>
          <t>BF104</t>
        </is>
      </c>
      <c r="E545" s="7" t="inlineStr">
        <is>
          <t>Johnson's All Pairs Shortest Path Algorithm</t>
        </is>
      </c>
      <c r="F545" s="10" t="inlineStr">
        <is>
          <t>Hard</t>
        </is>
      </c>
      <c r="G545" s="7" t="inlineStr">
        <is>
          <t>Johnson algorithm reweighting Bellman-Ford Dijkstra</t>
        </is>
      </c>
      <c r="H545" s="6" t="n">
        <v>120</v>
      </c>
      <c r="I545" s="6" t="n">
        <v>120</v>
      </c>
      <c r="J545" s="8" t="inlineStr">
        <is>
          <t>https://www.codechef.com/problems/BF104</t>
        </is>
      </c>
      <c r="K545" s="7" t="inlineStr"/>
      <c r="L545" s="6" t="inlineStr">
        <is>
          <t>codechef</t>
        </is>
      </c>
    </row>
    <row r="546" ht="20" customHeight="1">
      <c r="A546" s="2" t="inlineStr">
        <is>
          <t>Unsolved</t>
        </is>
      </c>
      <c r="B546" s="3" t="inlineStr">
        <is>
          <t>KINGDOM 15 — THE KINGDOM OF SHORTEST PATHS</t>
        </is>
      </c>
      <c r="C546" s="3" t="inlineStr">
        <is>
          <t>Pattern 15.4 — Bellman-Ford / Negative Edges</t>
        </is>
      </c>
      <c r="D546" s="2" t="inlineStr">
        <is>
          <t>BF105</t>
        </is>
      </c>
      <c r="E546" s="3" t="inlineStr">
        <is>
          <t>Min Cost Max Flow SPFA Augmenting Path</t>
        </is>
      </c>
      <c r="F546" s="10" t="inlineStr">
        <is>
          <t>Hard</t>
        </is>
      </c>
      <c r="G546" s="3" t="inlineStr">
        <is>
          <t>SPFA Primal-Dual Min Cost Max Flow</t>
        </is>
      </c>
      <c r="H546" s="2" t="n">
        <v>120</v>
      </c>
      <c r="I546" s="2" t="n">
        <v>120</v>
      </c>
      <c r="J546" s="5" t="inlineStr">
        <is>
          <t>https://www.codechef.com/problems/BF105</t>
        </is>
      </c>
      <c r="K546" s="3" t="inlineStr"/>
      <c r="L546" s="2" t="inlineStr">
        <is>
          <t>codechef</t>
        </is>
      </c>
    </row>
    <row r="547" ht="20" customHeight="1">
      <c r="A547" s="6" t="inlineStr">
        <is>
          <t>Unsolved</t>
        </is>
      </c>
      <c r="B547" s="7" t="inlineStr">
        <is>
          <t>KINGDOM 15 — THE KINGDOM OF SHORTEST PATHS</t>
        </is>
      </c>
      <c r="C547" s="7" t="inlineStr">
        <is>
          <t>Pattern 15.4 — Bellman-Ford / Negative Edges</t>
        </is>
      </c>
      <c r="D547" s="6" t="inlineStr">
        <is>
          <t>BF106</t>
        </is>
      </c>
      <c r="E547" s="7" t="inlineStr">
        <is>
          <t>Potent Graph Negative Cycle Search SPFA</t>
        </is>
      </c>
      <c r="F547" s="10" t="inlineStr">
        <is>
          <t>Hard</t>
        </is>
      </c>
      <c r="G547" s="7" t="inlineStr">
        <is>
          <t>SPFA count visited relaxation</t>
        </is>
      </c>
      <c r="H547" s="6" t="n">
        <v>120</v>
      </c>
      <c r="I547" s="6" t="n">
        <v>120</v>
      </c>
      <c r="J547" s="8" t="inlineStr">
        <is>
          <t>https://www.codechef.com/problems/BF106</t>
        </is>
      </c>
      <c r="K547" s="7" t="inlineStr"/>
      <c r="L547" s="6" t="inlineStr">
        <is>
          <t>codechef</t>
        </is>
      </c>
    </row>
    <row r="548" ht="20" customHeight="1">
      <c r="A548" s="2" t="inlineStr">
        <is>
          <t>Unsolved</t>
        </is>
      </c>
      <c r="B548" s="3" t="inlineStr">
        <is>
          <t>KINGDOM 15 — THE KINGDOM OF SHORTEST PATHS</t>
        </is>
      </c>
      <c r="C548" s="3" t="inlineStr">
        <is>
          <t>Pattern 15.4 — Bellman-Ford / Negative Edges</t>
        </is>
      </c>
      <c r="D548" s="2" t="inlineStr">
        <is>
          <t>BF107</t>
        </is>
      </c>
      <c r="E548" s="3" t="inlineStr">
        <is>
          <t>Shortest Path Matrix Transition Bellman Ford</t>
        </is>
      </c>
      <c r="F548" s="10" t="inlineStr">
        <is>
          <t>Hard</t>
        </is>
      </c>
      <c r="G548" s="3" t="inlineStr">
        <is>
          <t>Bellman-Ford DP matrix</t>
        </is>
      </c>
      <c r="H548" s="2" t="n">
        <v>120</v>
      </c>
      <c r="I548" s="2" t="n">
        <v>120</v>
      </c>
      <c r="J548" s="5" t="inlineStr">
        <is>
          <t>https://www.codechef.com/problems/BF107</t>
        </is>
      </c>
      <c r="K548" s="3" t="inlineStr"/>
      <c r="L548" s="2" t="inlineStr">
        <is>
          <t>codechef</t>
        </is>
      </c>
    </row>
    <row r="549" ht="20" customHeight="1">
      <c r="A549" s="6" t="inlineStr">
        <is>
          <t>Unsolved</t>
        </is>
      </c>
      <c r="B549" s="7" t="inlineStr">
        <is>
          <t>KINGDOM 15 — THE KINGDOM OF SHORTEST PATHS</t>
        </is>
      </c>
      <c r="C549" s="7" t="inlineStr">
        <is>
          <t>Pattern 15.5 — Floyd Warshall</t>
        </is>
      </c>
      <c r="D549" s="6" t="inlineStr">
        <is>
          <t>FLOYD1</t>
        </is>
      </c>
      <c r="E549" s="7" t="inlineStr">
        <is>
          <t>Floyd Warshall All Pairs Shortest Path</t>
        </is>
      </c>
      <c r="F549" s="10" t="inlineStr">
        <is>
          <t>Medium-Hard</t>
        </is>
      </c>
      <c r="G549" s="7" t="inlineStr">
        <is>
          <t>Floyd Warshall O(V^3) 3 loops</t>
        </is>
      </c>
      <c r="H549" s="6" t="n">
        <v>90</v>
      </c>
      <c r="I549" s="6" t="n">
        <v>80</v>
      </c>
      <c r="J549" s="8" t="inlineStr">
        <is>
          <t>https://www.codechef.com/problems/FLOYD1</t>
        </is>
      </c>
      <c r="K549" s="7" t="inlineStr"/>
      <c r="L549" s="6" t="inlineStr">
        <is>
          <t>codechef</t>
        </is>
      </c>
    </row>
    <row r="550" ht="20" customHeight="1">
      <c r="A550" s="2" t="inlineStr">
        <is>
          <t>Unsolved</t>
        </is>
      </c>
      <c r="B550" s="3" t="inlineStr">
        <is>
          <t>KINGDOM 15 — THE KINGDOM OF SHORTEST PATHS</t>
        </is>
      </c>
      <c r="C550" s="3" t="inlineStr">
        <is>
          <t>Pattern 15.5 — Floyd Warshall</t>
        </is>
      </c>
      <c r="D550" s="2" t="inlineStr">
        <is>
          <t>ALLPAIRS</t>
        </is>
      </c>
      <c r="E550" s="3" t="inlineStr">
        <is>
          <t>Find the City With Smallest Threshold Distance</t>
        </is>
      </c>
      <c r="F550" s="9" t="inlineStr">
        <is>
          <t>Medium</t>
        </is>
      </c>
      <c r="G550" s="3" t="inlineStr">
        <is>
          <t>Floyd Warshall matrix all pairs</t>
        </is>
      </c>
      <c r="H550" s="2" t="n">
        <v>60</v>
      </c>
      <c r="I550" s="2" t="n">
        <v>55</v>
      </c>
      <c r="J550" s="5" t="inlineStr">
        <is>
          <t>https://www.codechef.com/problems/ALLPAIRS</t>
        </is>
      </c>
      <c r="K550" s="3" t="inlineStr"/>
      <c r="L550" s="2" t="inlineStr">
        <is>
          <t>codechef</t>
        </is>
      </c>
    </row>
    <row r="551" ht="20" customHeight="1">
      <c r="A551" s="6" t="inlineStr">
        <is>
          <t>Unsolved</t>
        </is>
      </c>
      <c r="B551" s="7" t="inlineStr">
        <is>
          <t>KINGDOM 15 — THE KINGDOM OF SHORTEST PATHS</t>
        </is>
      </c>
      <c r="C551" s="7" t="inlineStr">
        <is>
          <t>Pattern 15.5 — Floyd Warshall</t>
        </is>
      </c>
      <c r="D551" s="6" t="inlineStr">
        <is>
          <t>FW101</t>
        </is>
      </c>
      <c r="E551" s="7" t="inlineStr">
        <is>
          <t>Transitive Closure of Graph Floyd Warshall</t>
        </is>
      </c>
      <c r="F551" s="9" t="inlineStr">
        <is>
          <t>Medium</t>
        </is>
      </c>
      <c r="G551" s="7" t="inlineStr">
        <is>
          <t>Floyd Warshall boolean reachability</t>
        </is>
      </c>
      <c r="H551" s="6" t="n">
        <v>60</v>
      </c>
      <c r="I551" s="6" t="n">
        <v>55</v>
      </c>
      <c r="J551" s="8" t="inlineStr">
        <is>
          <t>https://www.codechef.com/problems/FW101</t>
        </is>
      </c>
      <c r="K551" s="7" t="inlineStr"/>
      <c r="L551" s="6" t="inlineStr">
        <is>
          <t>codechef</t>
        </is>
      </c>
    </row>
    <row r="552" ht="20" customHeight="1">
      <c r="A552" s="2" t="inlineStr">
        <is>
          <t>Unsolved</t>
        </is>
      </c>
      <c r="B552" s="3" t="inlineStr">
        <is>
          <t>KINGDOM 15 — THE KINGDOM OF SHORTEST PATHS</t>
        </is>
      </c>
      <c r="C552" s="3" t="inlineStr">
        <is>
          <t>Pattern 15.5 — Floyd Warshall</t>
        </is>
      </c>
      <c r="D552" s="2" t="inlineStr">
        <is>
          <t>FW102</t>
        </is>
      </c>
      <c r="E552" s="3" t="inlineStr">
        <is>
          <t>Evaluate Division All Pairs Query Floyd Warshall</t>
        </is>
      </c>
      <c r="F552" s="9" t="inlineStr">
        <is>
          <t>Medium</t>
        </is>
      </c>
      <c r="G552" s="3" t="inlineStr">
        <is>
          <t>Floyd Warshall matrix product</t>
        </is>
      </c>
      <c r="H552" s="2" t="n">
        <v>60</v>
      </c>
      <c r="I552" s="2" t="n">
        <v>55</v>
      </c>
      <c r="J552" s="5" t="inlineStr">
        <is>
          <t>https://www.codechef.com/problems/FW102</t>
        </is>
      </c>
      <c r="K552" s="3" t="inlineStr"/>
      <c r="L552" s="2" t="inlineStr">
        <is>
          <t>codechef</t>
        </is>
      </c>
    </row>
    <row r="553" ht="20" customHeight="1">
      <c r="A553" s="6" t="inlineStr">
        <is>
          <t>Unsolved</t>
        </is>
      </c>
      <c r="B553" s="7" t="inlineStr">
        <is>
          <t>KINGDOM 15 — THE KINGDOM OF SHORTEST PATHS</t>
        </is>
      </c>
      <c r="C553" s="7" t="inlineStr">
        <is>
          <t>Pattern 15.5 — Floyd Warshall</t>
        </is>
      </c>
      <c r="D553" s="6" t="inlineStr">
        <is>
          <t>FW103</t>
        </is>
      </c>
      <c r="E553" s="7" t="inlineStr">
        <is>
          <t>Minimum Cost to Convert String I Floyd Warshall</t>
        </is>
      </c>
      <c r="F553" s="10" t="inlineStr">
        <is>
          <t>Medium-Hard</t>
        </is>
      </c>
      <c r="G553" s="7" t="inlineStr">
        <is>
          <t>Floyd Warshall character transformation</t>
        </is>
      </c>
      <c r="H553" s="6" t="n">
        <v>90</v>
      </c>
      <c r="I553" s="6" t="n">
        <v>80</v>
      </c>
      <c r="J553" s="8" t="inlineStr">
        <is>
          <t>https://www.codechef.com/problems/FW103</t>
        </is>
      </c>
      <c r="K553" s="7" t="inlineStr"/>
      <c r="L553" s="6" t="inlineStr">
        <is>
          <t>codechef</t>
        </is>
      </c>
    </row>
    <row r="554" ht="20" customHeight="1">
      <c r="A554" s="2" t="inlineStr">
        <is>
          <t>Unsolved</t>
        </is>
      </c>
      <c r="B554" s="3" t="inlineStr">
        <is>
          <t>KINGDOM 15 — THE KINGDOM OF SHORTEST PATHS</t>
        </is>
      </c>
      <c r="C554" s="3" t="inlineStr">
        <is>
          <t>Pattern 15.5 — Floyd Warshall</t>
        </is>
      </c>
      <c r="D554" s="2" t="inlineStr">
        <is>
          <t>FW104</t>
        </is>
      </c>
      <c r="E554" s="3" t="inlineStr">
        <is>
          <t>Shortest Path With Distance Threshold Matrix</t>
        </is>
      </c>
      <c r="F554" s="9" t="inlineStr">
        <is>
          <t>Medium</t>
        </is>
      </c>
      <c r="G554" s="3" t="inlineStr">
        <is>
          <t>Floyd Warshall reachability count</t>
        </is>
      </c>
      <c r="H554" s="2" t="n">
        <v>60</v>
      </c>
      <c r="I554" s="2" t="n">
        <v>55</v>
      </c>
      <c r="J554" s="5" t="inlineStr">
        <is>
          <t>https://www.codechef.com/problems/FW104</t>
        </is>
      </c>
      <c r="K554" s="3" t="inlineStr"/>
      <c r="L554" s="2" t="inlineStr">
        <is>
          <t>codechef</t>
        </is>
      </c>
    </row>
    <row r="555" ht="20" customHeight="1">
      <c r="A555" s="6" t="inlineStr">
        <is>
          <t>Unsolved</t>
        </is>
      </c>
      <c r="B555" s="7" t="inlineStr">
        <is>
          <t>KINGDOM 15 — THE KINGDOM OF SHORTEST PATHS</t>
        </is>
      </c>
      <c r="C555" s="7" t="inlineStr">
        <is>
          <t>Pattern 15.5 — Floyd Warshall</t>
        </is>
      </c>
      <c r="D555" s="6" t="inlineStr">
        <is>
          <t>FW105</t>
        </is>
      </c>
      <c r="E555" s="7" t="inlineStr">
        <is>
          <t>Graph Transitive Reduction Minimal Edges</t>
        </is>
      </c>
      <c r="F555" s="10" t="inlineStr">
        <is>
          <t>Hard</t>
        </is>
      </c>
      <c r="G555" s="7" t="inlineStr">
        <is>
          <t>Floyd Warshall reachability reduction</t>
        </is>
      </c>
      <c r="H555" s="6" t="n">
        <v>120</v>
      </c>
      <c r="I555" s="6" t="n">
        <v>120</v>
      </c>
      <c r="J555" s="8" t="inlineStr">
        <is>
          <t>https://www.codechef.com/problems/FW105</t>
        </is>
      </c>
      <c r="K555" s="7" t="inlineStr"/>
      <c r="L555" s="6" t="inlineStr">
        <is>
          <t>codechef</t>
        </is>
      </c>
    </row>
    <row r="556" ht="20" customHeight="1">
      <c r="A556" s="2" t="inlineStr">
        <is>
          <t>Unsolved</t>
        </is>
      </c>
      <c r="B556" s="3" t="inlineStr">
        <is>
          <t>KINGDOM 15 — THE KINGDOM OF SHORTEST PATHS</t>
        </is>
      </c>
      <c r="C556" s="3" t="inlineStr">
        <is>
          <t>Pattern 15.5 — Floyd Warshall</t>
        </is>
      </c>
      <c r="D556" s="2" t="inlineStr">
        <is>
          <t>FW106</t>
        </is>
      </c>
      <c r="E556" s="3" t="inlineStr">
        <is>
          <t>Minimax Path Maximum Edge Weight All Pairs</t>
        </is>
      </c>
      <c r="F556" s="10" t="inlineStr">
        <is>
          <t>Hard</t>
        </is>
      </c>
      <c r="G556" s="3" t="inlineStr">
        <is>
          <t>Floyd Warshall min-max path</t>
        </is>
      </c>
      <c r="H556" s="2" t="n">
        <v>120</v>
      </c>
      <c r="I556" s="2" t="n">
        <v>120</v>
      </c>
      <c r="J556" s="5" t="inlineStr">
        <is>
          <t>https://www.codechef.com/problems/FW106</t>
        </is>
      </c>
      <c r="K556" s="3" t="inlineStr"/>
      <c r="L556" s="2" t="inlineStr">
        <is>
          <t>codechef</t>
        </is>
      </c>
    </row>
    <row r="557" ht="20" customHeight="1">
      <c r="A557" s="6" t="inlineStr">
        <is>
          <t>Unsolved</t>
        </is>
      </c>
      <c r="B557" s="7" t="inlineStr">
        <is>
          <t>KINGDOM 15 — THE KINGDOM OF SHORTEST PATHS</t>
        </is>
      </c>
      <c r="C557" s="7" t="inlineStr">
        <is>
          <t>Pattern 15.5 — Floyd Warshall</t>
        </is>
      </c>
      <c r="D557" s="6" t="inlineStr">
        <is>
          <t>FW107</t>
        </is>
      </c>
      <c r="E557" s="7" t="inlineStr">
        <is>
          <t>Dynamic Graph Floyd Warshall Edge Insert Query</t>
        </is>
      </c>
      <c r="F557" s="10" t="inlineStr">
        <is>
          <t>Hard</t>
        </is>
      </c>
      <c r="G557" s="7" t="inlineStr">
        <is>
          <t>Floyd Warshall incremental update O(V^2)</t>
        </is>
      </c>
      <c r="H557" s="6" t="n">
        <v>120</v>
      </c>
      <c r="I557" s="6" t="n">
        <v>120</v>
      </c>
      <c r="J557" s="8" t="inlineStr">
        <is>
          <t>https://www.codechef.com/problems/FW107</t>
        </is>
      </c>
      <c r="K557" s="7" t="inlineStr"/>
      <c r="L557" s="6" t="inlineStr">
        <is>
          <t>codechef</t>
        </is>
      </c>
    </row>
    <row r="558" ht="20" customHeight="1">
      <c r="A558" s="2" t="inlineStr">
        <is>
          <t>Unsolved</t>
        </is>
      </c>
      <c r="B558" s="3" t="inlineStr">
        <is>
          <t>KINGDOM 15 — THE KINGDOM OF SHORTEST PATHS</t>
        </is>
      </c>
      <c r="C558" s="3" t="inlineStr">
        <is>
          <t>Pattern 15.5 — Floyd Warshall</t>
        </is>
      </c>
      <c r="D558" s="2" t="inlineStr">
        <is>
          <t>FW108</t>
        </is>
      </c>
      <c r="E558" s="3" t="inlineStr">
        <is>
          <t>Diameter of Weighted Graph Floyd Warshall</t>
        </is>
      </c>
      <c r="F558" s="10" t="inlineStr">
        <is>
          <t>Medium-Hard</t>
        </is>
      </c>
      <c r="G558" s="3" t="inlineStr">
        <is>
          <t>Floyd Warshall max finite distance</t>
        </is>
      </c>
      <c r="H558" s="2" t="n">
        <v>90</v>
      </c>
      <c r="I558" s="2" t="n">
        <v>80</v>
      </c>
      <c r="J558" s="5" t="inlineStr">
        <is>
          <t>https://www.codechef.com/problems/FW108</t>
        </is>
      </c>
      <c r="K558" s="3" t="inlineStr"/>
      <c r="L558" s="2" t="inlineStr">
        <is>
          <t>codechef</t>
        </is>
      </c>
    </row>
    <row r="559" ht="20" customHeight="1">
      <c r="A559" s="6" t="inlineStr">
        <is>
          <t>Unsolved</t>
        </is>
      </c>
      <c r="B559" s="7" t="inlineStr">
        <is>
          <t>KINGDOM 16 — THE KINGDOM OF DSU &amp; MINIMUM SPANNING TREE</t>
        </is>
      </c>
      <c r="C559" s="7" t="inlineStr">
        <is>
          <t>Pattern 16.1 — Basic DSU</t>
        </is>
      </c>
      <c r="D559" s="6" t="inlineStr">
        <is>
          <t>DSU1</t>
        </is>
      </c>
      <c r="E559" s="7" t="inlineStr">
        <is>
          <t>Disjoint Set Union Find Template</t>
        </is>
      </c>
      <c r="F559" s="9" t="inlineStr">
        <is>
          <t>Easy-Medium</t>
        </is>
      </c>
      <c r="G559" s="7" t="inlineStr">
        <is>
          <t>DSU path compression rank union</t>
        </is>
      </c>
      <c r="H559" s="6" t="n">
        <v>40</v>
      </c>
      <c r="I559" s="6" t="n">
        <v>35</v>
      </c>
      <c r="J559" s="8" t="inlineStr">
        <is>
          <t>https://www.codechef.com/problems/DSU1</t>
        </is>
      </c>
      <c r="K559" s="7" t="inlineStr"/>
      <c r="L559" s="6" t="inlineStr">
        <is>
          <t>codechef</t>
        </is>
      </c>
    </row>
    <row r="560" ht="20" customHeight="1">
      <c r="A560" s="2" t="inlineStr">
        <is>
          <t>Unsolved</t>
        </is>
      </c>
      <c r="B560" s="3" t="inlineStr">
        <is>
          <t>KINGDOM 16 — THE KINGDOM OF DSU &amp; MINIMUM SPANNING TREE</t>
        </is>
      </c>
      <c r="C560" s="3" t="inlineStr">
        <is>
          <t>Pattern 16.1 — Basic DSU</t>
        </is>
      </c>
      <c r="D560" s="2" t="inlineStr">
        <is>
          <t>DSU101</t>
        </is>
      </c>
      <c r="E560" s="3" t="inlineStr">
        <is>
          <t>Number of Connected Components DSU</t>
        </is>
      </c>
      <c r="F560" s="9" t="inlineStr">
        <is>
          <t>Medium</t>
        </is>
      </c>
      <c r="G560" s="3" t="inlineStr">
        <is>
          <t>DSU count components</t>
        </is>
      </c>
      <c r="H560" s="2" t="n">
        <v>60</v>
      </c>
      <c r="I560" s="2" t="n">
        <v>55</v>
      </c>
      <c r="J560" s="5" t="inlineStr">
        <is>
          <t>https://www.codechef.com/problems/DSU101</t>
        </is>
      </c>
      <c r="K560" s="3" t="inlineStr"/>
      <c r="L560" s="2" t="inlineStr">
        <is>
          <t>codechef</t>
        </is>
      </c>
    </row>
    <row r="561" ht="20" customHeight="1">
      <c r="A561" s="6" t="inlineStr">
        <is>
          <t>Unsolved</t>
        </is>
      </c>
      <c r="B561" s="7" t="inlineStr">
        <is>
          <t>KINGDOM 16 — THE KINGDOM OF DSU &amp; MINIMUM SPANNING TREE</t>
        </is>
      </c>
      <c r="C561" s="7" t="inlineStr">
        <is>
          <t>Pattern 16.1 — Basic DSU</t>
        </is>
      </c>
      <c r="D561" s="6" t="inlineStr">
        <is>
          <t>DSU102</t>
        </is>
      </c>
      <c r="E561" s="7" t="inlineStr">
        <is>
          <t>Graph Valid Tree DSU Check</t>
        </is>
      </c>
      <c r="F561" s="9" t="inlineStr">
        <is>
          <t>Medium</t>
        </is>
      </c>
      <c r="G561" s="7" t="inlineStr">
        <is>
          <t>DSU cycle + component check</t>
        </is>
      </c>
      <c r="H561" s="6" t="n">
        <v>60</v>
      </c>
      <c r="I561" s="6" t="n">
        <v>55</v>
      </c>
      <c r="J561" s="8" t="inlineStr">
        <is>
          <t>https://www.codechef.com/problems/DSU102</t>
        </is>
      </c>
      <c r="K561" s="7" t="inlineStr"/>
      <c r="L561" s="6" t="inlineStr">
        <is>
          <t>codechef</t>
        </is>
      </c>
    </row>
    <row r="562" ht="20" customHeight="1">
      <c r="A562" s="2" t="inlineStr">
        <is>
          <t>Unsolved</t>
        </is>
      </c>
      <c r="B562" s="3" t="inlineStr">
        <is>
          <t>KINGDOM 16 — THE KINGDOM OF DSU &amp; MINIMUM SPANNING TREE</t>
        </is>
      </c>
      <c r="C562" s="3" t="inlineStr">
        <is>
          <t>Pattern 16.1 — Basic DSU</t>
        </is>
      </c>
      <c r="D562" s="2" t="inlineStr">
        <is>
          <t>DSU103</t>
        </is>
      </c>
      <c r="E562" s="3" t="inlineStr">
        <is>
          <t>Redundant Connection DSU</t>
        </is>
      </c>
      <c r="F562" s="9" t="inlineStr">
        <is>
          <t>Medium</t>
        </is>
      </c>
      <c r="G562" s="3" t="inlineStr">
        <is>
          <t>DSU find redundant edge</t>
        </is>
      </c>
      <c r="H562" s="2" t="n">
        <v>60</v>
      </c>
      <c r="I562" s="2" t="n">
        <v>55</v>
      </c>
      <c r="J562" s="5" t="inlineStr">
        <is>
          <t>https://www.codechef.com/problems/DSU103</t>
        </is>
      </c>
      <c r="K562" s="3" t="inlineStr"/>
      <c r="L562" s="2" t="inlineStr">
        <is>
          <t>codechef</t>
        </is>
      </c>
    </row>
    <row r="563" ht="20" customHeight="1">
      <c r="A563" s="6" t="inlineStr">
        <is>
          <t>Unsolved</t>
        </is>
      </c>
      <c r="B563" s="7" t="inlineStr">
        <is>
          <t>KINGDOM 16 — THE KINGDOM OF DSU &amp; MINIMUM SPANNING TREE</t>
        </is>
      </c>
      <c r="C563" s="7" t="inlineStr">
        <is>
          <t>Pattern 16.1 — Basic DSU</t>
        </is>
      </c>
      <c r="D563" s="6" t="inlineStr">
        <is>
          <t>DSU104</t>
        </is>
      </c>
      <c r="E563" s="7" t="inlineStr">
        <is>
          <t>Friend Circles DSU</t>
        </is>
      </c>
      <c r="F563" s="9" t="inlineStr">
        <is>
          <t>Medium</t>
        </is>
      </c>
      <c r="G563" s="7" t="inlineStr">
        <is>
          <t>DSU matrix union</t>
        </is>
      </c>
      <c r="H563" s="6" t="n">
        <v>60</v>
      </c>
      <c r="I563" s="6" t="n">
        <v>55</v>
      </c>
      <c r="J563" s="8" t="inlineStr">
        <is>
          <t>https://www.codechef.com/problems/DSU104</t>
        </is>
      </c>
      <c r="K563" s="7" t="inlineStr"/>
      <c r="L563" s="6" t="inlineStr">
        <is>
          <t>codechef</t>
        </is>
      </c>
    </row>
    <row r="564" ht="20" customHeight="1">
      <c r="A564" s="2" t="inlineStr">
        <is>
          <t>Unsolved</t>
        </is>
      </c>
      <c r="B564" s="3" t="inlineStr">
        <is>
          <t>KINGDOM 16 — THE KINGDOM OF DSU &amp; MINIMUM SPANNING TREE</t>
        </is>
      </c>
      <c r="C564" s="3" t="inlineStr">
        <is>
          <t>Pattern 16.1 — Basic DSU</t>
        </is>
      </c>
      <c r="D564" s="2" t="inlineStr">
        <is>
          <t>DSU105</t>
        </is>
      </c>
      <c r="E564" s="3" t="inlineStr">
        <is>
          <t>Smallest String With Swaps DSU</t>
        </is>
      </c>
      <c r="F564" s="9" t="inlineStr">
        <is>
          <t>Medium</t>
        </is>
      </c>
      <c r="G564" s="3" t="inlineStr">
        <is>
          <t>DSU index grouping sorting</t>
        </is>
      </c>
      <c r="H564" s="2" t="n">
        <v>60</v>
      </c>
      <c r="I564" s="2" t="n">
        <v>55</v>
      </c>
      <c r="J564" s="5" t="inlineStr">
        <is>
          <t>https://www.codechef.com/problems/DSU105</t>
        </is>
      </c>
      <c r="K564" s="3" t="inlineStr"/>
      <c r="L564" s="2" t="inlineStr">
        <is>
          <t>codechef</t>
        </is>
      </c>
    </row>
    <row r="565" ht="20" customHeight="1">
      <c r="A565" s="6" t="inlineStr">
        <is>
          <t>Unsolved</t>
        </is>
      </c>
      <c r="B565" s="7" t="inlineStr">
        <is>
          <t>KINGDOM 16 — THE KINGDOM OF DSU &amp; MINIMUM SPANNING TREE</t>
        </is>
      </c>
      <c r="C565" s="7" t="inlineStr">
        <is>
          <t>Pattern 16.2 — Union Find Applications</t>
        </is>
      </c>
      <c r="D565" s="6" t="inlineStr">
        <is>
          <t>UNIONFIND1</t>
        </is>
      </c>
      <c r="E565" s="7" t="inlineStr">
        <is>
          <t>Accounts Merge DSU Email Lookup</t>
        </is>
      </c>
      <c r="F565" s="10" t="inlineStr">
        <is>
          <t>Medium-Hard</t>
        </is>
      </c>
      <c r="G565" s="7" t="inlineStr">
        <is>
          <t>DSU string hash grouping</t>
        </is>
      </c>
      <c r="H565" s="6" t="n">
        <v>90</v>
      </c>
      <c r="I565" s="6" t="n">
        <v>80</v>
      </c>
      <c r="J565" s="8" t="inlineStr">
        <is>
          <t>https://www.codechef.com/problems/UNIONFIND1</t>
        </is>
      </c>
      <c r="K565" s="7" t="inlineStr"/>
      <c r="L565" s="6" t="inlineStr">
        <is>
          <t>codechef</t>
        </is>
      </c>
    </row>
    <row r="566" ht="20" customHeight="1">
      <c r="A566" s="2" t="inlineStr">
        <is>
          <t>Unsolved</t>
        </is>
      </c>
      <c r="B566" s="3" t="inlineStr">
        <is>
          <t>KINGDOM 16 — THE KINGDOM OF DSU &amp; MINIMUM SPANNING TREE</t>
        </is>
      </c>
      <c r="C566" s="3" t="inlineStr">
        <is>
          <t>Pattern 16.2 — Union Find Applications</t>
        </is>
      </c>
      <c r="D566" s="2" t="inlineStr">
        <is>
          <t>CONNECTED2</t>
        </is>
      </c>
      <c r="E566" s="3" t="inlineStr">
        <is>
          <t>Regions Cut By Slashes Grid DSU</t>
        </is>
      </c>
      <c r="F566" s="10" t="inlineStr">
        <is>
          <t>Hard</t>
        </is>
      </c>
      <c r="G566" s="3" t="inlineStr">
        <is>
          <t>DSU 3x3 grid subdivision</t>
        </is>
      </c>
      <c r="H566" s="2" t="n">
        <v>120</v>
      </c>
      <c r="I566" s="2" t="n">
        <v>120</v>
      </c>
      <c r="J566" s="5" t="inlineStr">
        <is>
          <t>https://www.codechef.com/problems/CONNECTED2</t>
        </is>
      </c>
      <c r="K566" s="3" t="inlineStr"/>
      <c r="L566" s="2" t="inlineStr">
        <is>
          <t>codechef</t>
        </is>
      </c>
    </row>
    <row r="567" ht="20" customHeight="1">
      <c r="A567" s="6" t="inlineStr">
        <is>
          <t>Unsolved</t>
        </is>
      </c>
      <c r="B567" s="7" t="inlineStr">
        <is>
          <t>KINGDOM 16 — THE KINGDOM OF DSU &amp; MINIMUM SPANNING TREE</t>
        </is>
      </c>
      <c r="C567" s="7" t="inlineStr">
        <is>
          <t>Pattern 16.2 — Union Find Applications</t>
        </is>
      </c>
      <c r="D567" s="6" t="inlineStr">
        <is>
          <t>UFA101</t>
        </is>
      </c>
      <c r="E567" s="7" t="inlineStr">
        <is>
          <t>Most Stones Removed with Same Row or Column</t>
        </is>
      </c>
      <c r="F567" s="9" t="inlineStr">
        <is>
          <t>Medium</t>
        </is>
      </c>
      <c r="G567" s="7" t="inlineStr">
        <is>
          <t>DSU row col index union</t>
        </is>
      </c>
      <c r="H567" s="6" t="n">
        <v>60</v>
      </c>
      <c r="I567" s="6" t="n">
        <v>55</v>
      </c>
      <c r="J567" s="8" t="inlineStr">
        <is>
          <t>https://www.codechef.com/problems/UFA101</t>
        </is>
      </c>
      <c r="K567" s="7" t="inlineStr"/>
      <c r="L567" s="6" t="inlineStr">
        <is>
          <t>codechef</t>
        </is>
      </c>
    </row>
    <row r="568" ht="20" customHeight="1">
      <c r="A568" s="2" t="inlineStr">
        <is>
          <t>Unsolved</t>
        </is>
      </c>
      <c r="B568" s="3" t="inlineStr">
        <is>
          <t>KINGDOM 16 — THE KINGDOM OF DSU &amp; MINIMUM SPANNING TREE</t>
        </is>
      </c>
      <c r="C568" s="3" t="inlineStr">
        <is>
          <t>Pattern 16.2 — Union Find Applications</t>
        </is>
      </c>
      <c r="D568" s="2" t="inlineStr">
        <is>
          <t>UFA102</t>
        </is>
      </c>
      <c r="E568" s="3" t="inlineStr">
        <is>
          <t>Satisfiability of Equality Equations DSU</t>
        </is>
      </c>
      <c r="F568" s="9" t="inlineStr">
        <is>
          <t>Medium</t>
        </is>
      </c>
      <c r="G568" s="3" t="inlineStr">
        <is>
          <t>DSU equals non-equals validation</t>
        </is>
      </c>
      <c r="H568" s="2" t="n">
        <v>60</v>
      </c>
      <c r="I568" s="2" t="n">
        <v>55</v>
      </c>
      <c r="J568" s="5" t="inlineStr">
        <is>
          <t>https://www.codechef.com/problems/UFA102</t>
        </is>
      </c>
      <c r="K568" s="3" t="inlineStr"/>
      <c r="L568" s="2" t="inlineStr">
        <is>
          <t>codechef</t>
        </is>
      </c>
    </row>
    <row r="569" ht="20" customHeight="1">
      <c r="A569" s="6" t="inlineStr">
        <is>
          <t>Unsolved</t>
        </is>
      </c>
      <c r="B569" s="7" t="inlineStr">
        <is>
          <t>KINGDOM 16 — THE KINGDOM OF DSU &amp; MINIMUM SPANNING TREE</t>
        </is>
      </c>
      <c r="C569" s="7" t="inlineStr">
        <is>
          <t>Pattern 16.2 — Union Find Applications</t>
        </is>
      </c>
      <c r="D569" s="6" t="inlineStr">
        <is>
          <t>UFA103</t>
        </is>
      </c>
      <c r="E569" s="7" t="inlineStr">
        <is>
          <t>Lexicographically Smallest Equivalent String DSU</t>
        </is>
      </c>
      <c r="F569" s="9" t="inlineStr">
        <is>
          <t>Medium</t>
        </is>
      </c>
      <c r="G569" s="7" t="inlineStr">
        <is>
          <t>DSU min character representative</t>
        </is>
      </c>
      <c r="H569" s="6" t="n">
        <v>60</v>
      </c>
      <c r="I569" s="6" t="n">
        <v>55</v>
      </c>
      <c r="J569" s="8" t="inlineStr">
        <is>
          <t>https://www.codechef.com/problems/UFA103</t>
        </is>
      </c>
      <c r="K569" s="7" t="inlineStr"/>
      <c r="L569" s="6" t="inlineStr">
        <is>
          <t>codechef</t>
        </is>
      </c>
    </row>
    <row r="570" ht="20" customHeight="1">
      <c r="A570" s="2" t="inlineStr">
        <is>
          <t>Unsolved</t>
        </is>
      </c>
      <c r="B570" s="3" t="inlineStr">
        <is>
          <t>KINGDOM 16 — THE KINGDOM OF DSU &amp; MINIMUM SPANNING TREE</t>
        </is>
      </c>
      <c r="C570" s="3" t="inlineStr">
        <is>
          <t>Pattern 16.2 — Union Find Applications</t>
        </is>
      </c>
      <c r="D570" s="2" t="inlineStr">
        <is>
          <t>UFA104</t>
        </is>
      </c>
      <c r="E570" s="3" t="inlineStr">
        <is>
          <t>Number of Islands II Dynamic Add Land DSU</t>
        </is>
      </c>
      <c r="F570" s="10" t="inlineStr">
        <is>
          <t>Hard</t>
        </is>
      </c>
      <c r="G570" s="3" t="inlineStr">
        <is>
          <t>DSU 2D grid online land insertion</t>
        </is>
      </c>
      <c r="H570" s="2" t="n">
        <v>120</v>
      </c>
      <c r="I570" s="2" t="n">
        <v>120</v>
      </c>
      <c r="J570" s="5" t="inlineStr">
        <is>
          <t>https://www.codechef.com/problems/UFA104</t>
        </is>
      </c>
      <c r="K570" s="3" t="inlineStr"/>
      <c r="L570" s="2" t="inlineStr">
        <is>
          <t>codechef</t>
        </is>
      </c>
    </row>
    <row r="571" ht="20" customHeight="1">
      <c r="A571" s="6" t="inlineStr">
        <is>
          <t>Unsolved</t>
        </is>
      </c>
      <c r="B571" s="7" t="inlineStr">
        <is>
          <t>KINGDOM 16 — THE KINGDOM OF DSU &amp; MINIMUM SPANNING TREE</t>
        </is>
      </c>
      <c r="C571" s="7" t="inlineStr">
        <is>
          <t>Pattern 16.2 — Union Find Applications</t>
        </is>
      </c>
      <c r="D571" s="6" t="inlineStr">
        <is>
          <t>UFA105</t>
        </is>
      </c>
      <c r="E571" s="7" t="inlineStr">
        <is>
          <t>Checking Existence of Edge Length Limited Paths</t>
        </is>
      </c>
      <c r="F571" s="10" t="inlineStr">
        <is>
          <t>Hard</t>
        </is>
      </c>
      <c r="G571" s="7" t="inlineStr">
        <is>
          <t>DSU offline query sorting by weight</t>
        </is>
      </c>
      <c r="H571" s="6" t="n">
        <v>120</v>
      </c>
      <c r="I571" s="6" t="n">
        <v>120</v>
      </c>
      <c r="J571" s="8" t="inlineStr">
        <is>
          <t>https://www.codechef.com/problems/UFA105</t>
        </is>
      </c>
      <c r="K571" s="7" t="inlineStr"/>
      <c r="L571" s="6" t="inlineStr">
        <is>
          <t>codechef</t>
        </is>
      </c>
    </row>
    <row r="572" ht="20" customHeight="1">
      <c r="A572" s="2" t="inlineStr">
        <is>
          <t>Unsolved</t>
        </is>
      </c>
      <c r="B572" s="3" t="inlineStr">
        <is>
          <t>KINGDOM 16 — THE KINGDOM OF DSU &amp; MINIMUM SPANNING TREE</t>
        </is>
      </c>
      <c r="C572" s="3" t="inlineStr">
        <is>
          <t>Pattern 16.3 — Kruskal's MST</t>
        </is>
      </c>
      <c r="D572" s="2" t="inlineStr">
        <is>
          <t>MST1</t>
        </is>
      </c>
      <c r="E572" s="3" t="inlineStr">
        <is>
          <t>Min Cost to Connect All Points Kruskal</t>
        </is>
      </c>
      <c r="F572" s="9" t="inlineStr">
        <is>
          <t>Medium</t>
        </is>
      </c>
      <c r="G572" s="3" t="inlineStr">
        <is>
          <t>Kruskal MST Manhattan distance edge sort</t>
        </is>
      </c>
      <c r="H572" s="2" t="n">
        <v>60</v>
      </c>
      <c r="I572" s="2" t="n">
        <v>55</v>
      </c>
      <c r="J572" s="5" t="inlineStr">
        <is>
          <t>https://www.codechef.com/problems/MST1</t>
        </is>
      </c>
      <c r="K572" s="3" t="inlineStr"/>
      <c r="L572" s="2" t="inlineStr">
        <is>
          <t>codechef</t>
        </is>
      </c>
    </row>
    <row r="573" ht="20" customHeight="1">
      <c r="A573" s="6" t="inlineStr">
        <is>
          <t>Unsolved</t>
        </is>
      </c>
      <c r="B573" s="7" t="inlineStr">
        <is>
          <t>KINGDOM 16 — THE KINGDOM OF DSU &amp; MINIMUM SPANNING TREE</t>
        </is>
      </c>
      <c r="C573" s="7" t="inlineStr">
        <is>
          <t>Pattern 16.3 — Kruskal's MST</t>
        </is>
      </c>
      <c r="D573" s="6" t="inlineStr">
        <is>
          <t>KRUSKAL1</t>
        </is>
      </c>
      <c r="E573" s="7" t="inlineStr">
        <is>
          <t>Connecting Cities With Minimum Cost Kruskal</t>
        </is>
      </c>
      <c r="F573" s="9" t="inlineStr">
        <is>
          <t>Medium</t>
        </is>
      </c>
      <c r="G573" s="7" t="inlineStr">
        <is>
          <t>Kruskal MST edge list DSU</t>
        </is>
      </c>
      <c r="H573" s="6" t="n">
        <v>60</v>
      </c>
      <c r="I573" s="6" t="n">
        <v>55</v>
      </c>
      <c r="J573" s="8" t="inlineStr">
        <is>
          <t>https://www.codechef.com/problems/KRUSKAL1</t>
        </is>
      </c>
      <c r="K573" s="7" t="inlineStr"/>
      <c r="L573" s="6" t="inlineStr">
        <is>
          <t>codechef</t>
        </is>
      </c>
    </row>
    <row r="574" ht="20" customHeight="1">
      <c r="A574" s="2" t="inlineStr">
        <is>
          <t>Unsolved</t>
        </is>
      </c>
      <c r="B574" s="3" t="inlineStr">
        <is>
          <t>KINGDOM 16 — THE KINGDOM OF DSU &amp; MINIMUM SPANNING TREE</t>
        </is>
      </c>
      <c r="C574" s="3" t="inlineStr">
        <is>
          <t>Pattern 16.3 — Kruskal's MST</t>
        </is>
      </c>
      <c r="D574" s="2" t="inlineStr">
        <is>
          <t>MINSPAN</t>
        </is>
      </c>
      <c r="E574" s="3" t="inlineStr">
        <is>
          <t>Minimum Spanning Tree Edge Weights Sum</t>
        </is>
      </c>
      <c r="F574" s="9" t="inlineStr">
        <is>
          <t>Medium</t>
        </is>
      </c>
      <c r="G574" s="3" t="inlineStr">
        <is>
          <t>Kruskal MST DSU</t>
        </is>
      </c>
      <c r="H574" s="2" t="n">
        <v>60</v>
      </c>
      <c r="I574" s="2" t="n">
        <v>55</v>
      </c>
      <c r="J574" s="5" t="inlineStr">
        <is>
          <t>https://www.codechef.com/problems/MINSPAN</t>
        </is>
      </c>
      <c r="K574" s="3" t="inlineStr"/>
      <c r="L574" s="2" t="inlineStr">
        <is>
          <t>codechef</t>
        </is>
      </c>
    </row>
    <row r="575" ht="20" customHeight="1">
      <c r="A575" s="6" t="inlineStr">
        <is>
          <t>Unsolved</t>
        </is>
      </c>
      <c r="B575" s="7" t="inlineStr">
        <is>
          <t>KINGDOM 16 — THE KINGDOM OF DSU &amp; MINIMUM SPANNING TREE</t>
        </is>
      </c>
      <c r="C575" s="7" t="inlineStr">
        <is>
          <t>Pattern 16.3 — Kruskal's MST</t>
        </is>
      </c>
      <c r="D575" s="6" t="inlineStr">
        <is>
          <t>KMST101</t>
        </is>
      </c>
      <c r="E575" s="7" t="inlineStr">
        <is>
          <t>Optimize Water Distribution in a Village Kruskal</t>
        </is>
      </c>
      <c r="F575" s="10" t="inlineStr">
        <is>
          <t>Hard</t>
        </is>
      </c>
      <c r="G575" s="7" t="inlineStr">
        <is>
          <t>Kruskal MST virtual super source node 0</t>
        </is>
      </c>
      <c r="H575" s="6" t="n">
        <v>120</v>
      </c>
      <c r="I575" s="6" t="n">
        <v>120</v>
      </c>
      <c r="J575" s="8" t="inlineStr">
        <is>
          <t>https://www.codechef.com/problems/KMST101</t>
        </is>
      </c>
      <c r="K575" s="7" t="inlineStr"/>
      <c r="L575" s="6" t="inlineStr">
        <is>
          <t>codechef</t>
        </is>
      </c>
    </row>
    <row r="576" ht="20" customHeight="1">
      <c r="A576" s="2" t="inlineStr">
        <is>
          <t>Unsolved</t>
        </is>
      </c>
      <c r="B576" s="3" t="inlineStr">
        <is>
          <t>KINGDOM 16 — THE KINGDOM OF DSU &amp; MINIMUM SPANNING TREE</t>
        </is>
      </c>
      <c r="C576" s="3" t="inlineStr">
        <is>
          <t>Pattern 16.3 — Kruskal's MST</t>
        </is>
      </c>
      <c r="D576" s="2" t="inlineStr">
        <is>
          <t>KMST102</t>
        </is>
      </c>
      <c r="E576" s="3" t="inlineStr">
        <is>
          <t>Critical and Pseudo-Critical Edges in MST</t>
        </is>
      </c>
      <c r="F576" s="10" t="inlineStr">
        <is>
          <t>Hard</t>
        </is>
      </c>
      <c r="G576" s="3" t="inlineStr">
        <is>
          <t>Kruskal MST edge inclusion exclusion force</t>
        </is>
      </c>
      <c r="H576" s="2" t="n">
        <v>120</v>
      </c>
      <c r="I576" s="2" t="n">
        <v>120</v>
      </c>
      <c r="J576" s="5" t="inlineStr">
        <is>
          <t>https://www.codechef.com/problems/KMST102</t>
        </is>
      </c>
      <c r="K576" s="3" t="inlineStr"/>
      <c r="L576" s="2" t="inlineStr">
        <is>
          <t>codechef</t>
        </is>
      </c>
    </row>
    <row r="577" ht="20" customHeight="1">
      <c r="A577" s="6" t="inlineStr">
        <is>
          <t>Unsolved</t>
        </is>
      </c>
      <c r="B577" s="7" t="inlineStr">
        <is>
          <t>KINGDOM 16 — THE KINGDOM OF DSU &amp; MINIMUM SPANNING TREE</t>
        </is>
      </c>
      <c r="C577" s="7" t="inlineStr">
        <is>
          <t>Pattern 16.3 — Kruskal's MST</t>
        </is>
      </c>
      <c r="D577" s="6" t="inlineStr">
        <is>
          <t>KMST103</t>
        </is>
      </c>
      <c r="E577" s="7" t="inlineStr">
        <is>
          <t>Prim's Algorithm Minimum Spanning Tree Min-Heap</t>
        </is>
      </c>
      <c r="F577" s="10" t="inlineStr">
        <is>
          <t>Medium-Hard</t>
        </is>
      </c>
      <c r="G577" s="7" t="inlineStr">
        <is>
          <t>Prim MST min-heap priority queue</t>
        </is>
      </c>
      <c r="H577" s="6" t="n">
        <v>90</v>
      </c>
      <c r="I577" s="6" t="n">
        <v>80</v>
      </c>
      <c r="J577" s="8" t="inlineStr">
        <is>
          <t>https://www.codechef.com/problems/KMST103</t>
        </is>
      </c>
      <c r="K577" s="7" t="inlineStr"/>
      <c r="L577" s="6" t="inlineStr">
        <is>
          <t>codechef</t>
        </is>
      </c>
    </row>
    <row r="578" ht="20" customHeight="1">
      <c r="A578" s="2" t="inlineStr">
        <is>
          <t>Unsolved</t>
        </is>
      </c>
      <c r="B578" s="3" t="inlineStr">
        <is>
          <t>KINGDOM 16 — THE KINGDOM OF DSU &amp; MINIMUM SPANNING TREE</t>
        </is>
      </c>
      <c r="C578" s="3" t="inlineStr">
        <is>
          <t>Pattern 16.3 — Kruskal's MST</t>
        </is>
      </c>
      <c r="D578" s="2" t="inlineStr">
        <is>
          <t>KMST104</t>
        </is>
      </c>
      <c r="E578" s="3" t="inlineStr">
        <is>
          <t>Maximal Spanning Tree Negative Weight Kruskal</t>
        </is>
      </c>
      <c r="F578" s="9" t="inlineStr">
        <is>
          <t>Medium</t>
        </is>
      </c>
      <c r="G578" s="3" t="inlineStr">
        <is>
          <t>Kruskal MST max edge sort</t>
        </is>
      </c>
      <c r="H578" s="2" t="n">
        <v>60</v>
      </c>
      <c r="I578" s="2" t="n">
        <v>55</v>
      </c>
      <c r="J578" s="5" t="inlineStr">
        <is>
          <t>https://www.codechef.com/problems/KMST104</t>
        </is>
      </c>
      <c r="K578" s="3" t="inlineStr"/>
      <c r="L578" s="2" t="inlineStr">
        <is>
          <t>codechef</t>
        </is>
      </c>
    </row>
    <row r="579" ht="20" customHeight="1">
      <c r="A579" s="6" t="inlineStr">
        <is>
          <t>Unsolved</t>
        </is>
      </c>
      <c r="B579" s="7" t="inlineStr">
        <is>
          <t>KINGDOM 16 — THE KINGDOM OF DSU &amp; MINIMUM SPANNING TREE</t>
        </is>
      </c>
      <c r="C579" s="7" t="inlineStr">
        <is>
          <t>Pattern 16.5 — Offline DSU</t>
        </is>
      </c>
      <c r="D579" s="6" t="inlineStr">
        <is>
          <t>OFFLINEDSU</t>
        </is>
      </c>
      <c r="E579" s="7" t="inlineStr">
        <is>
          <t>Offline Dynamic Connectivity DSU Divide &amp; Conquer</t>
        </is>
      </c>
      <c r="F579" s="10" t="inlineStr">
        <is>
          <t>Hard</t>
        </is>
      </c>
      <c r="G579" s="7" t="inlineStr">
        <is>
          <t>Offline DSU undo rollback stack</t>
        </is>
      </c>
      <c r="H579" s="6" t="n">
        <v>120</v>
      </c>
      <c r="I579" s="6" t="n">
        <v>120</v>
      </c>
      <c r="J579" s="8" t="inlineStr">
        <is>
          <t>https://www.codechef.com/problems/OFFLINEDSU</t>
        </is>
      </c>
      <c r="K579" s="7" t="inlineStr"/>
      <c r="L579" s="6" t="inlineStr">
        <is>
          <t>codechef</t>
        </is>
      </c>
    </row>
    <row r="580" ht="20" customHeight="1">
      <c r="A580" s="2" t="inlineStr">
        <is>
          <t>Unsolved</t>
        </is>
      </c>
      <c r="B580" s="3" t="inlineStr">
        <is>
          <t>KINGDOM 16 — THE KINGDOM OF DSU &amp; MINIMUM SPANNING TREE</t>
        </is>
      </c>
      <c r="C580" s="3" t="inlineStr">
        <is>
          <t>Pattern 16.5 — Offline DSU</t>
        </is>
      </c>
      <c r="D580" s="2" t="inlineStr">
        <is>
          <t>DYNAMICCONN</t>
        </is>
      </c>
      <c r="E580" s="3" t="inlineStr">
        <is>
          <t>Offline Range Query Edge Add Delete DSU</t>
        </is>
      </c>
      <c r="F580" s="11" t="inlineStr">
        <is>
          <t>Expert</t>
        </is>
      </c>
      <c r="G580" s="3" t="inlineStr">
        <is>
          <t>DSU with rollback segment tree offline</t>
        </is>
      </c>
      <c r="H580" s="2" t="n">
        <v>180</v>
      </c>
      <c r="I580" s="2" t="n">
        <v>180</v>
      </c>
      <c r="J580" s="5" t="inlineStr">
        <is>
          <t>https://www.codechef.com/problems/DYNAMICCONN</t>
        </is>
      </c>
      <c r="K580" s="3" t="inlineStr"/>
      <c r="L580" s="2" t="inlineStr">
        <is>
          <t>codechef</t>
        </is>
      </c>
    </row>
    <row r="581" ht="20" customHeight="1">
      <c r="A581" s="6" t="inlineStr">
        <is>
          <t>Unsolved</t>
        </is>
      </c>
      <c r="B581" s="7" t="inlineStr">
        <is>
          <t>KINGDOM 16 — THE KINGDOM OF DSU &amp; MINIMUM SPANNING TREE</t>
        </is>
      </c>
      <c r="C581" s="7" t="inlineStr">
        <is>
          <t>Pattern 16.5 — Offline DSU</t>
        </is>
      </c>
      <c r="D581" s="6" t="inlineStr">
        <is>
          <t>OFFDSU101</t>
        </is>
      </c>
      <c r="E581" s="7" t="inlineStr">
        <is>
          <t>Offline Queries Maximum Weight Edge Limit DSU</t>
        </is>
      </c>
      <c r="F581" s="10" t="inlineStr">
        <is>
          <t>Hard</t>
        </is>
      </c>
      <c r="G581" s="7" t="inlineStr">
        <is>
          <t>Offline query sorting DSU pointer</t>
        </is>
      </c>
      <c r="H581" s="6" t="n">
        <v>120</v>
      </c>
      <c r="I581" s="6" t="n">
        <v>120</v>
      </c>
      <c r="J581" s="8" t="inlineStr">
        <is>
          <t>https://www.codechef.com/problems/OFFDSU101</t>
        </is>
      </c>
      <c r="K581" s="7" t="inlineStr"/>
      <c r="L581" s="6" t="inlineStr">
        <is>
          <t>codechef</t>
        </is>
      </c>
    </row>
    <row r="582" ht="20" customHeight="1">
      <c r="A582" s="2" t="inlineStr">
        <is>
          <t>Unsolved</t>
        </is>
      </c>
      <c r="B582" s="3" t="inlineStr">
        <is>
          <t>KINGDOM 16 — THE KINGDOM OF DSU &amp; MINIMUM SPANNING TREE</t>
        </is>
      </c>
      <c r="C582" s="3" t="inlineStr">
        <is>
          <t>Pattern 16.5 — Offline DSU</t>
        </is>
      </c>
      <c r="D582" s="2" t="inlineStr">
        <is>
          <t>OFFDSU102</t>
        </is>
      </c>
      <c r="E582" s="3" t="inlineStr">
        <is>
          <t>Offline Edge Addition Connectivity Query Range</t>
        </is>
      </c>
      <c r="F582" s="10" t="inlineStr">
        <is>
          <t>Hard</t>
        </is>
      </c>
      <c r="G582" s="3" t="inlineStr">
        <is>
          <t>Offline DSU rollback divide conquer</t>
        </is>
      </c>
      <c r="H582" s="2" t="n">
        <v>120</v>
      </c>
      <c r="I582" s="2" t="n">
        <v>120</v>
      </c>
      <c r="J582" s="5" t="inlineStr">
        <is>
          <t>https://www.codechef.com/problems/OFFDSU102</t>
        </is>
      </c>
      <c r="K582" s="3" t="inlineStr"/>
      <c r="L582" s="2" t="inlineStr">
        <is>
          <t>codechef</t>
        </is>
      </c>
    </row>
    <row r="583" ht="20" customHeight="1">
      <c r="A583" s="6" t="inlineStr">
        <is>
          <t>Unsolved</t>
        </is>
      </c>
      <c r="B583" s="7" t="inlineStr">
        <is>
          <t>KINGDOM 16 — THE KINGDOM OF DSU &amp; MINIMUM SPANNING TREE</t>
        </is>
      </c>
      <c r="C583" s="7" t="inlineStr">
        <is>
          <t>Pattern 16.5 — Offline DSU</t>
        </is>
      </c>
      <c r="D583" s="6" t="inlineStr">
        <is>
          <t>OFFDSU103</t>
        </is>
      </c>
      <c r="E583" s="7" t="inlineStr">
        <is>
          <t>Dynamic Graph Bridge Count Offline DSU</t>
        </is>
      </c>
      <c r="F583" s="11" t="inlineStr">
        <is>
          <t>Expert</t>
        </is>
      </c>
      <c r="G583" s="7" t="inlineStr">
        <is>
          <t>Offline DSU bridge tracking</t>
        </is>
      </c>
      <c r="H583" s="6" t="n">
        <v>180</v>
      </c>
      <c r="I583" s="6" t="n">
        <v>180</v>
      </c>
      <c r="J583" s="8" t="inlineStr">
        <is>
          <t>https://www.codechef.com/problems/OFFDSU103</t>
        </is>
      </c>
      <c r="K583" s="7" t="inlineStr"/>
      <c r="L583" s="6" t="inlineStr">
        <is>
          <t>codechef</t>
        </is>
      </c>
    </row>
    <row r="584" ht="20" customHeight="1">
      <c r="A584" s="2" t="inlineStr">
        <is>
          <t>Unsolved</t>
        </is>
      </c>
      <c r="B584" s="3" t="inlineStr">
        <is>
          <t>KINGDOM 17 — THE KINGDOM OF DYNAMIC PROGRAMMING</t>
        </is>
      </c>
      <c r="C584" s="3" t="inlineStr">
        <is>
          <t>Pattern 17.1 — Introduction to DP (1D DP)</t>
        </is>
      </c>
      <c r="D584" s="2" t="inlineStr">
        <is>
          <t>DP1D101</t>
        </is>
      </c>
      <c r="E584" s="3" t="inlineStr">
        <is>
          <t>Climbing Stairs 1D DP</t>
        </is>
      </c>
      <c r="F584" s="4" t="inlineStr">
        <is>
          <t>Beginner</t>
        </is>
      </c>
      <c r="G584" s="3" t="inlineStr">
        <is>
          <t>1D DP Fibonacci transition</t>
        </is>
      </c>
      <c r="H584" s="2" t="n">
        <v>15</v>
      </c>
      <c r="I584" s="2" t="n">
        <v>10</v>
      </c>
      <c r="J584" s="5" t="inlineStr">
        <is>
          <t>https://www.codechef.com/problems/DP1D101</t>
        </is>
      </c>
      <c r="K584" s="3" t="inlineStr"/>
      <c r="L584" s="2" t="inlineStr">
        <is>
          <t>codechef</t>
        </is>
      </c>
    </row>
    <row r="585" ht="20" customHeight="1">
      <c r="A585" s="6" t="inlineStr">
        <is>
          <t>Unsolved</t>
        </is>
      </c>
      <c r="B585" s="7" t="inlineStr">
        <is>
          <t>KINGDOM 17 — THE KINGDOM OF DYNAMIC PROGRAMMING</t>
        </is>
      </c>
      <c r="C585" s="7" t="inlineStr">
        <is>
          <t>Pattern 17.1 — Introduction to DP (1D DP)</t>
        </is>
      </c>
      <c r="D585" s="6" t="inlineStr">
        <is>
          <t>DP1D102</t>
        </is>
      </c>
      <c r="E585" s="7" t="inlineStr">
        <is>
          <t>Min Cost Climbing Stairs</t>
        </is>
      </c>
      <c r="F585" s="4" t="inlineStr">
        <is>
          <t>Easy</t>
        </is>
      </c>
      <c r="G585" s="7" t="inlineStr">
        <is>
          <t>1D DP min state transition</t>
        </is>
      </c>
      <c r="H585" s="6" t="n">
        <v>25</v>
      </c>
      <c r="I585" s="6" t="n">
        <v>20</v>
      </c>
      <c r="J585" s="8" t="inlineStr">
        <is>
          <t>https://www.codechef.com/problems/DP1D102</t>
        </is>
      </c>
      <c r="K585" s="7" t="inlineStr"/>
      <c r="L585" s="6" t="inlineStr">
        <is>
          <t>codechef</t>
        </is>
      </c>
    </row>
    <row r="586" ht="20" customHeight="1">
      <c r="A586" s="2" t="inlineStr">
        <is>
          <t>Unsolved</t>
        </is>
      </c>
      <c r="B586" s="3" t="inlineStr">
        <is>
          <t>KINGDOM 17 — THE KINGDOM OF DYNAMIC PROGRAMMING</t>
        </is>
      </c>
      <c r="C586" s="3" t="inlineStr">
        <is>
          <t>Pattern 17.1 — Introduction to DP (1D DP)</t>
        </is>
      </c>
      <c r="D586" s="2" t="inlineStr">
        <is>
          <t>DP1D103</t>
        </is>
      </c>
      <c r="E586" s="3" t="inlineStr">
        <is>
          <t>House Robber I Non Adjacent Sum</t>
        </is>
      </c>
      <c r="F586" s="9" t="inlineStr">
        <is>
          <t>Medium</t>
        </is>
      </c>
      <c r="G586" s="3" t="inlineStr">
        <is>
          <t>1D DP max choose skip</t>
        </is>
      </c>
      <c r="H586" s="2" t="n">
        <v>60</v>
      </c>
      <c r="I586" s="2" t="n">
        <v>55</v>
      </c>
      <c r="J586" s="5" t="inlineStr">
        <is>
          <t>https://www.codechef.com/problems/DP1D103</t>
        </is>
      </c>
      <c r="K586" s="3" t="inlineStr"/>
      <c r="L586" s="2" t="inlineStr">
        <is>
          <t>codechef</t>
        </is>
      </c>
    </row>
    <row r="587" ht="20" customHeight="1">
      <c r="A587" s="6" t="inlineStr">
        <is>
          <t>Unsolved</t>
        </is>
      </c>
      <c r="B587" s="7" t="inlineStr">
        <is>
          <t>KINGDOM 17 — THE KINGDOM OF DYNAMIC PROGRAMMING</t>
        </is>
      </c>
      <c r="C587" s="7" t="inlineStr">
        <is>
          <t>Pattern 17.1 — Introduction to DP (1D DP)</t>
        </is>
      </c>
      <c r="D587" s="6" t="inlineStr">
        <is>
          <t>DP1D104</t>
        </is>
      </c>
      <c r="E587" s="7" t="inlineStr">
        <is>
          <t>House Robber II Circular Houses</t>
        </is>
      </c>
      <c r="F587" s="9" t="inlineStr">
        <is>
          <t>Medium</t>
        </is>
      </c>
      <c r="G587" s="7" t="inlineStr">
        <is>
          <t>1D DP dual pass 0 to N-2 and 1 to N-1</t>
        </is>
      </c>
      <c r="H587" s="6" t="n">
        <v>60</v>
      </c>
      <c r="I587" s="6" t="n">
        <v>55</v>
      </c>
      <c r="J587" s="8" t="inlineStr">
        <is>
          <t>https://www.codechef.com/problems/DP1D104</t>
        </is>
      </c>
      <c r="K587" s="7" t="inlineStr"/>
      <c r="L587" s="6" t="inlineStr">
        <is>
          <t>codechef</t>
        </is>
      </c>
    </row>
    <row r="588" ht="20" customHeight="1">
      <c r="A588" s="2" t="inlineStr">
        <is>
          <t>Unsolved</t>
        </is>
      </c>
      <c r="B588" s="3" t="inlineStr">
        <is>
          <t>KINGDOM 17 — THE KINGDOM OF DYNAMIC PROGRAMMING</t>
        </is>
      </c>
      <c r="C588" s="3" t="inlineStr">
        <is>
          <t>Pattern 17.1 — Introduction to DP (1D DP)</t>
        </is>
      </c>
      <c r="D588" s="2" t="inlineStr">
        <is>
          <t>DP1D105</t>
        </is>
      </c>
      <c r="E588" s="3" t="inlineStr">
        <is>
          <t>Decode Ways String Message DP</t>
        </is>
      </c>
      <c r="F588" s="9" t="inlineStr">
        <is>
          <t>Medium</t>
        </is>
      </c>
      <c r="G588" s="3" t="inlineStr">
        <is>
          <t>1D DP digit parsing state</t>
        </is>
      </c>
      <c r="H588" s="2" t="n">
        <v>60</v>
      </c>
      <c r="I588" s="2" t="n">
        <v>55</v>
      </c>
      <c r="J588" s="5" t="inlineStr">
        <is>
          <t>https://www.codechef.com/problems/DP1D105</t>
        </is>
      </c>
      <c r="K588" s="3" t="inlineStr"/>
      <c r="L588" s="2" t="inlineStr">
        <is>
          <t>codechef</t>
        </is>
      </c>
    </row>
    <row r="589" ht="20" customHeight="1">
      <c r="A589" s="6" t="inlineStr">
        <is>
          <t>Unsolved</t>
        </is>
      </c>
      <c r="B589" s="7" t="inlineStr">
        <is>
          <t>KINGDOM 17 — THE KINGDOM OF DYNAMIC PROGRAMMING</t>
        </is>
      </c>
      <c r="C589" s="7" t="inlineStr">
        <is>
          <t>Pattern 17.1 — Introduction to DP (1D DP)</t>
        </is>
      </c>
      <c r="D589" s="6" t="inlineStr">
        <is>
          <t>DP1D106</t>
        </is>
      </c>
      <c r="E589" s="7" t="inlineStr">
        <is>
          <t>Word Break I Dictionary Split</t>
        </is>
      </c>
      <c r="F589" s="9" t="inlineStr">
        <is>
          <t>Medium</t>
        </is>
      </c>
      <c r="G589" s="7" t="inlineStr">
        <is>
          <t>1D DP boolean substring matching</t>
        </is>
      </c>
      <c r="H589" s="6" t="n">
        <v>60</v>
      </c>
      <c r="I589" s="6" t="n">
        <v>55</v>
      </c>
      <c r="J589" s="8" t="inlineStr">
        <is>
          <t>https://www.codechef.com/problems/DP1D106</t>
        </is>
      </c>
      <c r="K589" s="7" t="inlineStr"/>
      <c r="L589" s="6" t="inlineStr">
        <is>
          <t>codechef</t>
        </is>
      </c>
    </row>
    <row r="590" ht="20" customHeight="1">
      <c r="A590" s="2" t="inlineStr">
        <is>
          <t>Unsolved</t>
        </is>
      </c>
      <c r="B590" s="3" t="inlineStr">
        <is>
          <t>KINGDOM 17 — THE KINGDOM OF DYNAMIC PROGRAMMING</t>
        </is>
      </c>
      <c r="C590" s="3" t="inlineStr">
        <is>
          <t>Pattern 17.1 — Introduction to DP (1D DP)</t>
        </is>
      </c>
      <c r="D590" s="2" t="inlineStr">
        <is>
          <t>DP1D107</t>
        </is>
      </c>
      <c r="E590" s="3" t="inlineStr">
        <is>
          <t>Longest Increasing Subsequence LIS O(N^2)</t>
        </is>
      </c>
      <c r="F590" s="9" t="inlineStr">
        <is>
          <t>Medium</t>
        </is>
      </c>
      <c r="G590" s="3" t="inlineStr">
        <is>
          <t>1D DP LIS subproblem</t>
        </is>
      </c>
      <c r="H590" s="2" t="n">
        <v>60</v>
      </c>
      <c r="I590" s="2" t="n">
        <v>55</v>
      </c>
      <c r="J590" s="5" t="inlineStr">
        <is>
          <t>https://www.codechef.com/problems/DP1D107</t>
        </is>
      </c>
      <c r="K590" s="3" t="inlineStr"/>
      <c r="L590" s="2" t="inlineStr">
        <is>
          <t>codechef</t>
        </is>
      </c>
    </row>
    <row r="591" ht="20" customHeight="1">
      <c r="A591" s="6" t="inlineStr">
        <is>
          <t>Unsolved</t>
        </is>
      </c>
      <c r="B591" s="7" t="inlineStr">
        <is>
          <t>KINGDOM 17 — THE KINGDOM OF DYNAMIC PROGRAMMING</t>
        </is>
      </c>
      <c r="C591" s="7" t="inlineStr">
        <is>
          <t>Pattern 17.1 — Introduction to DP (1D DP)</t>
        </is>
      </c>
      <c r="D591" s="6" t="inlineStr">
        <is>
          <t>DP1D108</t>
        </is>
      </c>
      <c r="E591" s="7" t="inlineStr">
        <is>
          <t>Longest Increasing Subsequence LIS O(N log N)</t>
        </is>
      </c>
      <c r="F591" s="10" t="inlineStr">
        <is>
          <t>Medium-Hard</t>
        </is>
      </c>
      <c r="G591" s="7" t="inlineStr">
        <is>
          <t>Patience sorting binary search bisect_left</t>
        </is>
      </c>
      <c r="H591" s="6" t="n">
        <v>90</v>
      </c>
      <c r="I591" s="6" t="n">
        <v>80</v>
      </c>
      <c r="J591" s="8" t="inlineStr">
        <is>
          <t>https://www.codechef.com/problems/DP1D108</t>
        </is>
      </c>
      <c r="K591" s="7" t="inlineStr"/>
      <c r="L591" s="6" t="inlineStr">
        <is>
          <t>codechef</t>
        </is>
      </c>
    </row>
    <row r="592" ht="20" customHeight="1">
      <c r="A592" s="2" t="inlineStr">
        <is>
          <t>Unsolved</t>
        </is>
      </c>
      <c r="B592" s="3" t="inlineStr">
        <is>
          <t>KINGDOM 17 — THE KINGDOM OF DYNAMIC PROGRAMMING</t>
        </is>
      </c>
      <c r="C592" s="3" t="inlineStr">
        <is>
          <t>Pattern 17.2 — Knapsack DP</t>
        </is>
      </c>
      <c r="D592" s="2" t="inlineStr">
        <is>
          <t>KNAPSACK1</t>
        </is>
      </c>
      <c r="E592" s="3" t="inlineStr">
        <is>
          <t>0-1 Knapsack Classic Standard DP</t>
        </is>
      </c>
      <c r="F592" s="9" t="inlineStr">
        <is>
          <t>Medium</t>
        </is>
      </c>
      <c r="G592" s="3" t="inlineStr">
        <is>
          <t>0-1 Knapsack 2D 1D array capacity loop</t>
        </is>
      </c>
      <c r="H592" s="2" t="n">
        <v>60</v>
      </c>
      <c r="I592" s="2" t="n">
        <v>55</v>
      </c>
      <c r="J592" s="5" t="inlineStr">
        <is>
          <t>https://www.codechef.com/problems/KNAPSACK1</t>
        </is>
      </c>
      <c r="K592" s="3" t="inlineStr"/>
      <c r="L592" s="2" t="inlineStr">
        <is>
          <t>codechef</t>
        </is>
      </c>
    </row>
    <row r="593" ht="20" customHeight="1">
      <c r="A593" s="6" t="inlineStr">
        <is>
          <t>Unsolved</t>
        </is>
      </c>
      <c r="B593" s="7" t="inlineStr">
        <is>
          <t>KINGDOM 17 — THE KINGDOM OF DYNAMIC PROGRAMMING</t>
        </is>
      </c>
      <c r="C593" s="7" t="inlineStr">
        <is>
          <t>Pattern 17.2 — Knapsack DP</t>
        </is>
      </c>
      <c r="D593" s="6" t="inlineStr">
        <is>
          <t>SUBSETSUM</t>
        </is>
      </c>
      <c r="E593" s="7" t="inlineStr">
        <is>
          <t>Subset Sum Problem Equal Partition DP</t>
        </is>
      </c>
      <c r="F593" s="9" t="inlineStr">
        <is>
          <t>Medium</t>
        </is>
      </c>
      <c r="G593" s="7" t="inlineStr">
        <is>
          <t>0-1 Knapsack subset sum boolean DP</t>
        </is>
      </c>
      <c r="H593" s="6" t="n">
        <v>60</v>
      </c>
      <c r="I593" s="6" t="n">
        <v>55</v>
      </c>
      <c r="J593" s="8" t="inlineStr">
        <is>
          <t>https://www.codechef.com/problems/SUBSETSUM</t>
        </is>
      </c>
      <c r="K593" s="7" t="inlineStr"/>
      <c r="L593" s="6" t="inlineStr">
        <is>
          <t>codechef</t>
        </is>
      </c>
    </row>
    <row r="594" ht="20" customHeight="1">
      <c r="A594" s="2" t="inlineStr">
        <is>
          <t>Unsolved</t>
        </is>
      </c>
      <c r="B594" s="3" t="inlineStr">
        <is>
          <t>KINGDOM 17 — THE KINGDOM OF DYNAMIC PROGRAMMING</t>
        </is>
      </c>
      <c r="C594" s="3" t="inlineStr">
        <is>
          <t>Pattern 17.2 — Knapsack DP</t>
        </is>
      </c>
      <c r="D594" s="2" t="inlineStr">
        <is>
          <t>RATIONAL</t>
        </is>
      </c>
      <c r="E594" s="3" t="inlineStr">
        <is>
          <t>Coin Change I Minimum Coins DP</t>
        </is>
      </c>
      <c r="F594" s="9" t="inlineStr">
        <is>
          <t>Medium</t>
        </is>
      </c>
      <c r="G594" s="3" t="inlineStr">
        <is>
          <t>Unbounded Knapsack min coin DP</t>
        </is>
      </c>
      <c r="H594" s="2" t="n">
        <v>60</v>
      </c>
      <c r="I594" s="2" t="n">
        <v>55</v>
      </c>
      <c r="J594" s="5" t="inlineStr">
        <is>
          <t>https://www.codechef.com/problems/RATIONAL</t>
        </is>
      </c>
      <c r="K594" s="3" t="inlineStr"/>
      <c r="L594" s="2" t="inlineStr">
        <is>
          <t>codechef</t>
        </is>
      </c>
    </row>
    <row r="595" ht="20" customHeight="1">
      <c r="A595" s="6" t="inlineStr">
        <is>
          <t>Unsolved</t>
        </is>
      </c>
      <c r="B595" s="7" t="inlineStr">
        <is>
          <t>KINGDOM 17 — THE KINGDOM OF DYNAMIC PROGRAMMING</t>
        </is>
      </c>
      <c r="C595" s="7" t="inlineStr">
        <is>
          <t>Pattern 17.2 — Knapsack DP</t>
        </is>
      </c>
      <c r="D595" s="6" t="inlineStr">
        <is>
          <t>KNAP101</t>
        </is>
      </c>
      <c r="E595" s="7" t="inlineStr">
        <is>
          <t>Coin Change II Total Ways Combination DP</t>
        </is>
      </c>
      <c r="F595" s="9" t="inlineStr">
        <is>
          <t>Medium</t>
        </is>
      </c>
      <c r="G595" s="7" t="inlineStr">
        <is>
          <t>Unbounded Knapsack ways outer coin loop</t>
        </is>
      </c>
      <c r="H595" s="6" t="n">
        <v>60</v>
      </c>
      <c r="I595" s="6" t="n">
        <v>55</v>
      </c>
      <c r="J595" s="8" t="inlineStr">
        <is>
          <t>https://www.codechef.com/problems/KNAP101</t>
        </is>
      </c>
      <c r="K595" s="7" t="inlineStr"/>
      <c r="L595" s="6" t="inlineStr">
        <is>
          <t>codechef</t>
        </is>
      </c>
    </row>
    <row r="596" ht="20" customHeight="1">
      <c r="A596" s="2" t="inlineStr">
        <is>
          <t>Unsolved</t>
        </is>
      </c>
      <c r="B596" s="3" t="inlineStr">
        <is>
          <t>KINGDOM 17 — THE KINGDOM OF DYNAMIC PROGRAMMING</t>
        </is>
      </c>
      <c r="C596" s="3" t="inlineStr">
        <is>
          <t>Pattern 17.2 — Knapsack DP</t>
        </is>
      </c>
      <c r="D596" s="2" t="inlineStr">
        <is>
          <t>KNAP102</t>
        </is>
      </c>
      <c r="E596" s="3" t="inlineStr">
        <is>
          <t>Partition Equal Subset Sum 0-1 Knapsack</t>
        </is>
      </c>
      <c r="F596" s="9" t="inlineStr">
        <is>
          <t>Medium</t>
        </is>
      </c>
      <c r="G596" s="3" t="inlineStr">
        <is>
          <t>0-1 Knapsack boolean subset sum target/2</t>
        </is>
      </c>
      <c r="H596" s="2" t="n">
        <v>60</v>
      </c>
      <c r="I596" s="2" t="n">
        <v>55</v>
      </c>
      <c r="J596" s="5" t="inlineStr">
        <is>
          <t>https://www.codechef.com/problems/KNAP102</t>
        </is>
      </c>
      <c r="K596" s="3" t="inlineStr"/>
      <c r="L596" s="2" t="inlineStr">
        <is>
          <t>codechef</t>
        </is>
      </c>
    </row>
    <row r="597" ht="20" customHeight="1">
      <c r="A597" s="6" t="inlineStr">
        <is>
          <t>Unsolved</t>
        </is>
      </c>
      <c r="B597" s="7" t="inlineStr">
        <is>
          <t>KINGDOM 17 — THE KINGDOM OF DYNAMIC PROGRAMMING</t>
        </is>
      </c>
      <c r="C597" s="7" t="inlineStr">
        <is>
          <t>Pattern 17.2 — Knapsack DP</t>
        </is>
      </c>
      <c r="D597" s="6" t="inlineStr">
        <is>
          <t>KNAP103</t>
        </is>
      </c>
      <c r="E597" s="7" t="inlineStr">
        <is>
          <t>Target Sum Plus Minus Signs Knapsack</t>
        </is>
      </c>
      <c r="F597" s="9" t="inlineStr">
        <is>
          <t>Medium</t>
        </is>
      </c>
      <c r="G597" s="7" t="inlineStr">
        <is>
          <t>0-1 Knapsack subset sum offset formula</t>
        </is>
      </c>
      <c r="H597" s="6" t="n">
        <v>60</v>
      </c>
      <c r="I597" s="6" t="n">
        <v>55</v>
      </c>
      <c r="J597" s="8" t="inlineStr">
        <is>
          <t>https://www.codechef.com/problems/KNAP103</t>
        </is>
      </c>
      <c r="K597" s="7" t="inlineStr"/>
      <c r="L597" s="6" t="inlineStr">
        <is>
          <t>codechef</t>
        </is>
      </c>
    </row>
    <row r="598" ht="20" customHeight="1">
      <c r="A598" s="2" t="inlineStr">
        <is>
          <t>Unsolved</t>
        </is>
      </c>
      <c r="B598" s="3" t="inlineStr">
        <is>
          <t>KINGDOM 17 — THE KINGDOM OF DYNAMIC PROGRAMMING</t>
        </is>
      </c>
      <c r="C598" s="3" t="inlineStr">
        <is>
          <t>Pattern 17.2 — Knapsack DP</t>
        </is>
      </c>
      <c r="D598" s="2" t="inlineStr">
        <is>
          <t>KNAP104</t>
        </is>
      </c>
      <c r="E598" s="3" t="inlineStr">
        <is>
          <t>Ones and Zeroes 2D 0-1 Knapsack DP</t>
        </is>
      </c>
      <c r="F598" s="10" t="inlineStr">
        <is>
          <t>Medium-Hard</t>
        </is>
      </c>
      <c r="G598" s="3" t="inlineStr">
        <is>
          <t>2D 0-1 Knapsack m zeros n ones capacity</t>
        </is>
      </c>
      <c r="H598" s="2" t="n">
        <v>90</v>
      </c>
      <c r="I598" s="2" t="n">
        <v>80</v>
      </c>
      <c r="J598" s="5" t="inlineStr">
        <is>
          <t>https://www.codechef.com/problems/KNAP104</t>
        </is>
      </c>
      <c r="K598" s="3" t="inlineStr"/>
      <c r="L598" s="2" t="inlineStr">
        <is>
          <t>codechef</t>
        </is>
      </c>
    </row>
    <row r="599" ht="20" customHeight="1">
      <c r="A599" s="6" t="inlineStr">
        <is>
          <t>Unsolved</t>
        </is>
      </c>
      <c r="B599" s="7" t="inlineStr">
        <is>
          <t>KINGDOM 17 — THE KINGDOM OF DYNAMIC PROGRAMMING</t>
        </is>
      </c>
      <c r="C599" s="7" t="inlineStr">
        <is>
          <t>Pattern 17.2 — Knapsack DP</t>
        </is>
      </c>
      <c r="D599" s="6" t="inlineStr">
        <is>
          <t>KNAP105</t>
        </is>
      </c>
      <c r="E599" s="7" t="inlineStr">
        <is>
          <t>Unbounded Knapsack Maximum Value DP</t>
        </is>
      </c>
      <c r="F599" s="9" t="inlineStr">
        <is>
          <t>Medium</t>
        </is>
      </c>
      <c r="G599" s="7" t="inlineStr">
        <is>
          <t>Unbounded Knapsack max profit capacity</t>
        </is>
      </c>
      <c r="H599" s="6" t="n">
        <v>60</v>
      </c>
      <c r="I599" s="6" t="n">
        <v>55</v>
      </c>
      <c r="J599" s="8" t="inlineStr">
        <is>
          <t>https://www.codechef.com/problems/KNAP105</t>
        </is>
      </c>
      <c r="K599" s="7" t="inlineStr"/>
      <c r="L599" s="6" t="inlineStr">
        <is>
          <t>codechef</t>
        </is>
      </c>
    </row>
    <row r="600" ht="20" customHeight="1">
      <c r="A600" s="2" t="inlineStr">
        <is>
          <t>Unsolved</t>
        </is>
      </c>
      <c r="B600" s="3" t="inlineStr">
        <is>
          <t>KINGDOM 17 — THE KINGDOM OF DYNAMIC PROGRAMMING</t>
        </is>
      </c>
      <c r="C600" s="3" t="inlineStr">
        <is>
          <t>Pattern 17.3 — Grid DP</t>
        </is>
      </c>
      <c r="D600" s="2" t="inlineStr">
        <is>
          <t>GRIDDP1</t>
        </is>
      </c>
      <c r="E600" s="3" t="inlineStr">
        <is>
          <t>Unique Paths I Robot Grid DP</t>
        </is>
      </c>
      <c r="F600" s="9" t="inlineStr">
        <is>
          <t>Easy-Medium</t>
        </is>
      </c>
      <c r="G600" s="3" t="inlineStr">
        <is>
          <t>2D Grid DP combinations / 2D table</t>
        </is>
      </c>
      <c r="H600" s="2" t="n">
        <v>40</v>
      </c>
      <c r="I600" s="2" t="n">
        <v>35</v>
      </c>
      <c r="J600" s="5" t="inlineStr">
        <is>
          <t>https://www.codechef.com/problems/GRIDDP1</t>
        </is>
      </c>
      <c r="K600" s="3" t="inlineStr"/>
      <c r="L600" s="2" t="inlineStr">
        <is>
          <t>codechef</t>
        </is>
      </c>
    </row>
    <row r="601" ht="20" customHeight="1">
      <c r="A601" s="6" t="inlineStr">
        <is>
          <t>Unsolved</t>
        </is>
      </c>
      <c r="B601" s="7" t="inlineStr">
        <is>
          <t>KINGDOM 17 — THE KINGDOM OF DYNAMIC PROGRAMMING</t>
        </is>
      </c>
      <c r="C601" s="7" t="inlineStr">
        <is>
          <t>Pattern 17.3 — Grid DP</t>
        </is>
      </c>
      <c r="D601" s="6" t="inlineStr">
        <is>
          <t>MAXPATH</t>
        </is>
      </c>
      <c r="E601" s="7" t="inlineStr">
        <is>
          <t>Unique Paths II Obstacles Grid DP</t>
        </is>
      </c>
      <c r="F601" s="9" t="inlineStr">
        <is>
          <t>Medium</t>
        </is>
      </c>
      <c r="G601" s="7" t="inlineStr">
        <is>
          <t>2D Grid DP obstacle zeroing</t>
        </is>
      </c>
      <c r="H601" s="6" t="n">
        <v>60</v>
      </c>
      <c r="I601" s="6" t="n">
        <v>55</v>
      </c>
      <c r="J601" s="8" t="inlineStr">
        <is>
          <t>https://www.codechef.com/problems/MAXPATH</t>
        </is>
      </c>
      <c r="K601" s="7" t="inlineStr"/>
      <c r="L601" s="6" t="inlineStr">
        <is>
          <t>codechef</t>
        </is>
      </c>
    </row>
    <row r="602" ht="20" customHeight="1">
      <c r="A602" s="2" t="inlineStr">
        <is>
          <t>Unsolved</t>
        </is>
      </c>
      <c r="B602" s="3" t="inlineStr">
        <is>
          <t>KINGDOM 17 — THE KINGDOM OF DYNAMIC PROGRAMMING</t>
        </is>
      </c>
      <c r="C602" s="3" t="inlineStr">
        <is>
          <t>Pattern 17.3 — Grid DP</t>
        </is>
      </c>
      <c r="D602" s="2" t="inlineStr">
        <is>
          <t>CHEFGRID</t>
        </is>
      </c>
      <c r="E602" s="3" t="inlineStr">
        <is>
          <t>Minimum Path Sum Grid Top-Left to Bottom-Right</t>
        </is>
      </c>
      <c r="F602" s="9" t="inlineStr">
        <is>
          <t>Medium</t>
        </is>
      </c>
      <c r="G602" s="3" t="inlineStr">
        <is>
          <t>2D Grid DP min cost path</t>
        </is>
      </c>
      <c r="H602" s="2" t="n">
        <v>60</v>
      </c>
      <c r="I602" s="2" t="n">
        <v>55</v>
      </c>
      <c r="J602" s="5" t="inlineStr">
        <is>
          <t>https://www.codechef.com/problems/CHEFGRID</t>
        </is>
      </c>
      <c r="K602" s="3" t="inlineStr"/>
      <c r="L602" s="2" t="inlineStr">
        <is>
          <t>codechef</t>
        </is>
      </c>
    </row>
    <row r="603" ht="20" customHeight="1">
      <c r="A603" s="6" t="inlineStr">
        <is>
          <t>Unsolved</t>
        </is>
      </c>
      <c r="B603" s="7" t="inlineStr">
        <is>
          <t>KINGDOM 17 — THE KINGDOM OF DYNAMIC PROGRAMMING</t>
        </is>
      </c>
      <c r="C603" s="7" t="inlineStr">
        <is>
          <t>Pattern 17.3 — Grid DP</t>
        </is>
      </c>
      <c r="D603" s="6" t="inlineStr">
        <is>
          <t>GDP101</t>
        </is>
      </c>
      <c r="E603" s="7" t="inlineStr">
        <is>
          <t>Triangle Minimum Path Sum Top to Bottom DP</t>
        </is>
      </c>
      <c r="F603" s="9" t="inlineStr">
        <is>
          <t>Medium</t>
        </is>
      </c>
      <c r="G603" s="7" t="inlineStr">
        <is>
          <t>2D Grid DP triangle bottom up</t>
        </is>
      </c>
      <c r="H603" s="6" t="n">
        <v>60</v>
      </c>
      <c r="I603" s="6" t="n">
        <v>55</v>
      </c>
      <c r="J603" s="8" t="inlineStr">
        <is>
          <t>https://www.codechef.com/problems/GDP101</t>
        </is>
      </c>
      <c r="K603" s="7" t="inlineStr"/>
      <c r="L603" s="6" t="inlineStr">
        <is>
          <t>codechef</t>
        </is>
      </c>
    </row>
    <row r="604" ht="20" customHeight="1">
      <c r="A604" s="2" t="inlineStr">
        <is>
          <t>Unsolved</t>
        </is>
      </c>
      <c r="B604" s="3" t="inlineStr">
        <is>
          <t>KINGDOM 17 — THE KINGDOM OF DYNAMIC PROGRAMMING</t>
        </is>
      </c>
      <c r="C604" s="3" t="inlineStr">
        <is>
          <t>Pattern 17.3 — Grid DP</t>
        </is>
      </c>
      <c r="D604" s="2" t="inlineStr">
        <is>
          <t>GDP102</t>
        </is>
      </c>
      <c r="E604" s="3" t="inlineStr">
        <is>
          <t>Dungeon Game Health Requirement Grid DP</t>
        </is>
      </c>
      <c r="F604" s="10" t="inlineStr">
        <is>
          <t>Hard</t>
        </is>
      </c>
      <c r="G604" s="3" t="inlineStr">
        <is>
          <t>2D Grid DP bottom-right to top-left min health</t>
        </is>
      </c>
      <c r="H604" s="2" t="n">
        <v>120</v>
      </c>
      <c r="I604" s="2" t="n">
        <v>120</v>
      </c>
      <c r="J604" s="5" t="inlineStr">
        <is>
          <t>https://www.codechef.com/problems/GDP102</t>
        </is>
      </c>
      <c r="K604" s="3" t="inlineStr"/>
      <c r="L604" s="2" t="inlineStr">
        <is>
          <t>codechef</t>
        </is>
      </c>
    </row>
    <row r="605" ht="20" customHeight="1">
      <c r="A605" s="6" t="inlineStr">
        <is>
          <t>Unsolved</t>
        </is>
      </c>
      <c r="B605" s="7" t="inlineStr">
        <is>
          <t>KINGDOM 17 — THE KINGDOM OF DYNAMIC PROGRAMMING</t>
        </is>
      </c>
      <c r="C605" s="7" t="inlineStr">
        <is>
          <t>Pattern 17.3 — Grid DP</t>
        </is>
      </c>
      <c r="D605" s="6" t="inlineStr">
        <is>
          <t>GDP103</t>
        </is>
      </c>
      <c r="E605" s="7" t="inlineStr">
        <is>
          <t>Cherry Pickup I Grid Dual Walk 3D DP</t>
        </is>
      </c>
      <c r="F605" s="10" t="inlineStr">
        <is>
          <t>Hard</t>
        </is>
      </c>
      <c r="G605" s="7" t="inlineStr">
        <is>
          <t>3D Grid DP dual path simultaneous walk</t>
        </is>
      </c>
      <c r="H605" s="6" t="n">
        <v>120</v>
      </c>
      <c r="I605" s="6" t="n">
        <v>120</v>
      </c>
      <c r="J605" s="8" t="inlineStr">
        <is>
          <t>https://www.codechef.com/problems/GDP103</t>
        </is>
      </c>
      <c r="K605" s="7" t="inlineStr"/>
      <c r="L605" s="6" t="inlineStr">
        <is>
          <t>codechef</t>
        </is>
      </c>
    </row>
    <row r="606" ht="20" customHeight="1">
      <c r="A606" s="2" t="inlineStr">
        <is>
          <t>Unsolved</t>
        </is>
      </c>
      <c r="B606" s="3" t="inlineStr">
        <is>
          <t>KINGDOM 17 — THE KINGDOM OF DYNAMIC PROGRAMMING</t>
        </is>
      </c>
      <c r="C606" s="3" t="inlineStr">
        <is>
          <t>Pattern 17.3 — Grid DP</t>
        </is>
      </c>
      <c r="D606" s="2" t="inlineStr">
        <is>
          <t>GDP104</t>
        </is>
      </c>
      <c r="E606" s="3" t="inlineStr">
        <is>
          <t>Cherry Pickup II Grid Two Robots 3D DP</t>
        </is>
      </c>
      <c r="F606" s="10" t="inlineStr">
        <is>
          <t>Hard</t>
        </is>
      </c>
      <c r="G606" s="3" t="inlineStr">
        <is>
          <t>3D Grid DP 2 robots simultaneous row walk</t>
        </is>
      </c>
      <c r="H606" s="2" t="n">
        <v>120</v>
      </c>
      <c r="I606" s="2" t="n">
        <v>120</v>
      </c>
      <c r="J606" s="5" t="inlineStr">
        <is>
          <t>https://www.codechef.com/problems/GDP104</t>
        </is>
      </c>
      <c r="K606" s="3" t="inlineStr"/>
      <c r="L606" s="2" t="inlineStr">
        <is>
          <t>codechef</t>
        </is>
      </c>
    </row>
    <row r="607" ht="20" customHeight="1">
      <c r="A607" s="6" t="inlineStr">
        <is>
          <t>Unsolved</t>
        </is>
      </c>
      <c r="B607" s="7" t="inlineStr">
        <is>
          <t>KINGDOM 17 — THE KINGDOM OF DYNAMIC PROGRAMMING</t>
        </is>
      </c>
      <c r="C607" s="7" t="inlineStr">
        <is>
          <t>Pattern 17.4 — Interval DP</t>
        </is>
      </c>
      <c r="D607" s="6" t="inlineStr">
        <is>
          <t>INTERVALDP</t>
        </is>
      </c>
      <c r="E607" s="7" t="inlineStr">
        <is>
          <t>Matrix Chain Multiplication MCM Interval DP</t>
        </is>
      </c>
      <c r="F607" s="10" t="inlineStr">
        <is>
          <t>Medium-Hard</t>
        </is>
      </c>
      <c r="G607" s="7" t="inlineStr">
        <is>
          <t>Interval DP split k loop</t>
        </is>
      </c>
      <c r="H607" s="6" t="n">
        <v>90</v>
      </c>
      <c r="I607" s="6" t="n">
        <v>80</v>
      </c>
      <c r="J607" s="8" t="inlineStr">
        <is>
          <t>https://www.codechef.com/problems/INTERVALDP</t>
        </is>
      </c>
      <c r="K607" s="7" t="inlineStr"/>
      <c r="L607" s="6" t="inlineStr">
        <is>
          <t>codechef</t>
        </is>
      </c>
    </row>
    <row r="608" ht="20" customHeight="1">
      <c r="A608" s="2" t="inlineStr">
        <is>
          <t>Unsolved</t>
        </is>
      </c>
      <c r="B608" s="3" t="inlineStr">
        <is>
          <t>KINGDOM 17 — THE KINGDOM OF DYNAMIC PROGRAMMING</t>
        </is>
      </c>
      <c r="C608" s="3" t="inlineStr">
        <is>
          <t>Pattern 17.4 — Interval DP</t>
        </is>
      </c>
      <c r="D608" s="2" t="inlineStr">
        <is>
          <t>MATRIXMULT</t>
        </is>
      </c>
      <c r="E608" s="3" t="inlineStr">
        <is>
          <t>Longest Palindromic Subsequence LPS Interval DP</t>
        </is>
      </c>
      <c r="F608" s="9" t="inlineStr">
        <is>
          <t>Medium</t>
        </is>
      </c>
      <c r="G608" s="3" t="inlineStr">
        <is>
          <t>Interval DP len outer i j inner</t>
        </is>
      </c>
      <c r="H608" s="2" t="n">
        <v>60</v>
      </c>
      <c r="I608" s="2" t="n">
        <v>55</v>
      </c>
      <c r="J608" s="5" t="inlineStr">
        <is>
          <t>https://www.codechef.com/problems/MATRIXMULT</t>
        </is>
      </c>
      <c r="K608" s="3" t="inlineStr"/>
      <c r="L608" s="2" t="inlineStr">
        <is>
          <t>codechef</t>
        </is>
      </c>
    </row>
    <row r="609" ht="20" customHeight="1">
      <c r="A609" s="6" t="inlineStr">
        <is>
          <t>Unsolved</t>
        </is>
      </c>
      <c r="B609" s="7" t="inlineStr">
        <is>
          <t>KINGDOM 17 — THE KINGDOM OF DYNAMIC PROGRAMMING</t>
        </is>
      </c>
      <c r="C609" s="7" t="inlineStr">
        <is>
          <t>Pattern 17.4 — Interval DP</t>
        </is>
      </c>
      <c r="D609" s="6" t="inlineStr">
        <is>
          <t>PALINDP</t>
        </is>
      </c>
      <c r="E609" s="7" t="inlineStr">
        <is>
          <t>Burst Balloons Maximum Coins Interval DP</t>
        </is>
      </c>
      <c r="F609" s="10" t="inlineStr">
        <is>
          <t>Hard</t>
        </is>
      </c>
      <c r="G609" s="7" t="inlineStr">
        <is>
          <t>Interval DP last burst balloon k</t>
        </is>
      </c>
      <c r="H609" s="6" t="n">
        <v>120</v>
      </c>
      <c r="I609" s="6" t="n">
        <v>120</v>
      </c>
      <c r="J609" s="8" t="inlineStr">
        <is>
          <t>https://www.codechef.com/problems/PALINDP</t>
        </is>
      </c>
      <c r="K609" s="7" t="inlineStr"/>
      <c r="L609" s="6" t="inlineStr">
        <is>
          <t>codechef</t>
        </is>
      </c>
    </row>
    <row r="610" ht="20" customHeight="1">
      <c r="A610" s="2" t="inlineStr">
        <is>
          <t>Unsolved</t>
        </is>
      </c>
      <c r="B610" s="3" t="inlineStr">
        <is>
          <t>KINGDOM 17 — THE KINGDOM OF DYNAMIC PROGRAMMING</t>
        </is>
      </c>
      <c r="C610" s="3" t="inlineStr">
        <is>
          <t>Pattern 17.4 — Interval DP</t>
        </is>
      </c>
      <c r="D610" s="2" t="inlineStr">
        <is>
          <t>INDP101</t>
        </is>
      </c>
      <c r="E610" s="3" t="inlineStr">
        <is>
          <t>Minimum Cost Tree From Leaf Values Interval DP</t>
        </is>
      </c>
      <c r="F610" s="10" t="inlineStr">
        <is>
          <t>Medium-Hard</t>
        </is>
      </c>
      <c r="G610" s="3" t="inlineStr">
        <is>
          <t>Interval DP max product split</t>
        </is>
      </c>
      <c r="H610" s="2" t="n">
        <v>90</v>
      </c>
      <c r="I610" s="2" t="n">
        <v>80</v>
      </c>
      <c r="J610" s="5" t="inlineStr">
        <is>
          <t>https://www.codechef.com/problems/INDP101</t>
        </is>
      </c>
      <c r="K610" s="3" t="inlineStr"/>
      <c r="L610" s="2" t="inlineStr">
        <is>
          <t>codechef</t>
        </is>
      </c>
    </row>
    <row r="611" ht="20" customHeight="1">
      <c r="A611" s="6" t="inlineStr">
        <is>
          <t>Unsolved</t>
        </is>
      </c>
      <c r="B611" s="7" t="inlineStr">
        <is>
          <t>KINGDOM 17 — THE KINGDOM OF DYNAMIC PROGRAMMING</t>
        </is>
      </c>
      <c r="C611" s="7" t="inlineStr">
        <is>
          <t>Pattern 17.4 — Interval DP</t>
        </is>
      </c>
      <c r="D611" s="6" t="inlineStr">
        <is>
          <t>INDP102</t>
        </is>
      </c>
      <c r="E611" s="7" t="inlineStr">
        <is>
          <t>Strange Printer Minimum Turns Interval DP</t>
        </is>
      </c>
      <c r="F611" s="10" t="inlineStr">
        <is>
          <t>Hard</t>
        </is>
      </c>
      <c r="G611" s="7" t="inlineStr">
        <is>
          <t>Interval DP char match collapse</t>
        </is>
      </c>
      <c r="H611" s="6" t="n">
        <v>120</v>
      </c>
      <c r="I611" s="6" t="n">
        <v>120</v>
      </c>
      <c r="J611" s="8" t="inlineStr">
        <is>
          <t>https://www.codechef.com/problems/INDP102</t>
        </is>
      </c>
      <c r="K611" s="7" t="inlineStr"/>
      <c r="L611" s="6" t="inlineStr">
        <is>
          <t>codechef</t>
        </is>
      </c>
    </row>
    <row r="612" ht="20" customHeight="1">
      <c r="A612" s="2" t="inlineStr">
        <is>
          <t>Unsolved</t>
        </is>
      </c>
      <c r="B612" s="3" t="inlineStr">
        <is>
          <t>KINGDOM 17 — THE KINGDOM OF DYNAMIC PROGRAMMING</t>
        </is>
      </c>
      <c r="C612" s="3" t="inlineStr">
        <is>
          <t>Pattern 17.4 — Interval DP</t>
        </is>
      </c>
      <c r="D612" s="2" t="inlineStr">
        <is>
          <t>INDP103</t>
        </is>
      </c>
      <c r="E612" s="3" t="inlineStr">
        <is>
          <t>Remove Boxes Maximum Score Interval DP</t>
        </is>
      </c>
      <c r="F612" s="10" t="inlineStr">
        <is>
          <t>Hard</t>
        </is>
      </c>
      <c r="G612" s="3" t="inlineStr">
        <is>
          <t>3D Interval DP len i j k same color count</t>
        </is>
      </c>
      <c r="H612" s="2" t="n">
        <v>120</v>
      </c>
      <c r="I612" s="2" t="n">
        <v>120</v>
      </c>
      <c r="J612" s="5" t="inlineStr">
        <is>
          <t>https://www.codechef.com/problems/INDP103</t>
        </is>
      </c>
      <c r="K612" s="3" t="inlineStr"/>
      <c r="L612" s="2" t="inlineStr">
        <is>
          <t>codechef</t>
        </is>
      </c>
    </row>
    <row r="613" ht="20" customHeight="1">
      <c r="A613" s="6" t="inlineStr">
        <is>
          <t>Unsolved</t>
        </is>
      </c>
      <c r="B613" s="7" t="inlineStr">
        <is>
          <t>KINGDOM 17 — THE KINGDOM OF DYNAMIC PROGRAMMING</t>
        </is>
      </c>
      <c r="C613" s="7" t="inlineStr">
        <is>
          <t>Pattern 17.4 — Interval DP</t>
        </is>
      </c>
      <c r="D613" s="6" t="inlineStr">
        <is>
          <t>INDP104</t>
        </is>
      </c>
      <c r="E613" s="7" t="inlineStr">
        <is>
          <t>Predict the Winner Game Theory Interval DP</t>
        </is>
      </c>
      <c r="F613" s="9" t="inlineStr">
        <is>
          <t>Medium</t>
        </is>
      </c>
      <c r="G613" s="7" t="inlineStr">
        <is>
          <t>Interval DP minimax score diff</t>
        </is>
      </c>
      <c r="H613" s="6" t="n">
        <v>60</v>
      </c>
      <c r="I613" s="6" t="n">
        <v>55</v>
      </c>
      <c r="J613" s="8" t="inlineStr">
        <is>
          <t>https://www.codechef.com/problems/INDP104</t>
        </is>
      </c>
      <c r="K613" s="7" t="inlineStr"/>
      <c r="L613" s="6" t="inlineStr">
        <is>
          <t>codechef</t>
        </is>
      </c>
    </row>
    <row r="614" ht="20" customHeight="1">
      <c r="A614" s="2" t="inlineStr">
        <is>
          <t>Unsolved</t>
        </is>
      </c>
      <c r="B614" s="3" t="inlineStr">
        <is>
          <t>KINGDOM 17 — THE KINGDOM OF DYNAMIC PROGRAMMING</t>
        </is>
      </c>
      <c r="C614" s="3" t="inlineStr">
        <is>
          <t>Pattern 17.5 — Digit DP</t>
        </is>
      </c>
      <c r="D614" s="2" t="inlineStr">
        <is>
          <t>DIGITDP1</t>
        </is>
      </c>
      <c r="E614" s="3" t="inlineStr">
        <is>
          <t>Count Numbers With Digit Constraint Digit DP</t>
        </is>
      </c>
      <c r="F614" s="10" t="inlineStr">
        <is>
          <t>Hard</t>
        </is>
      </c>
      <c r="G614" s="3" t="inlineStr">
        <is>
          <t>Digit DP idx tight leads zero memo</t>
        </is>
      </c>
      <c r="H614" s="2" t="n">
        <v>120</v>
      </c>
      <c r="I614" s="2" t="n">
        <v>120</v>
      </c>
      <c r="J614" s="5" t="inlineStr">
        <is>
          <t>https://www.codechef.com/problems/DIGITDP1</t>
        </is>
      </c>
      <c r="K614" s="3" t="inlineStr"/>
      <c r="L614" s="2" t="inlineStr">
        <is>
          <t>codechef</t>
        </is>
      </c>
    </row>
    <row r="615" ht="20" customHeight="1">
      <c r="A615" s="6" t="inlineStr">
        <is>
          <t>Unsolved</t>
        </is>
      </c>
      <c r="B615" s="7" t="inlineStr">
        <is>
          <t>KINGDOM 17 — THE KINGDOM OF DYNAMIC PROGRAMMING</t>
        </is>
      </c>
      <c r="C615" s="7" t="inlineStr">
        <is>
          <t>Pattern 17.5 — Digit DP</t>
        </is>
      </c>
      <c r="D615" s="6" t="inlineStr">
        <is>
          <t>COUNTDIGIT</t>
        </is>
      </c>
      <c r="E615" s="7" t="inlineStr">
        <is>
          <t>Number of Digit One Count Digit DP</t>
        </is>
      </c>
      <c r="F615" s="10" t="inlineStr">
        <is>
          <t>Hard</t>
        </is>
      </c>
      <c r="G615" s="7" t="inlineStr">
        <is>
          <t>Digit DP count digit occurrence</t>
        </is>
      </c>
      <c r="H615" s="6" t="n">
        <v>120</v>
      </c>
      <c r="I615" s="6" t="n">
        <v>120</v>
      </c>
      <c r="J615" s="8" t="inlineStr">
        <is>
          <t>https://www.codechef.com/problems/COUNTDIGIT</t>
        </is>
      </c>
      <c r="K615" s="7" t="inlineStr"/>
      <c r="L615" s="6" t="inlineStr">
        <is>
          <t>codechef</t>
        </is>
      </c>
    </row>
    <row r="616" ht="20" customHeight="1">
      <c r="A616" s="2" t="inlineStr">
        <is>
          <t>Unsolved</t>
        </is>
      </c>
      <c r="B616" s="3" t="inlineStr">
        <is>
          <t>KINGDOM 17 — THE KINGDOM OF DYNAMIC PROGRAMMING</t>
        </is>
      </c>
      <c r="C616" s="3" t="inlineStr">
        <is>
          <t>Pattern 17.5 — Digit DP</t>
        </is>
      </c>
      <c r="D616" s="2" t="inlineStr">
        <is>
          <t>DIG101</t>
        </is>
      </c>
      <c r="E616" s="3" t="inlineStr">
        <is>
          <t>Non-negative Integers without Consecutive Ones</t>
        </is>
      </c>
      <c r="F616" s="10" t="inlineStr">
        <is>
          <t>Hard</t>
        </is>
      </c>
      <c r="G616" s="3" t="inlineStr">
        <is>
          <t>Digit DP binary string tight flag</t>
        </is>
      </c>
      <c r="H616" s="2" t="n">
        <v>120</v>
      </c>
      <c r="I616" s="2" t="n">
        <v>120</v>
      </c>
      <c r="J616" s="5" t="inlineStr">
        <is>
          <t>https://www.codechef.com/problems/DIG101</t>
        </is>
      </c>
      <c r="K616" s="3" t="inlineStr"/>
      <c r="L616" s="2" t="inlineStr">
        <is>
          <t>codechef</t>
        </is>
      </c>
    </row>
    <row r="617" ht="20" customHeight="1">
      <c r="A617" s="6" t="inlineStr">
        <is>
          <t>Unsolved</t>
        </is>
      </c>
      <c r="B617" s="7" t="inlineStr">
        <is>
          <t>KINGDOM 17 — THE KINGDOM OF DYNAMIC PROGRAMMING</t>
        </is>
      </c>
      <c r="C617" s="7" t="inlineStr">
        <is>
          <t>Pattern 17.5 — Digit DP</t>
        </is>
      </c>
      <c r="D617" s="6" t="inlineStr">
        <is>
          <t>DIG102</t>
        </is>
      </c>
      <c r="E617" s="7" t="inlineStr">
        <is>
          <t>Numbers With Repeated Digits Count Digit DP</t>
        </is>
      </c>
      <c r="F617" s="10" t="inlineStr">
        <is>
          <t>Hard</t>
        </is>
      </c>
      <c r="G617" s="7" t="inlineStr">
        <is>
          <t>Digit DP bitmask mask used digits</t>
        </is>
      </c>
      <c r="H617" s="6" t="n">
        <v>120</v>
      </c>
      <c r="I617" s="6" t="n">
        <v>120</v>
      </c>
      <c r="J617" s="8" t="inlineStr">
        <is>
          <t>https://www.codechef.com/problems/DIG102</t>
        </is>
      </c>
      <c r="K617" s="7" t="inlineStr"/>
      <c r="L617" s="6" t="inlineStr">
        <is>
          <t>codechef</t>
        </is>
      </c>
    </row>
    <row r="618" ht="20" customHeight="1">
      <c r="A618" s="2" t="inlineStr">
        <is>
          <t>Unsolved</t>
        </is>
      </c>
      <c r="B618" s="3" t="inlineStr">
        <is>
          <t>KINGDOM 17 — THE KINGDOM OF DYNAMIC PROGRAMMING</t>
        </is>
      </c>
      <c r="C618" s="3" t="inlineStr">
        <is>
          <t>Pattern 17.5 — Digit DP</t>
        </is>
      </c>
      <c r="D618" s="2" t="inlineStr">
        <is>
          <t>DIG103</t>
        </is>
      </c>
      <c r="E618" s="3" t="inlineStr">
        <is>
          <t>Rotatable Digits Count Range Digit DP</t>
        </is>
      </c>
      <c r="F618" s="10" t="inlineStr">
        <is>
          <t>Medium-Hard</t>
        </is>
      </c>
      <c r="G618" s="3" t="inlineStr">
        <is>
          <t>Digit DP digit mapping valid check</t>
        </is>
      </c>
      <c r="H618" s="2" t="n">
        <v>90</v>
      </c>
      <c r="I618" s="2" t="n">
        <v>80</v>
      </c>
      <c r="J618" s="5" t="inlineStr">
        <is>
          <t>https://www.codechef.com/problems/DIG103</t>
        </is>
      </c>
      <c r="K618" s="3" t="inlineStr"/>
      <c r="L618" s="2" t="inlineStr">
        <is>
          <t>codechef</t>
        </is>
      </c>
    </row>
    <row r="619" ht="20" customHeight="1">
      <c r="A619" s="6" t="inlineStr">
        <is>
          <t>Unsolved</t>
        </is>
      </c>
      <c r="B619" s="7" t="inlineStr">
        <is>
          <t>KINGDOM 17 — THE KINGDOM OF DYNAMIC PROGRAMMING</t>
        </is>
      </c>
      <c r="C619" s="7" t="inlineStr">
        <is>
          <t>Pattern 17.5 — Digit DP</t>
        </is>
      </c>
      <c r="D619" s="6" t="inlineStr">
        <is>
          <t>DIG104</t>
        </is>
      </c>
      <c r="E619" s="7" t="inlineStr">
        <is>
          <t>Sum of Digits in Range L to R Digit DP</t>
        </is>
      </c>
      <c r="F619" s="10" t="inlineStr">
        <is>
          <t>Hard</t>
        </is>
      </c>
      <c r="G619" s="7" t="inlineStr">
        <is>
          <t>Digit DP sum accumulator tight</t>
        </is>
      </c>
      <c r="H619" s="6" t="n">
        <v>120</v>
      </c>
      <c r="I619" s="6" t="n">
        <v>120</v>
      </c>
      <c r="J619" s="8" t="inlineStr">
        <is>
          <t>https://www.codechef.com/problems/DIG104</t>
        </is>
      </c>
      <c r="K619" s="7" t="inlineStr"/>
      <c r="L619" s="6" t="inlineStr">
        <is>
          <t>codechef</t>
        </is>
      </c>
    </row>
    <row r="620" ht="20" customHeight="1">
      <c r="A620" s="2" t="inlineStr">
        <is>
          <t>Unsolved</t>
        </is>
      </c>
      <c r="B620" s="3" t="inlineStr">
        <is>
          <t>KINGDOM 17 — THE KINGDOM OF DYNAMIC PROGRAMMING</t>
        </is>
      </c>
      <c r="C620" s="3" t="inlineStr">
        <is>
          <t>Pattern 17.5 — Digit DP</t>
        </is>
      </c>
      <c r="D620" s="2" t="inlineStr">
        <is>
          <t>DIG105</t>
        </is>
      </c>
      <c r="E620" s="3" t="inlineStr">
        <is>
          <t>Numbers Divisible by K Digit DP</t>
        </is>
      </c>
      <c r="F620" s="10" t="inlineStr">
        <is>
          <t>Hard</t>
        </is>
      </c>
      <c r="G620" s="3" t="inlineStr">
        <is>
          <t>Digit DP remainder modulo k state</t>
        </is>
      </c>
      <c r="H620" s="2" t="n">
        <v>120</v>
      </c>
      <c r="I620" s="2" t="n">
        <v>120</v>
      </c>
      <c r="J620" s="5" t="inlineStr">
        <is>
          <t>https://www.codechef.com/problems/DIG105</t>
        </is>
      </c>
      <c r="K620" s="3" t="inlineStr"/>
      <c r="L620" s="2" t="inlineStr">
        <is>
          <t>codechef</t>
        </is>
      </c>
    </row>
    <row r="621" ht="20" customHeight="1">
      <c r="A621" s="6" t="inlineStr">
        <is>
          <t>Unsolved</t>
        </is>
      </c>
      <c r="B621" s="7" t="inlineStr">
        <is>
          <t>KINGDOM 17 — THE KINGDOM OF DYNAMIC PROGRAMMING</t>
        </is>
      </c>
      <c r="C621" s="7" t="inlineStr">
        <is>
          <t>Pattern 17.6 — Bitmask DP</t>
        </is>
      </c>
      <c r="D621" s="6" t="inlineStr">
        <is>
          <t>BITMASKDP</t>
        </is>
      </c>
      <c r="E621" s="7" t="inlineStr">
        <is>
          <t>Traveling Salesman Problem TSP Bitmask DP</t>
        </is>
      </c>
      <c r="F621" s="10" t="inlineStr">
        <is>
          <t>Hard</t>
        </is>
      </c>
      <c r="G621" s="7" t="inlineStr">
        <is>
          <t>Bitmask DP state (mask, pos) O(2^N * N^2)</t>
        </is>
      </c>
      <c r="H621" s="6" t="n">
        <v>120</v>
      </c>
      <c r="I621" s="6" t="n">
        <v>120</v>
      </c>
      <c r="J621" s="8" t="inlineStr">
        <is>
          <t>https://www.codechef.com/problems/BITMASKDP</t>
        </is>
      </c>
      <c r="K621" s="7" t="inlineStr"/>
      <c r="L621" s="6" t="inlineStr">
        <is>
          <t>codechef</t>
        </is>
      </c>
    </row>
    <row r="622" ht="20" customHeight="1">
      <c r="A622" s="2" t="inlineStr">
        <is>
          <t>Unsolved</t>
        </is>
      </c>
      <c r="B622" s="3" t="inlineStr">
        <is>
          <t>KINGDOM 17 — THE KINGDOM OF DYNAMIC PROGRAMMING</t>
        </is>
      </c>
      <c r="C622" s="3" t="inlineStr">
        <is>
          <t>Pattern 17.6 — Bitmask DP</t>
        </is>
      </c>
      <c r="D622" s="2" t="inlineStr">
        <is>
          <t>ASSIGN1</t>
        </is>
      </c>
      <c r="E622" s="3" t="inlineStr">
        <is>
          <t>Job Assignment Problem Minimum Cost Bitmask DP</t>
        </is>
      </c>
      <c r="F622" s="10" t="inlineStr">
        <is>
          <t>Medium-Hard</t>
        </is>
      </c>
      <c r="G622" s="3" t="inlineStr">
        <is>
          <t>Bitmask DP (mask) min cost assignment</t>
        </is>
      </c>
      <c r="H622" s="2" t="n">
        <v>90</v>
      </c>
      <c r="I622" s="2" t="n">
        <v>80</v>
      </c>
      <c r="J622" s="5" t="inlineStr">
        <is>
          <t>https://www.codechef.com/problems/ASSIGN1</t>
        </is>
      </c>
      <c r="K622" s="3" t="inlineStr"/>
      <c r="L622" s="2" t="inlineStr">
        <is>
          <t>codechef</t>
        </is>
      </c>
    </row>
    <row r="623" ht="20" customHeight="1">
      <c r="A623" s="6" t="inlineStr">
        <is>
          <t>Unsolved</t>
        </is>
      </c>
      <c r="B623" s="7" t="inlineStr">
        <is>
          <t>KINGDOM 17 — THE KINGDOM OF DYNAMIC PROGRAMMING</t>
        </is>
      </c>
      <c r="C623" s="7" t="inlineStr">
        <is>
          <t>Pattern 17.6 — Bitmask DP</t>
        </is>
      </c>
      <c r="D623" s="6" t="inlineStr">
        <is>
          <t>TSP1</t>
        </is>
      </c>
      <c r="E623" s="7" t="inlineStr">
        <is>
          <t>Shortest Path Visiting All Nodes Bitmask DP</t>
        </is>
      </c>
      <c r="F623" s="10" t="inlineStr">
        <is>
          <t>Hard</t>
        </is>
      </c>
      <c r="G623" s="7" t="inlineStr">
        <is>
          <t>Bitmask BFS/DP state (mask, node)</t>
        </is>
      </c>
      <c r="H623" s="6" t="n">
        <v>120</v>
      </c>
      <c r="I623" s="6" t="n">
        <v>120</v>
      </c>
      <c r="J623" s="8" t="inlineStr">
        <is>
          <t>https://www.codechef.com/problems/TSP1</t>
        </is>
      </c>
      <c r="K623" s="7" t="inlineStr"/>
      <c r="L623" s="6" t="inlineStr">
        <is>
          <t>codechef</t>
        </is>
      </c>
    </row>
    <row r="624" ht="20" customHeight="1">
      <c r="A624" s="2" t="inlineStr">
        <is>
          <t>Unsolved</t>
        </is>
      </c>
      <c r="B624" s="3" t="inlineStr">
        <is>
          <t>KINGDOM 17 — THE KINGDOM OF DYNAMIC PROGRAMMING</t>
        </is>
      </c>
      <c r="C624" s="3" t="inlineStr">
        <is>
          <t>Pattern 17.6 — Bitmask DP</t>
        </is>
      </c>
      <c r="D624" s="2" t="inlineStr">
        <is>
          <t>BMDP101</t>
        </is>
      </c>
      <c r="E624" s="3" t="inlineStr">
        <is>
          <t>Partition to K Equal Sum Subsets Bitmask DP</t>
        </is>
      </c>
      <c r="F624" s="10" t="inlineStr">
        <is>
          <t>Medium-Hard</t>
        </is>
      </c>
      <c r="G624" s="3" t="inlineStr">
        <is>
          <t>Bitmask DP (mask, current_sum)</t>
        </is>
      </c>
      <c r="H624" s="2" t="n">
        <v>90</v>
      </c>
      <c r="I624" s="2" t="n">
        <v>80</v>
      </c>
      <c r="J624" s="5" t="inlineStr">
        <is>
          <t>https://www.codechef.com/problems/BMDP101</t>
        </is>
      </c>
      <c r="K624" s="3" t="inlineStr"/>
      <c r="L624" s="2" t="inlineStr">
        <is>
          <t>codechef</t>
        </is>
      </c>
    </row>
    <row r="625" ht="20" customHeight="1">
      <c r="A625" s="6" t="inlineStr">
        <is>
          <t>Unsolved</t>
        </is>
      </c>
      <c r="B625" s="7" t="inlineStr">
        <is>
          <t>KINGDOM 17 — THE KINGDOM OF DYNAMIC PROGRAMMING</t>
        </is>
      </c>
      <c r="C625" s="7" t="inlineStr">
        <is>
          <t>Pattern 17.6 — Bitmask DP</t>
        </is>
      </c>
      <c r="D625" s="6" t="inlineStr">
        <is>
          <t>BMDP102</t>
        </is>
      </c>
      <c r="E625" s="7" t="inlineStr">
        <is>
          <t>Smallest Sufficient Team Skill Bitmask DP</t>
        </is>
      </c>
      <c r="F625" s="10" t="inlineStr">
        <is>
          <t>Hard</t>
        </is>
      </c>
      <c r="G625" s="7" t="inlineStr">
        <is>
          <t>Bitmask DP minimum team size</t>
        </is>
      </c>
      <c r="H625" s="6" t="n">
        <v>120</v>
      </c>
      <c r="I625" s="6" t="n">
        <v>120</v>
      </c>
      <c r="J625" s="8" t="inlineStr">
        <is>
          <t>https://www.codechef.com/problems/BMDP102</t>
        </is>
      </c>
      <c r="K625" s="7" t="inlineStr"/>
      <c r="L625" s="6" t="inlineStr">
        <is>
          <t>codechef</t>
        </is>
      </c>
    </row>
    <row r="626" ht="20" customHeight="1">
      <c r="A626" s="2" t="inlineStr">
        <is>
          <t>Unsolved</t>
        </is>
      </c>
      <c r="B626" s="3" t="inlineStr">
        <is>
          <t>KINGDOM 17 — THE KINGDOM OF DYNAMIC PROGRAMMING</t>
        </is>
      </c>
      <c r="C626" s="3" t="inlineStr">
        <is>
          <t>Pattern 17.6 — Bitmask DP</t>
        </is>
      </c>
      <c r="D626" s="2" t="inlineStr">
        <is>
          <t>BMDP103</t>
        </is>
      </c>
      <c r="E626" s="3" t="inlineStr">
        <is>
          <t>Matchsticks to Square Perimeter Bitmask DP</t>
        </is>
      </c>
      <c r="F626" s="9" t="inlineStr">
        <is>
          <t>Medium</t>
        </is>
      </c>
      <c r="G626" s="3" t="inlineStr">
        <is>
          <t>Bitmask DP side length match</t>
        </is>
      </c>
      <c r="H626" s="2" t="n">
        <v>60</v>
      </c>
      <c r="I626" s="2" t="n">
        <v>55</v>
      </c>
      <c r="J626" s="5" t="inlineStr">
        <is>
          <t>https://www.codechef.com/problems/BMDP103</t>
        </is>
      </c>
      <c r="K626" s="3" t="inlineStr"/>
      <c r="L626" s="2" t="inlineStr">
        <is>
          <t>codechef</t>
        </is>
      </c>
    </row>
    <row r="627" ht="20" customHeight="1">
      <c r="A627" s="6" t="inlineStr">
        <is>
          <t>Unsolved</t>
        </is>
      </c>
      <c r="B627" s="7" t="inlineStr">
        <is>
          <t>KINGDOM 17 — THE KINGDOM OF DYNAMIC PROGRAMMING</t>
        </is>
      </c>
      <c r="C627" s="7" t="inlineStr">
        <is>
          <t>Pattern 17.6 — Bitmask DP</t>
        </is>
      </c>
      <c r="D627" s="6" t="inlineStr">
        <is>
          <t>BMDP104</t>
        </is>
      </c>
      <c r="E627" s="7" t="inlineStr">
        <is>
          <t>Maximum Students Taking Exam Bitmask DP</t>
        </is>
      </c>
      <c r="F627" s="10" t="inlineStr">
        <is>
          <t>Hard</t>
        </is>
      </c>
      <c r="G627" s="7" t="inlineStr">
        <is>
          <t>Bitmask DP row mask valid seating</t>
        </is>
      </c>
      <c r="H627" s="6" t="n">
        <v>120</v>
      </c>
      <c r="I627" s="6" t="n">
        <v>120</v>
      </c>
      <c r="J627" s="8" t="inlineStr">
        <is>
          <t>https://www.codechef.com/problems/BMDP104</t>
        </is>
      </c>
      <c r="K627" s="7" t="inlineStr"/>
      <c r="L627" s="6" t="inlineStr">
        <is>
          <t>codechef</t>
        </is>
      </c>
    </row>
    <row r="628" ht="20" customHeight="1">
      <c r="A628" s="2" t="inlineStr">
        <is>
          <t>Unsolved</t>
        </is>
      </c>
      <c r="B628" s="3" t="inlineStr">
        <is>
          <t>KINGDOM 17 — THE KINGDOM OF DYNAMIC PROGRAMMING</t>
        </is>
      </c>
      <c r="C628" s="3" t="inlineStr">
        <is>
          <t>Pattern 17.8 — DP on DAG</t>
        </is>
      </c>
      <c r="D628" s="2" t="inlineStr">
        <is>
          <t>DAGDP1</t>
        </is>
      </c>
      <c r="E628" s="3" t="inlineStr">
        <is>
          <t>Longest Path in Directed Acyclic Graph DAG DP</t>
        </is>
      </c>
      <c r="F628" s="9" t="inlineStr">
        <is>
          <t>Medium</t>
        </is>
      </c>
      <c r="G628" s="3" t="inlineStr">
        <is>
          <t>DAG DP topological order / DFS memo</t>
        </is>
      </c>
      <c r="H628" s="2" t="n">
        <v>60</v>
      </c>
      <c r="I628" s="2" t="n">
        <v>55</v>
      </c>
      <c r="J628" s="5" t="inlineStr">
        <is>
          <t>https://www.codechef.com/problems/DAGDP1</t>
        </is>
      </c>
      <c r="K628" s="3" t="inlineStr"/>
      <c r="L628" s="2" t="inlineStr">
        <is>
          <t>codechef</t>
        </is>
      </c>
    </row>
    <row r="629" ht="20" customHeight="1">
      <c r="A629" s="6" t="inlineStr">
        <is>
          <t>Unsolved</t>
        </is>
      </c>
      <c r="B629" s="7" t="inlineStr">
        <is>
          <t>KINGDOM 17 — THE KINGDOM OF DYNAMIC PROGRAMMING</t>
        </is>
      </c>
      <c r="C629" s="7" t="inlineStr">
        <is>
          <t>Pattern 17.8 — DP on DAG</t>
        </is>
      </c>
      <c r="D629" s="6" t="inlineStr">
        <is>
          <t>LONGESTPATH</t>
        </is>
      </c>
      <c r="E629" s="7" t="inlineStr">
        <is>
          <t>All Ancestors of a Node in DAG DP</t>
        </is>
      </c>
      <c r="F629" s="9" t="inlineStr">
        <is>
          <t>Medium</t>
        </is>
      </c>
      <c r="G629" s="7" t="inlineStr">
        <is>
          <t>DAG DP reachability memo</t>
        </is>
      </c>
      <c r="H629" s="6" t="n">
        <v>60</v>
      </c>
      <c r="I629" s="6" t="n">
        <v>55</v>
      </c>
      <c r="J629" s="8" t="inlineStr">
        <is>
          <t>https://www.codechef.com/problems/LONGESTPATH</t>
        </is>
      </c>
      <c r="K629" s="7" t="inlineStr"/>
      <c r="L629" s="6" t="inlineStr">
        <is>
          <t>codechef</t>
        </is>
      </c>
    </row>
    <row r="630" ht="20" customHeight="1">
      <c r="A630" s="2" t="inlineStr">
        <is>
          <t>Unsolved</t>
        </is>
      </c>
      <c r="B630" s="3" t="inlineStr">
        <is>
          <t>KINGDOM 17 — THE KINGDOM OF DYNAMIC PROGRAMMING</t>
        </is>
      </c>
      <c r="C630" s="3" t="inlineStr">
        <is>
          <t>Pattern 17.8 — DP on DAG</t>
        </is>
      </c>
      <c r="D630" s="2" t="inlineStr">
        <is>
          <t>DAG101</t>
        </is>
      </c>
      <c r="E630" s="3" t="inlineStr">
        <is>
          <t>Number of Increasing Paths in Grid DAG DP</t>
        </is>
      </c>
      <c r="F630" s="10" t="inlineStr">
        <is>
          <t>Hard</t>
        </is>
      </c>
      <c r="G630" s="3" t="inlineStr">
        <is>
          <t>DAG DP memoization grid 4-dir</t>
        </is>
      </c>
      <c r="H630" s="2" t="n">
        <v>120</v>
      </c>
      <c r="I630" s="2" t="n">
        <v>120</v>
      </c>
      <c r="J630" s="5" t="inlineStr">
        <is>
          <t>https://www.codechef.com/problems/DAG101</t>
        </is>
      </c>
      <c r="K630" s="3" t="inlineStr"/>
      <c r="L630" s="2" t="inlineStr">
        <is>
          <t>codechef</t>
        </is>
      </c>
    </row>
    <row r="631" ht="20" customHeight="1">
      <c r="A631" s="6" t="inlineStr">
        <is>
          <t>Unsolved</t>
        </is>
      </c>
      <c r="B631" s="7" t="inlineStr">
        <is>
          <t>KINGDOM 17 — THE KINGDOM OF DYNAMIC PROGRAMMING</t>
        </is>
      </c>
      <c r="C631" s="7" t="inlineStr">
        <is>
          <t>Pattern 17.8 — DP on DAG</t>
        </is>
      </c>
      <c r="D631" s="6" t="inlineStr">
        <is>
          <t>DAG102</t>
        </is>
      </c>
      <c r="E631" s="7" t="inlineStr">
        <is>
          <t>Minimum Number of Days to Disconnect Island DAG</t>
        </is>
      </c>
      <c r="F631" s="10" t="inlineStr">
        <is>
          <t>Hard</t>
        </is>
      </c>
      <c r="G631" s="7" t="inlineStr">
        <is>
          <t>DAG DP articulation points</t>
        </is>
      </c>
      <c r="H631" s="6" t="n">
        <v>120</v>
      </c>
      <c r="I631" s="6" t="n">
        <v>120</v>
      </c>
      <c r="J631" s="8" t="inlineStr">
        <is>
          <t>https://www.codechef.com/problems/DAG102</t>
        </is>
      </c>
      <c r="K631" s="7" t="inlineStr"/>
      <c r="L631" s="6" t="inlineStr">
        <is>
          <t>codechef</t>
        </is>
      </c>
    </row>
    <row r="632" ht="20" customHeight="1">
      <c r="A632" s="2" t="inlineStr">
        <is>
          <t>Unsolved</t>
        </is>
      </c>
      <c r="B632" s="3" t="inlineStr">
        <is>
          <t>KINGDOM 17 — THE KINGDOM OF DYNAMIC PROGRAMMING</t>
        </is>
      </c>
      <c r="C632" s="3" t="inlineStr">
        <is>
          <t>Pattern 17.8 — DP on DAG</t>
        </is>
      </c>
      <c r="D632" s="2" t="inlineStr">
        <is>
          <t>DAG103</t>
        </is>
      </c>
      <c r="E632" s="3" t="inlineStr">
        <is>
          <t>Count Paths With Target Sum in DAG DP</t>
        </is>
      </c>
      <c r="F632" s="10" t="inlineStr">
        <is>
          <t>Medium-Hard</t>
        </is>
      </c>
      <c r="G632" s="3" t="inlineStr">
        <is>
          <t>DAG DP path count memoization</t>
        </is>
      </c>
      <c r="H632" s="2" t="n">
        <v>90</v>
      </c>
      <c r="I632" s="2" t="n">
        <v>80</v>
      </c>
      <c r="J632" s="5" t="inlineStr">
        <is>
          <t>https://www.codechef.com/problems/DAG103</t>
        </is>
      </c>
      <c r="K632" s="3" t="inlineStr"/>
      <c r="L632" s="2" t="inlineStr">
        <is>
          <t>codechef</t>
        </is>
      </c>
    </row>
    <row r="633" ht="20" customHeight="1">
      <c r="A633" s="6" t="inlineStr">
        <is>
          <t>Unsolved</t>
        </is>
      </c>
      <c r="B633" s="7" t="inlineStr">
        <is>
          <t>KINGDOM 17 — THE KINGDOM OF DYNAMIC PROGRAMMING</t>
        </is>
      </c>
      <c r="C633" s="7" t="inlineStr">
        <is>
          <t>Pattern 17.8 — DP on DAG</t>
        </is>
      </c>
      <c r="D633" s="6" t="inlineStr">
        <is>
          <t>DAG104</t>
        </is>
      </c>
      <c r="E633" s="7" t="inlineStr">
        <is>
          <t>Max Weight Independent Path DAG DP</t>
        </is>
      </c>
      <c r="F633" s="10" t="inlineStr">
        <is>
          <t>Hard</t>
        </is>
      </c>
      <c r="G633" s="7" t="inlineStr">
        <is>
          <t>DAG DP topological order relaxation</t>
        </is>
      </c>
      <c r="H633" s="6" t="n">
        <v>120</v>
      </c>
      <c r="I633" s="6" t="n">
        <v>120</v>
      </c>
      <c r="J633" s="8" t="inlineStr">
        <is>
          <t>https://www.codechef.com/problems/DAG104</t>
        </is>
      </c>
      <c r="K633" s="7" t="inlineStr"/>
      <c r="L633" s="6" t="inlineStr">
        <is>
          <t>codechef</t>
        </is>
      </c>
    </row>
    <row r="634" ht="20" customHeight="1">
      <c r="A634" s="2" t="inlineStr">
        <is>
          <t>Unsolved</t>
        </is>
      </c>
      <c r="B634" s="3" t="inlineStr">
        <is>
          <t>KINGDOM 17 — THE KINGDOM OF DYNAMIC PROGRAMMING</t>
        </is>
      </c>
      <c r="C634" s="3" t="inlineStr">
        <is>
          <t>Pattern 17.9 — Probability DP</t>
        </is>
      </c>
      <c r="D634" s="2" t="inlineStr">
        <is>
          <t>PROBDP1</t>
        </is>
      </c>
      <c r="E634" s="3" t="inlineStr">
        <is>
          <t>Knight Probability in Chessboard Probability DP</t>
        </is>
      </c>
      <c r="F634" s="9" t="inlineStr">
        <is>
          <t>Medium</t>
        </is>
      </c>
      <c r="G634" s="3" t="inlineStr">
        <is>
          <t>Probability DP grid move sum / 8</t>
        </is>
      </c>
      <c r="H634" s="2" t="n">
        <v>60</v>
      </c>
      <c r="I634" s="2" t="n">
        <v>55</v>
      </c>
      <c r="J634" s="5" t="inlineStr">
        <is>
          <t>https://www.codechef.com/problems/PROBDP1</t>
        </is>
      </c>
      <c r="K634" s="3" t="inlineStr"/>
      <c r="L634" s="2" t="inlineStr">
        <is>
          <t>codechef</t>
        </is>
      </c>
    </row>
    <row r="635" ht="20" customHeight="1">
      <c r="A635" s="6" t="inlineStr">
        <is>
          <t>Unsolved</t>
        </is>
      </c>
      <c r="B635" s="7" t="inlineStr">
        <is>
          <t>KINGDOM 17 — THE KINGDOM OF DYNAMIC PROGRAMMING</t>
        </is>
      </c>
      <c r="C635" s="7" t="inlineStr">
        <is>
          <t>Pattern 17.9 — Probability DP</t>
        </is>
      </c>
      <c r="D635" s="6" t="inlineStr">
        <is>
          <t>DICE1</t>
        </is>
      </c>
      <c r="E635" s="7" t="inlineStr">
        <is>
          <t>Soup Servings Probability DP</t>
        </is>
      </c>
      <c r="F635" s="10" t="inlineStr">
        <is>
          <t>Medium-Hard</t>
        </is>
      </c>
      <c r="G635" s="7" t="inlineStr">
        <is>
          <t>Probability DP N scale limit memo</t>
        </is>
      </c>
      <c r="H635" s="6" t="n">
        <v>90</v>
      </c>
      <c r="I635" s="6" t="n">
        <v>80</v>
      </c>
      <c r="J635" s="8" t="inlineStr">
        <is>
          <t>https://www.codechef.com/problems/DICE1</t>
        </is>
      </c>
      <c r="K635" s="7" t="inlineStr"/>
      <c r="L635" s="6" t="inlineStr">
        <is>
          <t>codechef</t>
        </is>
      </c>
    </row>
    <row r="636" ht="20" customHeight="1">
      <c r="A636" s="2" t="inlineStr">
        <is>
          <t>Unsolved</t>
        </is>
      </c>
      <c r="B636" s="3" t="inlineStr">
        <is>
          <t>KINGDOM 17 — THE KINGDOM OF DYNAMIC PROGRAMMING</t>
        </is>
      </c>
      <c r="C636" s="3" t="inlineStr">
        <is>
          <t>Pattern 17.9 — Probability DP</t>
        </is>
      </c>
      <c r="D636" s="2" t="inlineStr">
        <is>
          <t>PRBDP101</t>
        </is>
      </c>
      <c r="E636" s="3" t="inlineStr">
        <is>
          <t>New 21 Game Probability DP</t>
        </is>
      </c>
      <c r="F636" s="10" t="inlineStr">
        <is>
          <t>Medium-Hard</t>
        </is>
      </c>
      <c r="G636" s="3" t="inlineStr">
        <is>
          <t>Probability DP sliding window sum</t>
        </is>
      </c>
      <c r="H636" s="2" t="n">
        <v>90</v>
      </c>
      <c r="I636" s="2" t="n">
        <v>80</v>
      </c>
      <c r="J636" s="5" t="inlineStr">
        <is>
          <t>https://www.codechef.com/problems/PRBDP101</t>
        </is>
      </c>
      <c r="K636" s="3" t="inlineStr"/>
      <c r="L636" s="2" t="inlineStr">
        <is>
          <t>codechef</t>
        </is>
      </c>
    </row>
    <row r="637" ht="20" customHeight="1">
      <c r="A637" s="6" t="inlineStr">
        <is>
          <t>Unsolved</t>
        </is>
      </c>
      <c r="B637" s="7" t="inlineStr">
        <is>
          <t>KINGDOM 17 — THE KINGDOM OF DYNAMIC PROGRAMMING</t>
        </is>
      </c>
      <c r="C637" s="7" t="inlineStr">
        <is>
          <t>Pattern 17.9 — Probability DP</t>
        </is>
      </c>
      <c r="D637" s="6" t="inlineStr">
        <is>
          <t>PRBDP102</t>
        </is>
      </c>
      <c r="E637" s="7" t="inlineStr">
        <is>
          <t>Airplane Seat Assignment Probability DP</t>
        </is>
      </c>
      <c r="F637" s="9" t="inlineStr">
        <is>
          <t>Medium</t>
        </is>
      </c>
      <c r="G637" s="7" t="inlineStr">
        <is>
          <t>Probability DP base cases induction</t>
        </is>
      </c>
      <c r="H637" s="6" t="n">
        <v>60</v>
      </c>
      <c r="I637" s="6" t="n">
        <v>55</v>
      </c>
      <c r="J637" s="8" t="inlineStr">
        <is>
          <t>https://www.codechef.com/problems/PRBDP102</t>
        </is>
      </c>
      <c r="K637" s="7" t="inlineStr"/>
      <c r="L637" s="6" t="inlineStr">
        <is>
          <t>codechef</t>
        </is>
      </c>
    </row>
    <row r="638" ht="20" customHeight="1">
      <c r="A638" s="2" t="inlineStr">
        <is>
          <t>Unsolved</t>
        </is>
      </c>
      <c r="B638" s="3" t="inlineStr">
        <is>
          <t>KINGDOM 17 — THE KINGDOM OF DYNAMIC PROGRAMMING</t>
        </is>
      </c>
      <c r="C638" s="3" t="inlineStr">
        <is>
          <t>Pattern 17.9 — Probability DP</t>
        </is>
      </c>
      <c r="D638" s="2" t="inlineStr">
        <is>
          <t>PRBDP103</t>
        </is>
      </c>
      <c r="E638" s="3" t="inlineStr">
        <is>
          <t>Toss Strange Coins Probability DP</t>
        </is>
      </c>
      <c r="F638" s="9" t="inlineStr">
        <is>
          <t>Medium</t>
        </is>
      </c>
      <c r="G638" s="3" t="inlineStr">
        <is>
          <t>Probability DP (i, k) head count</t>
        </is>
      </c>
      <c r="H638" s="2" t="n">
        <v>60</v>
      </c>
      <c r="I638" s="2" t="n">
        <v>55</v>
      </c>
      <c r="J638" s="5" t="inlineStr">
        <is>
          <t>https://www.codechef.com/problems/PRBDP103</t>
        </is>
      </c>
      <c r="K638" s="3" t="inlineStr"/>
      <c r="L638" s="2" t="inlineStr">
        <is>
          <t>codechef</t>
        </is>
      </c>
    </row>
    <row r="639" ht="20" customHeight="1">
      <c r="A639" s="6" t="inlineStr">
        <is>
          <t>Unsolved</t>
        </is>
      </c>
      <c r="B639" s="7" t="inlineStr">
        <is>
          <t>KINGDOM 17 — THE KINGDOM OF DYNAMIC PROGRAMMING</t>
        </is>
      </c>
      <c r="C639" s="7" t="inlineStr">
        <is>
          <t>Pattern 17.9 — Probability DP</t>
        </is>
      </c>
      <c r="D639" s="6" t="inlineStr">
        <is>
          <t>PRBDP104</t>
        </is>
      </c>
      <c r="E639" s="7" t="inlineStr">
        <is>
          <t>Random Pick with Weight Probability DP</t>
        </is>
      </c>
      <c r="F639" s="9" t="inlineStr">
        <is>
          <t>Medium</t>
        </is>
      </c>
      <c r="G639" s="7" t="inlineStr">
        <is>
          <t>Prefix sum binary search probability</t>
        </is>
      </c>
      <c r="H639" s="6" t="n">
        <v>60</v>
      </c>
      <c r="I639" s="6" t="n">
        <v>55</v>
      </c>
      <c r="J639" s="8" t="inlineStr">
        <is>
          <t>https://www.codechef.com/problems/PRBDP104</t>
        </is>
      </c>
      <c r="K639" s="7" t="inlineStr"/>
      <c r="L639" s="6" t="inlineStr">
        <is>
          <t>codechef</t>
        </is>
      </c>
    </row>
    <row r="640" ht="20" customHeight="1">
      <c r="A640" s="2" t="inlineStr">
        <is>
          <t>Unsolved</t>
        </is>
      </c>
      <c r="B640" s="3" t="inlineStr">
        <is>
          <t>KINGDOM 17 — THE KINGDOM OF DYNAMIC PROGRAMMING</t>
        </is>
      </c>
      <c r="C640" s="3" t="inlineStr">
        <is>
          <t>Pattern 17.10 — Prefix/Suffix DP</t>
        </is>
      </c>
      <c r="D640" s="2" t="inlineStr">
        <is>
          <t>PREFIXDP</t>
        </is>
      </c>
      <c r="E640" s="3" t="inlineStr">
        <is>
          <t>Longest Common Subsequence LCS DP</t>
        </is>
      </c>
      <c r="F640" s="9" t="inlineStr">
        <is>
          <t>Medium</t>
        </is>
      </c>
      <c r="G640" s="3" t="inlineStr">
        <is>
          <t>2D DP LCS table i j match mismatch</t>
        </is>
      </c>
      <c r="H640" s="2" t="n">
        <v>60</v>
      </c>
      <c r="I640" s="2" t="n">
        <v>55</v>
      </c>
      <c r="J640" s="5" t="inlineStr">
        <is>
          <t>https://www.codechef.com/problems/PREFIXDP</t>
        </is>
      </c>
      <c r="K640" s="3" t="inlineStr"/>
      <c r="L640" s="2" t="inlineStr">
        <is>
          <t>codechef</t>
        </is>
      </c>
    </row>
    <row r="641" ht="20" customHeight="1">
      <c r="A641" s="6" t="inlineStr">
        <is>
          <t>Unsolved</t>
        </is>
      </c>
      <c r="B641" s="7" t="inlineStr">
        <is>
          <t>KINGDOM 17 — THE KINGDOM OF DYNAMIC PROGRAMMING</t>
        </is>
      </c>
      <c r="C641" s="7" t="inlineStr">
        <is>
          <t>Pattern 17.10 — Prefix/Suffix DP</t>
        </is>
      </c>
      <c r="D641" s="6" t="inlineStr">
        <is>
          <t>SUFFIXDP</t>
        </is>
      </c>
      <c r="E641" s="7" t="inlineStr">
        <is>
          <t>Edit Distance Levenshtein Distance DP</t>
        </is>
      </c>
      <c r="F641" s="10" t="inlineStr">
        <is>
          <t>Medium-Hard</t>
        </is>
      </c>
      <c r="G641" s="7" t="inlineStr">
        <is>
          <t>2D DP Edit distance insert delete replace</t>
        </is>
      </c>
      <c r="H641" s="6" t="n">
        <v>90</v>
      </c>
      <c r="I641" s="6" t="n">
        <v>80</v>
      </c>
      <c r="J641" s="8" t="inlineStr">
        <is>
          <t>https://www.codechef.com/problems/SUFFIXDP</t>
        </is>
      </c>
      <c r="K641" s="7" t="inlineStr"/>
      <c r="L641" s="6" t="inlineStr">
        <is>
          <t>codechef</t>
        </is>
      </c>
    </row>
    <row r="642" ht="20" customHeight="1">
      <c r="A642" s="2" t="inlineStr">
        <is>
          <t>Unsolved</t>
        </is>
      </c>
      <c r="B642" s="3" t="inlineStr">
        <is>
          <t>KINGDOM 17 — THE KINGDOM OF DYNAMIC PROGRAMMING</t>
        </is>
      </c>
      <c r="C642" s="3" t="inlineStr">
        <is>
          <t>Pattern 17.10 — Prefix/Suffix DP</t>
        </is>
      </c>
      <c r="D642" s="2" t="inlineStr">
        <is>
          <t>PSDP101</t>
        </is>
      </c>
      <c r="E642" s="3" t="inlineStr">
        <is>
          <t>Distinct Subsequences String Matching DP</t>
        </is>
      </c>
      <c r="F642" s="10" t="inlineStr">
        <is>
          <t>Hard</t>
        </is>
      </c>
      <c r="G642" s="3" t="inlineStr">
        <is>
          <t>2D DP string match count</t>
        </is>
      </c>
      <c r="H642" s="2" t="n">
        <v>120</v>
      </c>
      <c r="I642" s="2" t="n">
        <v>120</v>
      </c>
      <c r="J642" s="5" t="inlineStr">
        <is>
          <t>https://www.codechef.com/problems/PSDP101</t>
        </is>
      </c>
      <c r="K642" s="3" t="inlineStr"/>
      <c r="L642" s="2" t="inlineStr">
        <is>
          <t>codechef</t>
        </is>
      </c>
    </row>
    <row r="643" ht="20" customHeight="1">
      <c r="A643" s="6" t="inlineStr">
        <is>
          <t>Unsolved</t>
        </is>
      </c>
      <c r="B643" s="7" t="inlineStr">
        <is>
          <t>KINGDOM 17 — THE KINGDOM OF DYNAMIC PROGRAMMING</t>
        </is>
      </c>
      <c r="C643" s="7" t="inlineStr">
        <is>
          <t>Pattern 17.10 — Prefix/Suffix DP</t>
        </is>
      </c>
      <c r="D643" s="6" t="inlineStr">
        <is>
          <t>PSDP102</t>
        </is>
      </c>
      <c r="E643" s="7" t="inlineStr">
        <is>
          <t>Regular Expression Matching Wildcard DP</t>
        </is>
      </c>
      <c r="F643" s="10" t="inlineStr">
        <is>
          <t>Hard</t>
        </is>
      </c>
      <c r="G643" s="7" t="inlineStr">
        <is>
          <t>2D DP char * match state</t>
        </is>
      </c>
      <c r="H643" s="6" t="n">
        <v>120</v>
      </c>
      <c r="I643" s="6" t="n">
        <v>120</v>
      </c>
      <c r="J643" s="8" t="inlineStr">
        <is>
          <t>https://www.codechef.com/problems/PSDP102</t>
        </is>
      </c>
      <c r="K643" s="7" t="inlineStr"/>
      <c r="L643" s="6" t="inlineStr">
        <is>
          <t>codechef</t>
        </is>
      </c>
    </row>
    <row r="644" ht="20" customHeight="1">
      <c r="A644" s="2" t="inlineStr">
        <is>
          <t>Unsolved</t>
        </is>
      </c>
      <c r="B644" s="3" t="inlineStr">
        <is>
          <t>KINGDOM 17 — THE KINGDOM OF DYNAMIC PROGRAMMING</t>
        </is>
      </c>
      <c r="C644" s="3" t="inlineStr">
        <is>
          <t>Pattern 17.10 — Prefix/Suffix DP</t>
        </is>
      </c>
      <c r="D644" s="2" t="inlineStr">
        <is>
          <t>PSDP103</t>
        </is>
      </c>
      <c r="E644" s="3" t="inlineStr">
        <is>
          <t>Wildcard Matching ? and * String DP</t>
        </is>
      </c>
      <c r="F644" s="10" t="inlineStr">
        <is>
          <t>Hard</t>
        </is>
      </c>
      <c r="G644" s="3" t="inlineStr">
        <is>
          <t>2D DP ? * wildcard matching</t>
        </is>
      </c>
      <c r="H644" s="2" t="n">
        <v>120</v>
      </c>
      <c r="I644" s="2" t="n">
        <v>120</v>
      </c>
      <c r="J644" s="5" t="inlineStr">
        <is>
          <t>https://www.codechef.com/problems/PSDP103</t>
        </is>
      </c>
      <c r="K644" s="3" t="inlineStr"/>
      <c r="L644" s="2" t="inlineStr">
        <is>
          <t>codechef</t>
        </is>
      </c>
    </row>
    <row r="645" ht="20" customHeight="1">
      <c r="A645" s="6" t="inlineStr">
        <is>
          <t>Unsolved</t>
        </is>
      </c>
      <c r="B645" s="7" t="inlineStr">
        <is>
          <t>KINGDOM 17 — THE KINGDOM OF DYNAMIC PROGRAMMING</t>
        </is>
      </c>
      <c r="C645" s="7" t="inlineStr">
        <is>
          <t>Pattern 17.10 — Prefix/Suffix DP</t>
        </is>
      </c>
      <c r="D645" s="6" t="inlineStr">
        <is>
          <t>PSDP104</t>
        </is>
      </c>
      <c r="E645" s="7" t="inlineStr">
        <is>
          <t>Interleaving String Mix DP</t>
        </is>
      </c>
      <c r="F645" s="9" t="inlineStr">
        <is>
          <t>Medium</t>
        </is>
      </c>
      <c r="G645" s="7" t="inlineStr">
        <is>
          <t>2D DP boolean s1 s2 s3 match</t>
        </is>
      </c>
      <c r="H645" s="6" t="n">
        <v>60</v>
      </c>
      <c r="I645" s="6" t="n">
        <v>55</v>
      </c>
      <c r="J645" s="8" t="inlineStr">
        <is>
          <t>https://www.codechef.com/problems/PSDP104</t>
        </is>
      </c>
      <c r="K645" s="7" t="inlineStr"/>
      <c r="L645" s="6" t="inlineStr">
        <is>
          <t>codechef</t>
        </is>
      </c>
    </row>
    <row r="646" ht="20" customHeight="1">
      <c r="A646" s="2" t="inlineStr">
        <is>
          <t>Unsolved</t>
        </is>
      </c>
      <c r="B646" s="3" t="inlineStr">
        <is>
          <t>KINGDOM 17 — THE KINGDOM OF DYNAMIC PROGRAMMING</t>
        </is>
      </c>
      <c r="C646" s="3" t="inlineStr">
        <is>
          <t>Pattern 17.12 — Optimization DP</t>
        </is>
      </c>
      <c r="D646" s="2" t="inlineStr">
        <is>
          <t>CHT1</t>
        </is>
      </c>
      <c r="E646" s="3" t="inlineStr">
        <is>
          <t>Convex Hull Trick CHT DP Optimization</t>
        </is>
      </c>
      <c r="F646" s="10" t="inlineStr">
        <is>
          <t>Hard</t>
        </is>
      </c>
      <c r="G646" s="3" t="inlineStr">
        <is>
          <t>Convex Hull Trick line slope insertion deque</t>
        </is>
      </c>
      <c r="H646" s="2" t="n">
        <v>120</v>
      </c>
      <c r="I646" s="2" t="n">
        <v>120</v>
      </c>
      <c r="J646" s="5" t="inlineStr">
        <is>
          <t>https://www.codechef.com/problems/CHT1</t>
        </is>
      </c>
      <c r="K646" s="3" t="inlineStr"/>
      <c r="L646" s="2" t="inlineStr">
        <is>
          <t>codechef</t>
        </is>
      </c>
    </row>
    <row r="647" ht="20" customHeight="1">
      <c r="A647" s="6" t="inlineStr">
        <is>
          <t>Unsolved</t>
        </is>
      </c>
      <c r="B647" s="7" t="inlineStr">
        <is>
          <t>KINGDOM 17 — THE KINGDOM OF DYNAMIC PROGRAMMING</t>
        </is>
      </c>
      <c r="C647" s="7" t="inlineStr">
        <is>
          <t>Pattern 17.12 — Optimization DP</t>
        </is>
      </c>
      <c r="D647" s="6" t="inlineStr">
        <is>
          <t>MONOOPT</t>
        </is>
      </c>
      <c r="E647" s="7" t="inlineStr">
        <is>
          <t>Knuth Optimization DP Matrix Multiplication</t>
        </is>
      </c>
      <c r="F647" s="10" t="inlineStr">
        <is>
          <t>Hard</t>
        </is>
      </c>
      <c r="G647" s="7" t="inlineStr">
        <is>
          <t>Knuth Optimization opt[i][j-1] &lt;= opt[i][j] &lt;= opt[i+1][j]</t>
        </is>
      </c>
      <c r="H647" s="6" t="n">
        <v>120</v>
      </c>
      <c r="I647" s="6" t="n">
        <v>120</v>
      </c>
      <c r="J647" s="8" t="inlineStr">
        <is>
          <t>https://www.codechef.com/problems/MONOOPT</t>
        </is>
      </c>
      <c r="K647" s="7" t="inlineStr"/>
      <c r="L647" s="6" t="inlineStr">
        <is>
          <t>codechef</t>
        </is>
      </c>
    </row>
    <row r="648" ht="20" customHeight="1">
      <c r="A648" s="2" t="inlineStr">
        <is>
          <t>Unsolved</t>
        </is>
      </c>
      <c r="B648" s="3" t="inlineStr">
        <is>
          <t>KINGDOM 17 — THE KINGDOM OF DYNAMIC PROGRAMMING</t>
        </is>
      </c>
      <c r="C648" s="3" t="inlineStr">
        <is>
          <t>Pattern 17.12 — Optimization DP</t>
        </is>
      </c>
      <c r="D648" s="2" t="inlineStr">
        <is>
          <t>OPTDP101</t>
        </is>
      </c>
      <c r="E648" s="3" t="inlineStr">
        <is>
          <t>Divide and Conquer DP Optimization Subarray Split</t>
        </is>
      </c>
      <c r="F648" s="10" t="inlineStr">
        <is>
          <t>Hard</t>
        </is>
      </c>
      <c r="G648" s="3" t="inlineStr">
        <is>
          <t>Divide &amp; Conquer DP opt monotony</t>
        </is>
      </c>
      <c r="H648" s="2" t="n">
        <v>120</v>
      </c>
      <c r="I648" s="2" t="n">
        <v>120</v>
      </c>
      <c r="J648" s="5" t="inlineStr">
        <is>
          <t>https://www.codechef.com/problems/OPTDP101</t>
        </is>
      </c>
      <c r="K648" s="3" t="inlineStr"/>
      <c r="L648" s="2" t="inlineStr">
        <is>
          <t>codechef</t>
        </is>
      </c>
    </row>
    <row r="649" ht="20" customHeight="1">
      <c r="A649" s="6" t="inlineStr">
        <is>
          <t>Unsolved</t>
        </is>
      </c>
      <c r="B649" s="7" t="inlineStr">
        <is>
          <t>KINGDOM 17 — THE KINGDOM OF DYNAMIC PROGRAMMING</t>
        </is>
      </c>
      <c r="C649" s="7" t="inlineStr">
        <is>
          <t>Pattern 17.12 — Optimization DP</t>
        </is>
      </c>
      <c r="D649" s="6" t="inlineStr">
        <is>
          <t>OPTDP102</t>
        </is>
      </c>
      <c r="E649" s="7" t="inlineStr">
        <is>
          <t>1D 1D DP Monotone Queue Optimization</t>
        </is>
      </c>
      <c r="F649" s="10" t="inlineStr">
        <is>
          <t>Hard</t>
        </is>
      </c>
      <c r="G649" s="7" t="inlineStr">
        <is>
          <t>1D 1D DP monotonic queue envelope</t>
        </is>
      </c>
      <c r="H649" s="6" t="n">
        <v>120</v>
      </c>
      <c r="I649" s="6" t="n">
        <v>120</v>
      </c>
      <c r="J649" s="8" t="inlineStr">
        <is>
          <t>https://www.codechef.com/problems/OPTDP102</t>
        </is>
      </c>
      <c r="K649" s="7" t="inlineStr"/>
      <c r="L649" s="6" t="inlineStr">
        <is>
          <t>codechef</t>
        </is>
      </c>
    </row>
    <row r="650" ht="20" customHeight="1">
      <c r="A650" s="2" t="inlineStr">
        <is>
          <t>Unsolved</t>
        </is>
      </c>
      <c r="B650" s="3" t="inlineStr">
        <is>
          <t>KINGDOM 17 — THE KINGDOM OF DYNAMIC PROGRAMMING</t>
        </is>
      </c>
      <c r="C650" s="3" t="inlineStr">
        <is>
          <t>Pattern 17.12 — Optimization DP</t>
        </is>
      </c>
      <c r="D650" s="2" t="inlineStr">
        <is>
          <t>OPTDP103</t>
        </is>
      </c>
      <c r="E650" s="3" t="inlineStr">
        <is>
          <t>Li Chao Tree Dynamic Line Insert CHT</t>
        </is>
      </c>
      <c r="F650" s="11" t="inlineStr">
        <is>
          <t>Expert</t>
        </is>
      </c>
      <c r="G650" s="3" t="inlineStr">
        <is>
          <t>Li Chao segment tree line insert</t>
        </is>
      </c>
      <c r="H650" s="2" t="n">
        <v>180</v>
      </c>
      <c r="I650" s="2" t="n">
        <v>180</v>
      </c>
      <c r="J650" s="5" t="inlineStr">
        <is>
          <t>https://www.codechef.com/problems/OPTDP103</t>
        </is>
      </c>
      <c r="K650" s="3" t="inlineStr"/>
      <c r="L650" s="2" t="inlineStr">
        <is>
          <t>codechef</t>
        </is>
      </c>
    </row>
    <row r="651" ht="20" customHeight="1">
      <c r="A651" s="6" t="inlineStr">
        <is>
          <t>Unsolved</t>
        </is>
      </c>
      <c r="B651" s="7" t="inlineStr">
        <is>
          <t>KINGDOM 17 — THE KINGDOM OF DYNAMIC PROGRAMMING</t>
        </is>
      </c>
      <c r="C651" s="7" t="inlineStr">
        <is>
          <t>Pattern 17.12 — Optimization DP</t>
        </is>
      </c>
      <c r="D651" s="6" t="inlineStr">
        <is>
          <t>OPTDP104</t>
        </is>
      </c>
      <c r="E651" s="7" t="inlineStr">
        <is>
          <t>Slope Trick DP Convex Function Optimization</t>
        </is>
      </c>
      <c r="F651" s="11" t="inlineStr">
        <is>
          <t>Expert</t>
        </is>
      </c>
      <c r="G651" s="7" t="inlineStr">
        <is>
          <t>Slope trick priority queues min-heap max-heap</t>
        </is>
      </c>
      <c r="H651" s="6" t="n">
        <v>180</v>
      </c>
      <c r="I651" s="6" t="n">
        <v>180</v>
      </c>
      <c r="J651" s="8" t="inlineStr">
        <is>
          <t>https://www.codechef.com/problems/OPTDP104</t>
        </is>
      </c>
      <c r="K651" s="7" t="inlineStr"/>
      <c r="L651" s="6" t="inlineStr">
        <is>
          <t>codechef</t>
        </is>
      </c>
    </row>
    <row r="652" ht="20" customHeight="1">
      <c r="A652" s="2" t="inlineStr">
        <is>
          <t>Unsolved</t>
        </is>
      </c>
      <c r="B652" s="3" t="inlineStr">
        <is>
          <t>KINGDOM 18 — THE KINGDOM OF DIVIDE &amp; CONQUER</t>
        </is>
      </c>
      <c r="C652" s="3" t="inlineStr">
        <is>
          <t>Pattern 18.2 — Merge Sort Applications</t>
        </is>
      </c>
      <c r="D652" s="2" t="inlineStr">
        <is>
          <t>TSORT</t>
        </is>
      </c>
      <c r="E652" s="3" t="inlineStr">
        <is>
          <t>Turbo Sort</t>
        </is>
      </c>
      <c r="F652" s="4" t="inlineStr">
        <is>
          <t>Beginner</t>
        </is>
      </c>
      <c r="G652" s="3" t="inlineStr">
        <is>
          <t>sorting, merge sort / quicksort</t>
        </is>
      </c>
      <c r="H652" s="2" t="n">
        <v>15</v>
      </c>
      <c r="I652" s="2" t="n">
        <v>10</v>
      </c>
      <c r="J652" s="5" t="inlineStr">
        <is>
          <t>https://www.codechef.com/problems/TSORT</t>
        </is>
      </c>
      <c r="K652" s="3" t="inlineStr"/>
      <c r="L652" s="2" t="inlineStr">
        <is>
          <t>codechef</t>
        </is>
      </c>
    </row>
    <row r="653" ht="20" customHeight="1">
      <c r="A653" s="6" t="inlineStr">
        <is>
          <t>Unsolved</t>
        </is>
      </c>
      <c r="B653" s="7" t="inlineStr">
        <is>
          <t>KINGDOM 18 — THE KINGDOM OF DIVIDE &amp; CONQUER</t>
        </is>
      </c>
      <c r="C653" s="7" t="inlineStr">
        <is>
          <t>Pattern 18.2 — Merge Sort Applications</t>
        </is>
      </c>
      <c r="D653" s="6" t="inlineStr">
        <is>
          <t>MERGESORT1</t>
        </is>
      </c>
      <c r="E653" s="7" t="inlineStr">
        <is>
          <t>Merge Sort Implementation Divide &amp; Conquer</t>
        </is>
      </c>
      <c r="F653" s="9" t="inlineStr">
        <is>
          <t>Easy-Medium</t>
        </is>
      </c>
      <c r="G653" s="7" t="inlineStr">
        <is>
          <t>divide &amp; conquer recursion merge</t>
        </is>
      </c>
      <c r="H653" s="6" t="n">
        <v>40</v>
      </c>
      <c r="I653" s="6" t="n">
        <v>35</v>
      </c>
      <c r="J653" s="8" t="inlineStr">
        <is>
          <t>https://www.codechef.com/problems/MERGESORT1</t>
        </is>
      </c>
      <c r="K653" s="7" t="inlineStr"/>
      <c r="L653" s="6" t="inlineStr">
        <is>
          <t>codechef</t>
        </is>
      </c>
    </row>
    <row r="654" ht="20" customHeight="1">
      <c r="A654" s="2" t="inlineStr">
        <is>
          <t>Unsolved</t>
        </is>
      </c>
      <c r="B654" s="3" t="inlineStr">
        <is>
          <t>KINGDOM 18 — THE KINGDOM OF DIVIDE &amp; CONQUER</t>
        </is>
      </c>
      <c r="C654" s="3" t="inlineStr">
        <is>
          <t>Pattern 18.2 — Merge Sort Applications</t>
        </is>
      </c>
      <c r="D654" s="2" t="inlineStr">
        <is>
          <t>INVERSION</t>
        </is>
      </c>
      <c r="E654" s="3" t="inlineStr">
        <is>
          <t>Count Inversions in Array Merge Sort</t>
        </is>
      </c>
      <c r="F654" s="10" t="inlineStr">
        <is>
          <t>Medium-Hard</t>
        </is>
      </c>
      <c r="G654" s="3" t="inlineStr">
        <is>
          <t>divide &amp; conquer merge sort count</t>
        </is>
      </c>
      <c r="H654" s="2" t="n">
        <v>90</v>
      </c>
      <c r="I654" s="2" t="n">
        <v>80</v>
      </c>
      <c r="J654" s="5" t="inlineStr">
        <is>
          <t>https://www.codechef.com/problems/INVERSION</t>
        </is>
      </c>
      <c r="K654" s="3" t="inlineStr"/>
      <c r="L654" s="2" t="inlineStr">
        <is>
          <t>codechef</t>
        </is>
      </c>
    </row>
    <row r="655" ht="20" customHeight="1">
      <c r="A655" s="6" t="inlineStr">
        <is>
          <t>Unsolved</t>
        </is>
      </c>
      <c r="B655" s="7" t="inlineStr">
        <is>
          <t>KINGDOM 18 — THE KINGDOM OF DIVIDE &amp; CONQUER</t>
        </is>
      </c>
      <c r="C655" s="7" t="inlineStr">
        <is>
          <t>Pattern 18.2 — Merge Sort Applications</t>
        </is>
      </c>
      <c r="D655" s="6" t="inlineStr">
        <is>
          <t>MSAPP101</t>
        </is>
      </c>
      <c r="E655" s="7" t="inlineStr">
        <is>
          <t>Reverse Pairs Count Merge Sort</t>
        </is>
      </c>
      <c r="F655" s="10" t="inlineStr">
        <is>
          <t>Hard</t>
        </is>
      </c>
      <c r="G655" s="7" t="inlineStr">
        <is>
          <t>divide &amp; conquer merge sort 2*nums[j]</t>
        </is>
      </c>
      <c r="H655" s="6" t="n">
        <v>120</v>
      </c>
      <c r="I655" s="6" t="n">
        <v>120</v>
      </c>
      <c r="J655" s="8" t="inlineStr">
        <is>
          <t>https://www.codechef.com/problems/MSAPP101</t>
        </is>
      </c>
      <c r="K655" s="7" t="inlineStr"/>
      <c r="L655" s="6" t="inlineStr">
        <is>
          <t>codechef</t>
        </is>
      </c>
    </row>
    <row r="656" ht="20" customHeight="1">
      <c r="A656" s="2" t="inlineStr">
        <is>
          <t>Unsolved</t>
        </is>
      </c>
      <c r="B656" s="3" t="inlineStr">
        <is>
          <t>KINGDOM 18 — THE KINGDOM OF DIVIDE &amp; CONQUER</t>
        </is>
      </c>
      <c r="C656" s="3" t="inlineStr">
        <is>
          <t>Pattern 18.2 — Merge Sort Applications</t>
        </is>
      </c>
      <c r="D656" s="2" t="inlineStr">
        <is>
          <t>MSAPP102</t>
        </is>
      </c>
      <c r="E656" s="3" t="inlineStr">
        <is>
          <t>Count of Smaller Numbers After Self Merge Sort</t>
        </is>
      </c>
      <c r="F656" s="10" t="inlineStr">
        <is>
          <t>Hard</t>
        </is>
      </c>
      <c r="G656" s="3" t="inlineStr">
        <is>
          <t>divide &amp; conquer index tracking merge sort</t>
        </is>
      </c>
      <c r="H656" s="2" t="n">
        <v>120</v>
      </c>
      <c r="I656" s="2" t="n">
        <v>120</v>
      </c>
      <c r="J656" s="5" t="inlineStr">
        <is>
          <t>https://www.codechef.com/problems/MSAPP102</t>
        </is>
      </c>
      <c r="K656" s="3" t="inlineStr"/>
      <c r="L656" s="2" t="inlineStr">
        <is>
          <t>codechef</t>
        </is>
      </c>
    </row>
    <row r="657" ht="20" customHeight="1">
      <c r="A657" s="6" t="inlineStr">
        <is>
          <t>Unsolved</t>
        </is>
      </c>
      <c r="B657" s="7" t="inlineStr">
        <is>
          <t>KINGDOM 18 — THE KINGDOM OF DIVIDE &amp; CONQUER</t>
        </is>
      </c>
      <c r="C657" s="7" t="inlineStr">
        <is>
          <t>Pattern 18.2 — Merge Sort Applications</t>
        </is>
      </c>
      <c r="D657" s="6" t="inlineStr">
        <is>
          <t>MSAPP103</t>
        </is>
      </c>
      <c r="E657" s="7" t="inlineStr">
        <is>
          <t>Count of Range Sum Bounds Merge Sort</t>
        </is>
      </c>
      <c r="F657" s="10" t="inlineStr">
        <is>
          <t>Hard</t>
        </is>
      </c>
      <c r="G657" s="7" t="inlineStr">
        <is>
          <t>divide &amp; conquer prefix sum merge sort</t>
        </is>
      </c>
      <c r="H657" s="6" t="n">
        <v>120</v>
      </c>
      <c r="I657" s="6" t="n">
        <v>120</v>
      </c>
      <c r="J657" s="8" t="inlineStr">
        <is>
          <t>https://www.codechef.com/problems/MSAPP103</t>
        </is>
      </c>
      <c r="K657" s="7" t="inlineStr"/>
      <c r="L657" s="6" t="inlineStr">
        <is>
          <t>codechef</t>
        </is>
      </c>
    </row>
    <row r="658" ht="20" customHeight="1">
      <c r="A658" s="2" t="inlineStr">
        <is>
          <t>Unsolved</t>
        </is>
      </c>
      <c r="B658" s="3" t="inlineStr">
        <is>
          <t>KINGDOM 18 — THE KINGDOM OF DIVIDE &amp; CONQUER</t>
        </is>
      </c>
      <c r="C658" s="3" t="inlineStr">
        <is>
          <t>Pattern 18.3 — Divide &amp; Conquer on Arrays</t>
        </is>
      </c>
      <c r="D658" s="2" t="inlineStr">
        <is>
          <t>DIVARR1</t>
        </is>
      </c>
      <c r="E658" s="3" t="inlineStr">
        <is>
          <t>Maximum Subarray Sum Kadane Divide &amp; Conquer</t>
        </is>
      </c>
      <c r="F658" s="9" t="inlineStr">
        <is>
          <t>Easy-Medium</t>
        </is>
      </c>
      <c r="G658" s="3" t="inlineStr">
        <is>
          <t>divide &amp; conquer cross sum</t>
        </is>
      </c>
      <c r="H658" s="2" t="n">
        <v>40</v>
      </c>
      <c r="I658" s="2" t="n">
        <v>35</v>
      </c>
      <c r="J658" s="5" t="inlineStr">
        <is>
          <t>https://www.codechef.com/problems/DIVARR1</t>
        </is>
      </c>
      <c r="K658" s="3" t="inlineStr"/>
      <c r="L658" s="2" t="inlineStr">
        <is>
          <t>codechef</t>
        </is>
      </c>
    </row>
    <row r="659" ht="20" customHeight="1">
      <c r="A659" s="6" t="inlineStr">
        <is>
          <t>Unsolved</t>
        </is>
      </c>
      <c r="B659" s="7" t="inlineStr">
        <is>
          <t>KINGDOM 18 — THE KINGDOM OF DIVIDE &amp; CONQUER</t>
        </is>
      </c>
      <c r="C659" s="7" t="inlineStr">
        <is>
          <t>Pattern 18.3 — Divide &amp; Conquer on Arrays</t>
        </is>
      </c>
      <c r="D659" s="6" t="inlineStr">
        <is>
          <t>MAXSUBARR</t>
        </is>
      </c>
      <c r="E659" s="7" t="inlineStr">
        <is>
          <t>Majority Element Divide &amp; Conquer</t>
        </is>
      </c>
      <c r="F659" s="4" t="inlineStr">
        <is>
          <t>Easy</t>
        </is>
      </c>
      <c r="G659" s="7" t="inlineStr">
        <is>
          <t>divide &amp; conquer count</t>
        </is>
      </c>
      <c r="H659" s="6" t="n">
        <v>25</v>
      </c>
      <c r="I659" s="6" t="n">
        <v>20</v>
      </c>
      <c r="J659" s="8" t="inlineStr">
        <is>
          <t>https://www.codechef.com/problems/MAXSUBARR</t>
        </is>
      </c>
      <c r="K659" s="7" t="inlineStr"/>
      <c r="L659" s="6" t="inlineStr">
        <is>
          <t>codechef</t>
        </is>
      </c>
    </row>
    <row r="660" ht="20" customHeight="1">
      <c r="A660" s="2" t="inlineStr">
        <is>
          <t>Unsolved</t>
        </is>
      </c>
      <c r="B660" s="3" t="inlineStr">
        <is>
          <t>KINGDOM 18 — THE KINGDOM OF DIVIDE &amp; CONQUER</t>
        </is>
      </c>
      <c r="C660" s="3" t="inlineStr">
        <is>
          <t>Pattern 18.3 — Divide &amp; Conquer on Arrays</t>
        </is>
      </c>
      <c r="D660" s="2" t="inlineStr">
        <is>
          <t>DCARR101</t>
        </is>
      </c>
      <c r="E660" s="3" t="inlineStr">
        <is>
          <t>Kth Largest Element in an Array QuickSelect</t>
        </is>
      </c>
      <c r="F660" s="9" t="inlineStr">
        <is>
          <t>Medium</t>
        </is>
      </c>
      <c r="G660" s="3" t="inlineStr">
        <is>
          <t>QuickSelect divide &amp; conquer partition</t>
        </is>
      </c>
      <c r="H660" s="2" t="n">
        <v>60</v>
      </c>
      <c r="I660" s="2" t="n">
        <v>55</v>
      </c>
      <c r="J660" s="5" t="inlineStr">
        <is>
          <t>https://www.codechef.com/problems/DCARR101</t>
        </is>
      </c>
      <c r="K660" s="3" t="inlineStr"/>
      <c r="L660" s="2" t="inlineStr">
        <is>
          <t>codechef</t>
        </is>
      </c>
    </row>
    <row r="661" ht="20" customHeight="1">
      <c r="A661" s="6" t="inlineStr">
        <is>
          <t>Unsolved</t>
        </is>
      </c>
      <c r="B661" s="7" t="inlineStr">
        <is>
          <t>KINGDOM 18 — THE KINGDOM OF DIVIDE &amp; CONQUER</t>
        </is>
      </c>
      <c r="C661" s="7" t="inlineStr">
        <is>
          <t>Pattern 18.3 — Divide &amp; Conquer on Arrays</t>
        </is>
      </c>
      <c r="D661" s="6" t="inlineStr">
        <is>
          <t>DCARR102</t>
        </is>
      </c>
      <c r="E661" s="7" t="inlineStr">
        <is>
          <t>Search a 2D Matrix II Divide &amp; Conquer</t>
        </is>
      </c>
      <c r="F661" s="9" t="inlineStr">
        <is>
          <t>Medium</t>
        </is>
      </c>
      <c r="G661" s="7" t="inlineStr">
        <is>
          <t>divide &amp; conquer matrix quadrant search</t>
        </is>
      </c>
      <c r="H661" s="6" t="n">
        <v>60</v>
      </c>
      <c r="I661" s="6" t="n">
        <v>55</v>
      </c>
      <c r="J661" s="8" t="inlineStr">
        <is>
          <t>https://www.codechef.com/problems/DCARR102</t>
        </is>
      </c>
      <c r="K661" s="7" t="inlineStr"/>
      <c r="L661" s="6" t="inlineStr">
        <is>
          <t>codechef</t>
        </is>
      </c>
    </row>
    <row r="662" ht="20" customHeight="1">
      <c r="A662" s="2" t="inlineStr">
        <is>
          <t>Unsolved</t>
        </is>
      </c>
      <c r="B662" s="3" t="inlineStr">
        <is>
          <t>KINGDOM 18 — THE KINGDOM OF DIVIDE &amp; CONQUER</t>
        </is>
      </c>
      <c r="C662" s="3" t="inlineStr">
        <is>
          <t>Pattern 18.3 — Divide &amp; Conquer on Arrays</t>
        </is>
      </c>
      <c r="D662" s="2" t="inlineStr">
        <is>
          <t>DCARR103</t>
        </is>
      </c>
      <c r="E662" s="3" t="inlineStr">
        <is>
          <t>Super Pow Divide &amp; Conquer Exponentiation</t>
        </is>
      </c>
      <c r="F662" s="9" t="inlineStr">
        <is>
          <t>Medium</t>
        </is>
      </c>
      <c r="G662" s="3" t="inlineStr">
        <is>
          <t>divide &amp; conquer modular pow</t>
        </is>
      </c>
      <c r="H662" s="2" t="n">
        <v>60</v>
      </c>
      <c r="I662" s="2" t="n">
        <v>55</v>
      </c>
      <c r="J662" s="5" t="inlineStr">
        <is>
          <t>https://www.codechef.com/problems/DCARR103</t>
        </is>
      </c>
      <c r="K662" s="3" t="inlineStr"/>
      <c r="L662" s="2" t="inlineStr">
        <is>
          <t>codechef</t>
        </is>
      </c>
    </row>
    <row r="663" ht="20" customHeight="1">
      <c r="A663" s="6" t="inlineStr">
        <is>
          <t>Unsolved</t>
        </is>
      </c>
      <c r="B663" s="7" t="inlineStr">
        <is>
          <t>KINGDOM 18 — THE KINGDOM OF DIVIDE &amp; CONQUER</t>
        </is>
      </c>
      <c r="C663" s="7" t="inlineStr">
        <is>
          <t>Pattern 18.3 — Divide &amp; Conquer on Arrays</t>
        </is>
      </c>
      <c r="D663" s="6" t="inlineStr">
        <is>
          <t>DCARR104</t>
        </is>
      </c>
      <c r="E663" s="7" t="inlineStr">
        <is>
          <t>Beautiful Array Divide &amp; Conquer Construction</t>
        </is>
      </c>
      <c r="F663" s="10" t="inlineStr">
        <is>
          <t>Medium-Hard</t>
        </is>
      </c>
      <c r="G663" s="7" t="inlineStr">
        <is>
          <t>divide &amp; conquer odd even partition</t>
        </is>
      </c>
      <c r="H663" s="6" t="n">
        <v>90</v>
      </c>
      <c r="I663" s="6" t="n">
        <v>80</v>
      </c>
      <c r="J663" s="8" t="inlineStr">
        <is>
          <t>https://www.codechef.com/problems/DCARR104</t>
        </is>
      </c>
      <c r="K663" s="7" t="inlineStr"/>
      <c r="L663" s="6" t="inlineStr">
        <is>
          <t>codechef</t>
        </is>
      </c>
    </row>
    <row r="664" ht="20" customHeight="1">
      <c r="A664" s="2" t="inlineStr">
        <is>
          <t>Unsolved</t>
        </is>
      </c>
      <c r="B664" s="3" t="inlineStr">
        <is>
          <t>KINGDOM 18 — THE KINGDOM OF DIVIDE &amp; CONQUER</t>
        </is>
      </c>
      <c r="C664" s="3" t="inlineStr">
        <is>
          <t>Pattern 18.3 — Divide &amp; Conquer on Arrays</t>
        </is>
      </c>
      <c r="D664" s="2" t="inlineStr">
        <is>
          <t>DCARR105</t>
        </is>
      </c>
      <c r="E664" s="3" t="inlineStr">
        <is>
          <t>Longest Substring with At Least K Repeating Chars</t>
        </is>
      </c>
      <c r="F664" s="10" t="inlineStr">
        <is>
          <t>Medium-Hard</t>
        </is>
      </c>
      <c r="G664" s="3" t="inlineStr">
        <is>
          <t>divide &amp; conquer frequency split</t>
        </is>
      </c>
      <c r="H664" s="2" t="n">
        <v>90</v>
      </c>
      <c r="I664" s="2" t="n">
        <v>80</v>
      </c>
      <c r="J664" s="5" t="inlineStr">
        <is>
          <t>https://www.codechef.com/problems/DCARR105</t>
        </is>
      </c>
      <c r="K664" s="3" t="inlineStr"/>
      <c r="L664" s="2" t="inlineStr">
        <is>
          <t>codechef</t>
        </is>
      </c>
    </row>
    <row r="665" ht="20" customHeight="1">
      <c r="A665" s="6" t="inlineStr">
        <is>
          <t>Unsolved</t>
        </is>
      </c>
      <c r="B665" s="7" t="inlineStr">
        <is>
          <t>KINGDOM 18 — THE KINGDOM OF DIVIDE &amp; CONQUER</t>
        </is>
      </c>
      <c r="C665" s="7" t="inlineStr">
        <is>
          <t>Pattern 18.4 — CDQ Divide &amp; Conquer</t>
        </is>
      </c>
      <c r="D665" s="6" t="inlineStr">
        <is>
          <t>CDQ1</t>
        </is>
      </c>
      <c r="E665" s="7" t="inlineStr">
        <is>
          <t>CDQ Divide &amp; Conquer 3D Partial Order Count</t>
        </is>
      </c>
      <c r="F665" s="10" t="inlineStr">
        <is>
          <t>Hard</t>
        </is>
      </c>
      <c r="G665" s="7" t="inlineStr">
        <is>
          <t>CDQ divide &amp; conquer offline sorting merge</t>
        </is>
      </c>
      <c r="H665" s="6" t="n">
        <v>120</v>
      </c>
      <c r="I665" s="6" t="n">
        <v>120</v>
      </c>
      <c r="J665" s="8" t="inlineStr">
        <is>
          <t>https://www.codechef.com/problems/CDQ1</t>
        </is>
      </c>
      <c r="K665" s="7" t="inlineStr"/>
      <c r="L665" s="6" t="inlineStr">
        <is>
          <t>codechef</t>
        </is>
      </c>
    </row>
    <row r="666" ht="20" customHeight="1">
      <c r="A666" s="2" t="inlineStr">
        <is>
          <t>Unsolved</t>
        </is>
      </c>
      <c r="B666" s="3" t="inlineStr">
        <is>
          <t>KINGDOM 18 — THE KINGDOM OF DIVIDE &amp; CONQUER</t>
        </is>
      </c>
      <c r="C666" s="3" t="inlineStr">
        <is>
          <t>Pattern 18.4 — CDQ Divide &amp; Conquer</t>
        </is>
      </c>
      <c r="D666" s="2" t="inlineStr">
        <is>
          <t>3DPOINTS</t>
        </is>
      </c>
      <c r="E666" s="3" t="inlineStr">
        <is>
          <t>CDQ Divide &amp; Conquer 3D Dominance Range Query</t>
        </is>
      </c>
      <c r="F666" s="10" t="inlineStr">
        <is>
          <t>Hard</t>
        </is>
      </c>
      <c r="G666" s="3" t="inlineStr">
        <is>
          <t>CDQ divide &amp; conquer BIT</t>
        </is>
      </c>
      <c r="H666" s="2" t="n">
        <v>120</v>
      </c>
      <c r="I666" s="2" t="n">
        <v>120</v>
      </c>
      <c r="J666" s="5" t="inlineStr">
        <is>
          <t>https://www.codechef.com/problems/3DPOINTS</t>
        </is>
      </c>
      <c r="K666" s="3" t="inlineStr"/>
      <c r="L666" s="2" t="inlineStr">
        <is>
          <t>codechef</t>
        </is>
      </c>
    </row>
    <row r="667" ht="20" customHeight="1">
      <c r="A667" s="6" t="inlineStr">
        <is>
          <t>Unsolved</t>
        </is>
      </c>
      <c r="B667" s="7" t="inlineStr">
        <is>
          <t>KINGDOM 18 — THE KINGDOM OF DIVIDE &amp; CONQUER</t>
        </is>
      </c>
      <c r="C667" s="7" t="inlineStr">
        <is>
          <t>Pattern 18.4 — CDQ Divide &amp; Conquer</t>
        </is>
      </c>
      <c r="D667" s="6" t="inlineStr">
        <is>
          <t>CDQ101</t>
        </is>
      </c>
      <c r="E667" s="7" t="inlineStr">
        <is>
          <t>CDQ Divide &amp; Conquer 4D Partial Order Range</t>
        </is>
      </c>
      <c r="F667" s="11" t="inlineStr">
        <is>
          <t>Expert</t>
        </is>
      </c>
      <c r="G667" s="7" t="inlineStr">
        <is>
          <t>CDQ divide &amp; conquer nested merge</t>
        </is>
      </c>
      <c r="H667" s="6" t="n">
        <v>180</v>
      </c>
      <c r="I667" s="6" t="n">
        <v>180</v>
      </c>
      <c r="J667" s="8" t="inlineStr">
        <is>
          <t>https://www.codechef.com/problems/CDQ101</t>
        </is>
      </c>
      <c r="K667" s="7" t="inlineStr"/>
      <c r="L667" s="6" t="inlineStr">
        <is>
          <t>codechef</t>
        </is>
      </c>
    </row>
    <row r="668" ht="20" customHeight="1">
      <c r="A668" s="2" t="inlineStr">
        <is>
          <t>Unsolved</t>
        </is>
      </c>
      <c r="B668" s="3" t="inlineStr">
        <is>
          <t>KINGDOM 18 — THE KINGDOM OF DIVIDE &amp; CONQUER</t>
        </is>
      </c>
      <c r="C668" s="3" t="inlineStr">
        <is>
          <t>Pattern 18.4 — CDQ Divide &amp; Conquer</t>
        </is>
      </c>
      <c r="D668" s="2" t="inlineStr">
        <is>
          <t>CDQ102</t>
        </is>
      </c>
      <c r="E668" s="3" t="inlineStr">
        <is>
          <t>CDQ Divide &amp; Conquer Dynamic LIS Point Update</t>
        </is>
      </c>
      <c r="F668" s="11" t="inlineStr">
        <is>
          <t>Expert</t>
        </is>
      </c>
      <c r="G668" s="3" t="inlineStr">
        <is>
          <t>CDQ divide &amp; conquer DP BIT</t>
        </is>
      </c>
      <c r="H668" s="2" t="n">
        <v>180</v>
      </c>
      <c r="I668" s="2" t="n">
        <v>180</v>
      </c>
      <c r="J668" s="5" t="inlineStr">
        <is>
          <t>https://www.codechef.com/problems/CDQ102</t>
        </is>
      </c>
      <c r="K668" s="3" t="inlineStr"/>
      <c r="L668" s="2" t="inlineStr">
        <is>
          <t>codechef</t>
        </is>
      </c>
    </row>
    <row r="669" ht="20" customHeight="1">
      <c r="A669" s="6" t="inlineStr">
        <is>
          <t>Unsolved</t>
        </is>
      </c>
      <c r="B669" s="7" t="inlineStr">
        <is>
          <t>KINGDOM 18 — THE KINGDOM OF DIVIDE &amp; CONQUER</t>
        </is>
      </c>
      <c r="C669" s="7" t="inlineStr">
        <is>
          <t>Pattern 18.4 — CDQ Divide &amp; Conquer</t>
        </is>
      </c>
      <c r="D669" s="6" t="inlineStr">
        <is>
          <t>CDQ103</t>
        </is>
      </c>
      <c r="E669" s="7" t="inlineStr">
        <is>
          <t>CDQ Divide &amp; Conquer Dynamic 2D Range Sum</t>
        </is>
      </c>
      <c r="F669" s="11" t="inlineStr">
        <is>
          <t>Expert</t>
        </is>
      </c>
      <c r="G669" s="7" t="inlineStr">
        <is>
          <t>CDQ divide &amp; conquer offline update query</t>
        </is>
      </c>
      <c r="H669" s="6" t="n">
        <v>180</v>
      </c>
      <c r="I669" s="6" t="n">
        <v>180</v>
      </c>
      <c r="J669" s="8" t="inlineStr">
        <is>
          <t>https://www.codechef.com/problems/CDQ103</t>
        </is>
      </c>
      <c r="K669" s="7" t="inlineStr"/>
      <c r="L669" s="6" t="inlineStr">
        <is>
          <t>codechef</t>
        </is>
      </c>
    </row>
    <row r="670" ht="20" customHeight="1">
      <c r="A670" s="2" t="inlineStr">
        <is>
          <t>Unsolved</t>
        </is>
      </c>
      <c r="B670" s="3" t="inlineStr">
        <is>
          <t>KINGDOM 18 — THE KINGDOM OF DIVIDE &amp; CONQUER</t>
        </is>
      </c>
      <c r="C670" s="3" t="inlineStr">
        <is>
          <t>Pattern 18.4 — CDQ Divide &amp; Conquer</t>
        </is>
      </c>
      <c r="D670" s="2" t="inlineStr">
        <is>
          <t>CDQ104</t>
        </is>
      </c>
      <c r="E670" s="3" t="inlineStr">
        <is>
          <t>CDQ Divide &amp; Conquer Rectangular Intersection Count</t>
        </is>
      </c>
      <c r="F670" s="10" t="inlineStr">
        <is>
          <t>Hard</t>
        </is>
      </c>
      <c r="G670" s="3" t="inlineStr">
        <is>
          <t>CDQ divide &amp; conquer interval count</t>
        </is>
      </c>
      <c r="H670" s="2" t="n">
        <v>120</v>
      </c>
      <c r="I670" s="2" t="n">
        <v>120</v>
      </c>
      <c r="J670" s="5" t="inlineStr">
        <is>
          <t>https://www.codechef.com/problems/CDQ104</t>
        </is>
      </c>
      <c r="K670" s="3" t="inlineStr"/>
      <c r="L670" s="2" t="inlineStr">
        <is>
          <t>codechef</t>
        </is>
      </c>
    </row>
    <row r="671" ht="20" customHeight="1">
      <c r="A671" s="6" t="inlineStr">
        <is>
          <t>Unsolved</t>
        </is>
      </c>
      <c r="B671" s="7" t="inlineStr">
        <is>
          <t>KINGDOM 18 — THE KINGDOM OF DIVIDE &amp; CONQUER</t>
        </is>
      </c>
      <c r="C671" s="7" t="inlineStr">
        <is>
          <t>Pattern 18.4 — CDQ Divide &amp; Conquer</t>
        </is>
      </c>
      <c r="D671" s="6" t="inlineStr">
        <is>
          <t>CDQ105</t>
        </is>
      </c>
      <c r="E671" s="7" t="inlineStr">
        <is>
          <t>CDQ Divide &amp; Conquer Multi-Dimensional Point Search</t>
        </is>
      </c>
      <c r="F671" s="11" t="inlineStr">
        <is>
          <t>Expert</t>
        </is>
      </c>
      <c r="G671" s="7" t="inlineStr">
        <is>
          <t>CDQ divide &amp; conquer</t>
        </is>
      </c>
      <c r="H671" s="6" t="n">
        <v>180</v>
      </c>
      <c r="I671" s="6" t="n">
        <v>180</v>
      </c>
      <c r="J671" s="8" t="inlineStr">
        <is>
          <t>https://www.codechef.com/problems/CDQ105</t>
        </is>
      </c>
      <c r="K671" s="7" t="inlineStr"/>
      <c r="L671" s="6" t="inlineStr">
        <is>
          <t>codechef</t>
        </is>
      </c>
    </row>
    <row r="672" ht="20" customHeight="1">
      <c r="A672" s="2" t="inlineStr">
        <is>
          <t>Unsolved</t>
        </is>
      </c>
      <c r="B672" s="3" t="inlineStr">
        <is>
          <t>KINGDOM 19 — THE KINGDOM OF SEGMENT TREES</t>
        </is>
      </c>
      <c r="C672" s="3" t="inlineStr">
        <is>
          <t>Pattern 19.1 — Basic Segment Tree</t>
        </is>
      </c>
      <c r="D672" s="2" t="inlineStr">
        <is>
          <t>SEGTREE1</t>
        </is>
      </c>
      <c r="E672" s="3" t="inlineStr">
        <is>
          <t>Segment Tree Build Point Update Range Query</t>
        </is>
      </c>
      <c r="F672" s="9" t="inlineStr">
        <is>
          <t>Medium</t>
        </is>
      </c>
      <c r="G672" s="3" t="inlineStr">
        <is>
          <t>segment tree array representation</t>
        </is>
      </c>
      <c r="H672" s="2" t="n">
        <v>60</v>
      </c>
      <c r="I672" s="2" t="n">
        <v>55</v>
      </c>
      <c r="J672" s="5" t="inlineStr">
        <is>
          <t>https://www.codechef.com/problems/SEGTREE1</t>
        </is>
      </c>
      <c r="K672" s="3" t="inlineStr"/>
      <c r="L672" s="2" t="inlineStr">
        <is>
          <t>codechef</t>
        </is>
      </c>
    </row>
    <row r="673" ht="20" customHeight="1">
      <c r="A673" s="6" t="inlineStr">
        <is>
          <t>Unsolved</t>
        </is>
      </c>
      <c r="B673" s="7" t="inlineStr">
        <is>
          <t>KINGDOM 19 — THE KINGDOM OF SEGMENT TREES</t>
        </is>
      </c>
      <c r="C673" s="7" t="inlineStr">
        <is>
          <t>Pattern 19.1 — Basic Segment Tree</t>
        </is>
      </c>
      <c r="D673" s="6" t="inlineStr">
        <is>
          <t>RANGEQUERY</t>
        </is>
      </c>
      <c r="E673" s="7" t="inlineStr">
        <is>
          <t>Range Minimum Query RMQ Segment Tree</t>
        </is>
      </c>
      <c r="F673" s="9" t="inlineStr">
        <is>
          <t>Medium</t>
        </is>
      </c>
      <c r="G673" s="7" t="inlineStr">
        <is>
          <t>segment tree min query</t>
        </is>
      </c>
      <c r="H673" s="6" t="n">
        <v>60</v>
      </c>
      <c r="I673" s="6" t="n">
        <v>55</v>
      </c>
      <c r="J673" s="8" t="inlineStr">
        <is>
          <t>https://www.codechef.com/problems/RANGEQUERY</t>
        </is>
      </c>
      <c r="K673" s="7" t="inlineStr"/>
      <c r="L673" s="6" t="inlineStr">
        <is>
          <t>codechef</t>
        </is>
      </c>
    </row>
    <row r="674" ht="20" customHeight="1">
      <c r="A674" s="2" t="inlineStr">
        <is>
          <t>Unsolved</t>
        </is>
      </c>
      <c r="B674" s="3" t="inlineStr">
        <is>
          <t>KINGDOM 19 — THE KINGDOM OF SEGMENT TREES</t>
        </is>
      </c>
      <c r="C674" s="3" t="inlineStr">
        <is>
          <t>Pattern 19.1 — Basic Segment Tree</t>
        </is>
      </c>
      <c r="D674" s="2" t="inlineStr">
        <is>
          <t>BST101</t>
        </is>
      </c>
      <c r="E674" s="3" t="inlineStr">
        <is>
          <t>Range Sum Query Mutable Segment Tree</t>
        </is>
      </c>
      <c r="F674" s="9" t="inlineStr">
        <is>
          <t>Medium</t>
        </is>
      </c>
      <c r="G674" s="3" t="inlineStr">
        <is>
          <t>segment tree point update sum</t>
        </is>
      </c>
      <c r="H674" s="2" t="n">
        <v>60</v>
      </c>
      <c r="I674" s="2" t="n">
        <v>55</v>
      </c>
      <c r="J674" s="5" t="inlineStr">
        <is>
          <t>https://www.codechef.com/problems/BST101</t>
        </is>
      </c>
      <c r="K674" s="3" t="inlineStr"/>
      <c r="L674" s="2" t="inlineStr">
        <is>
          <t>codechef</t>
        </is>
      </c>
    </row>
    <row r="675" ht="20" customHeight="1">
      <c r="A675" s="6" t="inlineStr">
        <is>
          <t>Unsolved</t>
        </is>
      </c>
      <c r="B675" s="7" t="inlineStr">
        <is>
          <t>KINGDOM 19 — THE KINGDOM OF SEGMENT TREES</t>
        </is>
      </c>
      <c r="C675" s="7" t="inlineStr">
        <is>
          <t>Pattern 19.1 — Basic Segment Tree</t>
        </is>
      </c>
      <c r="D675" s="6" t="inlineStr">
        <is>
          <t>BST102</t>
        </is>
      </c>
      <c r="E675" s="7" t="inlineStr">
        <is>
          <t>Range Maximum Query Segment Tree</t>
        </is>
      </c>
      <c r="F675" s="9" t="inlineStr">
        <is>
          <t>Medium</t>
        </is>
      </c>
      <c r="G675" s="7" t="inlineStr">
        <is>
          <t>segment tree max query</t>
        </is>
      </c>
      <c r="H675" s="6" t="n">
        <v>60</v>
      </c>
      <c r="I675" s="6" t="n">
        <v>55</v>
      </c>
      <c r="J675" s="8" t="inlineStr">
        <is>
          <t>https://www.codechef.com/problems/BST102</t>
        </is>
      </c>
      <c r="K675" s="7" t="inlineStr"/>
      <c r="L675" s="6" t="inlineStr">
        <is>
          <t>codechef</t>
        </is>
      </c>
    </row>
    <row r="676" ht="20" customHeight="1">
      <c r="A676" s="2" t="inlineStr">
        <is>
          <t>Unsolved</t>
        </is>
      </c>
      <c r="B676" s="3" t="inlineStr">
        <is>
          <t>KINGDOM 19 — THE KINGDOM OF SEGMENT TREES</t>
        </is>
      </c>
      <c r="C676" s="3" t="inlineStr">
        <is>
          <t>Pattern 19.1 — Basic Segment Tree</t>
        </is>
      </c>
      <c r="D676" s="2" t="inlineStr">
        <is>
          <t>BST103</t>
        </is>
      </c>
      <c r="E676" s="3" t="inlineStr">
        <is>
          <t>Segment Tree GCD Range Query</t>
        </is>
      </c>
      <c r="F676" s="10" t="inlineStr">
        <is>
          <t>Medium-Hard</t>
        </is>
      </c>
      <c r="G676" s="3" t="inlineStr">
        <is>
          <t>segment tree GCD combine</t>
        </is>
      </c>
      <c r="H676" s="2" t="n">
        <v>90</v>
      </c>
      <c r="I676" s="2" t="n">
        <v>80</v>
      </c>
      <c r="J676" s="5" t="inlineStr">
        <is>
          <t>https://www.codechef.com/problems/BST103</t>
        </is>
      </c>
      <c r="K676" s="3" t="inlineStr"/>
      <c r="L676" s="2" t="inlineStr">
        <is>
          <t>codechef</t>
        </is>
      </c>
    </row>
    <row r="677" ht="20" customHeight="1">
      <c r="A677" s="6" t="inlineStr">
        <is>
          <t>Unsolved</t>
        </is>
      </c>
      <c r="B677" s="7" t="inlineStr">
        <is>
          <t>KINGDOM 19 — THE KINGDOM OF SEGMENT TREES</t>
        </is>
      </c>
      <c r="C677" s="7" t="inlineStr">
        <is>
          <t>Pattern 19.1 — Basic Segment Tree</t>
        </is>
      </c>
      <c r="D677" s="6" t="inlineStr">
        <is>
          <t>BST104</t>
        </is>
      </c>
      <c r="E677" s="7" t="inlineStr">
        <is>
          <t>Segment Tree Bitwise OR Range Query</t>
        </is>
      </c>
      <c r="F677" s="10" t="inlineStr">
        <is>
          <t>Medium-Hard</t>
        </is>
      </c>
      <c r="G677" s="7" t="inlineStr">
        <is>
          <t>segment tree bitwise OR</t>
        </is>
      </c>
      <c r="H677" s="6" t="n">
        <v>90</v>
      </c>
      <c r="I677" s="6" t="n">
        <v>80</v>
      </c>
      <c r="J677" s="8" t="inlineStr">
        <is>
          <t>https://www.codechef.com/problems/BST104</t>
        </is>
      </c>
      <c r="K677" s="7" t="inlineStr"/>
      <c r="L677" s="6" t="inlineStr">
        <is>
          <t>codechef</t>
        </is>
      </c>
    </row>
    <row r="678" ht="20" customHeight="1">
      <c r="A678" s="2" t="inlineStr">
        <is>
          <t>Unsolved</t>
        </is>
      </c>
      <c r="B678" s="3" t="inlineStr">
        <is>
          <t>KINGDOM 19 — THE KINGDOM OF SEGMENT TREES</t>
        </is>
      </c>
      <c r="C678" s="3" t="inlineStr">
        <is>
          <t>Pattern 19.2 — Range Query + Point Update</t>
        </is>
      </c>
      <c r="D678" s="2" t="inlineStr">
        <is>
          <t>POINTUPDATE</t>
        </is>
      </c>
      <c r="E678" s="3" t="inlineStr">
        <is>
          <t>Point Update Range Sum Segment Tree</t>
        </is>
      </c>
      <c r="F678" s="9" t="inlineStr">
        <is>
          <t>Medium</t>
        </is>
      </c>
      <c r="G678" s="3" t="inlineStr">
        <is>
          <t>segment tree point update</t>
        </is>
      </c>
      <c r="H678" s="2" t="n">
        <v>60</v>
      </c>
      <c r="I678" s="2" t="n">
        <v>55</v>
      </c>
      <c r="J678" s="5" t="inlineStr">
        <is>
          <t>https://www.codechef.com/problems/POINTUPDATE</t>
        </is>
      </c>
      <c r="K678" s="3" t="inlineStr"/>
      <c r="L678" s="2" t="inlineStr">
        <is>
          <t>codechef</t>
        </is>
      </c>
    </row>
    <row r="679" ht="20" customHeight="1">
      <c r="A679" s="6" t="inlineStr">
        <is>
          <t>Unsolved</t>
        </is>
      </c>
      <c r="B679" s="7" t="inlineStr">
        <is>
          <t>KINGDOM 19 — THE KINGDOM OF SEGMENT TREES</t>
        </is>
      </c>
      <c r="C679" s="7" t="inlineStr">
        <is>
          <t>Pattern 19.2 — Range Query + Point Update</t>
        </is>
      </c>
      <c r="D679" s="6" t="inlineStr">
        <is>
          <t>SUMQUERY</t>
        </is>
      </c>
      <c r="E679" s="7" t="inlineStr">
        <is>
          <t>Point Update Range Max Segment Tree</t>
        </is>
      </c>
      <c r="F679" s="9" t="inlineStr">
        <is>
          <t>Medium</t>
        </is>
      </c>
      <c r="G679" s="7" t="inlineStr">
        <is>
          <t>segment tree point update</t>
        </is>
      </c>
      <c r="H679" s="6" t="n">
        <v>60</v>
      </c>
      <c r="I679" s="6" t="n">
        <v>55</v>
      </c>
      <c r="J679" s="8" t="inlineStr">
        <is>
          <t>https://www.codechef.com/problems/SUMQUERY</t>
        </is>
      </c>
      <c r="K679" s="7" t="inlineStr"/>
      <c r="L679" s="6" t="inlineStr">
        <is>
          <t>codechef</t>
        </is>
      </c>
    </row>
    <row r="680" ht="20" customHeight="1">
      <c r="A680" s="2" t="inlineStr">
        <is>
          <t>Unsolved</t>
        </is>
      </c>
      <c r="B680" s="3" t="inlineStr">
        <is>
          <t>KINGDOM 19 — THE KINGDOM OF SEGMENT TREES</t>
        </is>
      </c>
      <c r="C680" s="3" t="inlineStr">
        <is>
          <t>Pattern 19.2 — Range Query + Point Update</t>
        </is>
      </c>
      <c r="D680" s="2" t="inlineStr">
        <is>
          <t>RQPU101</t>
        </is>
      </c>
      <c r="E680" s="3" t="inlineStr">
        <is>
          <t>Count of Smaller Numbers After Self Segment Tree</t>
        </is>
      </c>
      <c r="F680" s="10" t="inlineStr">
        <is>
          <t>Hard</t>
        </is>
      </c>
      <c r="G680" s="3" t="inlineStr">
        <is>
          <t>coordinate compression segment tree point update</t>
        </is>
      </c>
      <c r="H680" s="2" t="n">
        <v>120</v>
      </c>
      <c r="I680" s="2" t="n">
        <v>120</v>
      </c>
      <c r="J680" s="5" t="inlineStr">
        <is>
          <t>https://www.codechef.com/problems/RQPU101</t>
        </is>
      </c>
      <c r="K680" s="3" t="inlineStr"/>
      <c r="L680" s="2" t="inlineStr">
        <is>
          <t>codechef</t>
        </is>
      </c>
    </row>
    <row r="681" ht="20" customHeight="1">
      <c r="A681" s="6" t="inlineStr">
        <is>
          <t>Unsolved</t>
        </is>
      </c>
      <c r="B681" s="7" t="inlineStr">
        <is>
          <t>KINGDOM 19 — THE KINGDOM OF SEGMENT TREES</t>
        </is>
      </c>
      <c r="C681" s="7" t="inlineStr">
        <is>
          <t>Pattern 19.2 — Range Query + Point Update</t>
        </is>
      </c>
      <c r="D681" s="6" t="inlineStr">
        <is>
          <t>RQPU102</t>
        </is>
      </c>
      <c r="E681" s="7" t="inlineStr">
        <is>
          <t>Longest Increasing Subsequence LIS Segment Tree</t>
        </is>
      </c>
      <c r="F681" s="10" t="inlineStr">
        <is>
          <t>Medium-Hard</t>
        </is>
      </c>
      <c r="G681" s="7" t="inlineStr">
        <is>
          <t>DP + Segment Tree point update</t>
        </is>
      </c>
      <c r="H681" s="6" t="n">
        <v>90</v>
      </c>
      <c r="I681" s="6" t="n">
        <v>80</v>
      </c>
      <c r="J681" s="8" t="inlineStr">
        <is>
          <t>https://www.codechef.com/problems/RQPU102</t>
        </is>
      </c>
      <c r="K681" s="7" t="inlineStr"/>
      <c r="L681" s="6" t="inlineStr">
        <is>
          <t>codechef</t>
        </is>
      </c>
    </row>
    <row r="682" ht="20" customHeight="1">
      <c r="A682" s="2" t="inlineStr">
        <is>
          <t>Unsolved</t>
        </is>
      </c>
      <c r="B682" s="3" t="inlineStr">
        <is>
          <t>KINGDOM 19 — THE KINGDOM OF SEGMENT TREES</t>
        </is>
      </c>
      <c r="C682" s="3" t="inlineStr">
        <is>
          <t>Pattern 19.2 — Range Query + Point Update</t>
        </is>
      </c>
      <c r="D682" s="2" t="inlineStr">
        <is>
          <t>RQPU103</t>
        </is>
      </c>
      <c r="E682" s="3" t="inlineStr">
        <is>
          <t>Maximum Sum Subarray Range Query Segment Tree</t>
        </is>
      </c>
      <c r="F682" s="10" t="inlineStr">
        <is>
          <t>Hard</t>
        </is>
      </c>
      <c r="G682" s="3" t="inlineStr">
        <is>
          <t>segment tree 4-tuple (sum, pref, suff, max)</t>
        </is>
      </c>
      <c r="H682" s="2" t="n">
        <v>120</v>
      </c>
      <c r="I682" s="2" t="n">
        <v>120</v>
      </c>
      <c r="J682" s="5" t="inlineStr">
        <is>
          <t>https://www.codechef.com/problems/RQPU103</t>
        </is>
      </c>
      <c r="K682" s="3" t="inlineStr"/>
      <c r="L682" s="2" t="inlineStr">
        <is>
          <t>codechef</t>
        </is>
      </c>
    </row>
    <row r="683" ht="20" customHeight="1">
      <c r="A683" s="6" t="inlineStr">
        <is>
          <t>Unsolved</t>
        </is>
      </c>
      <c r="B683" s="7" t="inlineStr">
        <is>
          <t>KINGDOM 19 — THE KINGDOM OF SEGMENT TREES</t>
        </is>
      </c>
      <c r="C683" s="7" t="inlineStr">
        <is>
          <t>Pattern 19.2 — Range Query + Point Update</t>
        </is>
      </c>
      <c r="D683" s="6" t="inlineStr">
        <is>
          <t>RQPU104</t>
        </is>
      </c>
      <c r="E683" s="7" t="inlineStr">
        <is>
          <t>Dynamic Subarray Sum Target Range Query</t>
        </is>
      </c>
      <c r="F683" s="10" t="inlineStr">
        <is>
          <t>Hard</t>
        </is>
      </c>
      <c r="G683" s="7" t="inlineStr">
        <is>
          <t>segment tree state combine</t>
        </is>
      </c>
      <c r="H683" s="6" t="n">
        <v>120</v>
      </c>
      <c r="I683" s="6" t="n">
        <v>120</v>
      </c>
      <c r="J683" s="8" t="inlineStr">
        <is>
          <t>https://www.codechef.com/problems/RQPU104</t>
        </is>
      </c>
      <c r="K683" s="7" t="inlineStr"/>
      <c r="L683" s="6" t="inlineStr">
        <is>
          <t>codechef</t>
        </is>
      </c>
    </row>
    <row r="684" ht="20" customHeight="1">
      <c r="A684" s="2" t="inlineStr">
        <is>
          <t>Unsolved</t>
        </is>
      </c>
      <c r="B684" s="3" t="inlineStr">
        <is>
          <t>KINGDOM 19 — THE KINGDOM OF SEGMENT TREES</t>
        </is>
      </c>
      <c r="C684" s="3" t="inlineStr">
        <is>
          <t>Pattern 19.3 — Lazy Propagation</t>
        </is>
      </c>
      <c r="D684" s="2" t="inlineStr">
        <is>
          <t>LAZYPROP</t>
        </is>
      </c>
      <c r="E684" s="3" t="inlineStr">
        <is>
          <t>Range Add Update Range Sum Query Lazy Segment Tree</t>
        </is>
      </c>
      <c r="F684" s="10" t="inlineStr">
        <is>
          <t>Hard</t>
        </is>
      </c>
      <c r="G684" s="3" t="inlineStr">
        <is>
          <t>segment tree lazy array pushdown</t>
        </is>
      </c>
      <c r="H684" s="2" t="n">
        <v>120</v>
      </c>
      <c r="I684" s="2" t="n">
        <v>120</v>
      </c>
      <c r="J684" s="5" t="inlineStr">
        <is>
          <t>https://www.codechef.com/problems/LAZYPROP</t>
        </is>
      </c>
      <c r="K684" s="3" t="inlineStr"/>
      <c r="L684" s="2" t="inlineStr">
        <is>
          <t>codechef</t>
        </is>
      </c>
    </row>
    <row r="685" ht="20" customHeight="1">
      <c r="A685" s="6" t="inlineStr">
        <is>
          <t>Unsolved</t>
        </is>
      </c>
      <c r="B685" s="7" t="inlineStr">
        <is>
          <t>KINGDOM 19 — THE KINGDOM OF SEGMENT TREES</t>
        </is>
      </c>
      <c r="C685" s="7" t="inlineStr">
        <is>
          <t>Pattern 19.3 — Lazy Propagation</t>
        </is>
      </c>
      <c r="D685" s="6" t="inlineStr">
        <is>
          <t>RANGEADD</t>
        </is>
      </c>
      <c r="E685" s="7" t="inlineStr">
        <is>
          <t>Range Set Value Update Range Min Lazy Segment Tree</t>
        </is>
      </c>
      <c r="F685" s="10" t="inlineStr">
        <is>
          <t>Hard</t>
        </is>
      </c>
      <c r="G685" s="7" t="inlineStr">
        <is>
          <t>segment tree lazy assignment tag</t>
        </is>
      </c>
      <c r="H685" s="6" t="n">
        <v>120</v>
      </c>
      <c r="I685" s="6" t="n">
        <v>120</v>
      </c>
      <c r="J685" s="8" t="inlineStr">
        <is>
          <t>https://www.codechef.com/problems/RANGEADD</t>
        </is>
      </c>
      <c r="K685" s="7" t="inlineStr"/>
      <c r="L685" s="6" t="inlineStr">
        <is>
          <t>codechef</t>
        </is>
      </c>
    </row>
    <row r="686" ht="20" customHeight="1">
      <c r="A686" s="2" t="inlineStr">
        <is>
          <t>Unsolved</t>
        </is>
      </c>
      <c r="B686" s="3" t="inlineStr">
        <is>
          <t>KINGDOM 19 — THE KINGDOM OF SEGMENT TREES</t>
        </is>
      </c>
      <c r="C686" s="3" t="inlineStr">
        <is>
          <t>Pattern 19.3 — Lazy Propagation</t>
        </is>
      </c>
      <c r="D686" s="2" t="inlineStr">
        <is>
          <t>LAZY101</t>
        </is>
      </c>
      <c r="E686" s="3" t="inlineStr">
        <is>
          <t>Range Flip Bits Range Count Ones Lazy Segment Tree</t>
        </is>
      </c>
      <c r="F686" s="10" t="inlineStr">
        <is>
          <t>Hard</t>
        </is>
      </c>
      <c r="G686" s="3" t="inlineStr">
        <is>
          <t>segment tree lazy bit flip tag</t>
        </is>
      </c>
      <c r="H686" s="2" t="n">
        <v>120</v>
      </c>
      <c r="I686" s="2" t="n">
        <v>120</v>
      </c>
      <c r="J686" s="5" t="inlineStr">
        <is>
          <t>https://www.codechef.com/problems/LAZY101</t>
        </is>
      </c>
      <c r="K686" s="3" t="inlineStr"/>
      <c r="L686" s="2" t="inlineStr">
        <is>
          <t>codechef</t>
        </is>
      </c>
    </row>
    <row r="687" ht="20" customHeight="1">
      <c r="A687" s="6" t="inlineStr">
        <is>
          <t>Unsolved</t>
        </is>
      </c>
      <c r="B687" s="7" t="inlineStr">
        <is>
          <t>KINGDOM 19 — THE KINGDOM OF SEGMENT TREES</t>
        </is>
      </c>
      <c r="C687" s="7" t="inlineStr">
        <is>
          <t>Pattern 19.3 — Lazy Propagation</t>
        </is>
      </c>
      <c r="D687" s="6" t="inlineStr">
        <is>
          <t>LAZY102</t>
        </is>
      </c>
      <c r="E687" s="7" t="inlineStr">
        <is>
          <t>Range Affine Transformation Ax + B Lazy Segment Tree</t>
        </is>
      </c>
      <c r="F687" s="10" t="inlineStr">
        <is>
          <t>Hard</t>
        </is>
      </c>
      <c r="G687" s="7" t="inlineStr">
        <is>
          <t>segment tree lazy affine combination (mul, add)</t>
        </is>
      </c>
      <c r="H687" s="6" t="n">
        <v>120</v>
      </c>
      <c r="I687" s="6" t="n">
        <v>120</v>
      </c>
      <c r="J687" s="8" t="inlineStr">
        <is>
          <t>https://www.codechef.com/problems/LAZY102</t>
        </is>
      </c>
      <c r="K687" s="7" t="inlineStr"/>
      <c r="L687" s="6" t="inlineStr">
        <is>
          <t>codechef</t>
        </is>
      </c>
    </row>
    <row r="688" ht="20" customHeight="1">
      <c r="A688" s="2" t="inlineStr">
        <is>
          <t>Unsolved</t>
        </is>
      </c>
      <c r="B688" s="3" t="inlineStr">
        <is>
          <t>KINGDOM 19 — THE KINGDOM OF SEGMENT TREES</t>
        </is>
      </c>
      <c r="C688" s="3" t="inlineStr">
        <is>
          <t>Pattern 19.3 — Lazy Propagation</t>
        </is>
      </c>
      <c r="D688" s="2" t="inlineStr">
        <is>
          <t>LAZY103</t>
        </is>
      </c>
      <c r="E688" s="3" t="inlineStr">
        <is>
          <t>Falling Squares Maximum Height Lazy Segment Tree</t>
        </is>
      </c>
      <c r="F688" s="10" t="inlineStr">
        <is>
          <t>Hard</t>
        </is>
      </c>
      <c r="G688" s="3" t="inlineStr">
        <is>
          <t>coordinate compression lazy segment tree max</t>
        </is>
      </c>
      <c r="H688" s="2" t="n">
        <v>120</v>
      </c>
      <c r="I688" s="2" t="n">
        <v>120</v>
      </c>
      <c r="J688" s="5" t="inlineStr">
        <is>
          <t>https://www.codechef.com/problems/LAZY103</t>
        </is>
      </c>
      <c r="K688" s="3" t="inlineStr"/>
      <c r="L688" s="2" t="inlineStr">
        <is>
          <t>codechef</t>
        </is>
      </c>
    </row>
    <row r="689" ht="20" customHeight="1">
      <c r="A689" s="6" t="inlineStr">
        <is>
          <t>Unsolved</t>
        </is>
      </c>
      <c r="B689" s="7" t="inlineStr">
        <is>
          <t>KINGDOM 19 — THE KINGDOM OF SEGMENT TREES</t>
        </is>
      </c>
      <c r="C689" s="7" t="inlineStr">
        <is>
          <t>Pattern 19.3 — Lazy Propagation</t>
        </is>
      </c>
      <c r="D689" s="6" t="inlineStr">
        <is>
          <t>LAZY104</t>
        </is>
      </c>
      <c r="E689" s="7" t="inlineStr">
        <is>
          <t>Range GCD Update Range Query Lazy Segment Tree</t>
        </is>
      </c>
      <c r="F689" s="11" t="inlineStr">
        <is>
          <t>Expert</t>
        </is>
      </c>
      <c r="G689" s="7" t="inlineStr">
        <is>
          <t>segment tree lazy GCD update</t>
        </is>
      </c>
      <c r="H689" s="6" t="n">
        <v>180</v>
      </c>
      <c r="I689" s="6" t="n">
        <v>180</v>
      </c>
      <c r="J689" s="8" t="inlineStr">
        <is>
          <t>https://www.codechef.com/problems/LAZY104</t>
        </is>
      </c>
      <c r="K689" s="7" t="inlineStr"/>
      <c r="L689" s="6" t="inlineStr">
        <is>
          <t>codechef</t>
        </is>
      </c>
    </row>
    <row r="690" ht="20" customHeight="1">
      <c r="A690" s="2" t="inlineStr">
        <is>
          <t>Unsolved</t>
        </is>
      </c>
      <c r="B690" s="3" t="inlineStr">
        <is>
          <t>KINGDOM 19 — THE KINGDOM OF SEGMENT TREES</t>
        </is>
      </c>
      <c r="C690" s="3" t="inlineStr">
        <is>
          <t>Pattern 19.4 — Merge Sort Tree</t>
        </is>
      </c>
      <c r="D690" s="2" t="inlineStr">
        <is>
          <t>MERGETREE</t>
        </is>
      </c>
      <c r="E690" s="3" t="inlineStr">
        <is>
          <t>Merge Sort Tree Range Kth Element Count</t>
        </is>
      </c>
      <c r="F690" s="10" t="inlineStr">
        <is>
          <t>Hard</t>
        </is>
      </c>
      <c r="G690" s="3" t="inlineStr">
        <is>
          <t>segment tree vector nodes bisect</t>
        </is>
      </c>
      <c r="H690" s="2" t="n">
        <v>120</v>
      </c>
      <c r="I690" s="2" t="n">
        <v>120</v>
      </c>
      <c r="J690" s="5" t="inlineStr">
        <is>
          <t>https://www.codechef.com/problems/MERGETREE</t>
        </is>
      </c>
      <c r="K690" s="3" t="inlineStr"/>
      <c r="L690" s="2" t="inlineStr">
        <is>
          <t>codechef</t>
        </is>
      </c>
    </row>
    <row r="691" ht="20" customHeight="1">
      <c r="A691" s="6" t="inlineStr">
        <is>
          <t>Unsolved</t>
        </is>
      </c>
      <c r="B691" s="7" t="inlineStr">
        <is>
          <t>KINGDOM 19 — THE KINGDOM OF SEGMENT TREES</t>
        </is>
      </c>
      <c r="C691" s="7" t="inlineStr">
        <is>
          <t>Pattern 19.4 — Merge Sort Tree</t>
        </is>
      </c>
      <c r="D691" s="6" t="inlineStr">
        <is>
          <t>KTHMIN</t>
        </is>
      </c>
      <c r="E691" s="7" t="inlineStr">
        <is>
          <t>Merge Sort Tree Range Count Elements Greater Than X</t>
        </is>
      </c>
      <c r="F691" s="10" t="inlineStr">
        <is>
          <t>Hard</t>
        </is>
      </c>
      <c r="G691" s="7" t="inlineStr">
        <is>
          <t>segment tree sorted array nodes</t>
        </is>
      </c>
      <c r="H691" s="6" t="n">
        <v>120</v>
      </c>
      <c r="I691" s="6" t="n">
        <v>120</v>
      </c>
      <c r="J691" s="8" t="inlineStr">
        <is>
          <t>https://www.codechef.com/problems/KTHMIN</t>
        </is>
      </c>
      <c r="K691" s="7" t="inlineStr"/>
      <c r="L691" s="6" t="inlineStr">
        <is>
          <t>codechef</t>
        </is>
      </c>
    </row>
    <row r="692" ht="20" customHeight="1">
      <c r="A692" s="2" t="inlineStr">
        <is>
          <t>Unsolved</t>
        </is>
      </c>
      <c r="B692" s="3" t="inlineStr">
        <is>
          <t>KINGDOM 19 — THE KINGDOM OF SEGMENT TREES</t>
        </is>
      </c>
      <c r="C692" s="3" t="inlineStr">
        <is>
          <t>Pattern 19.4 — Merge Sort Tree</t>
        </is>
      </c>
      <c r="D692" s="2" t="inlineStr">
        <is>
          <t>MST101</t>
        </is>
      </c>
      <c r="E692" s="3" t="inlineStr">
        <is>
          <t>Merge Sort Tree Dynamic Point Update Range Kth</t>
        </is>
      </c>
      <c r="F692" s="11" t="inlineStr">
        <is>
          <t>Expert</t>
        </is>
      </c>
      <c r="G692" s="3" t="inlineStr">
        <is>
          <t>merge sort tree Fenwick vector</t>
        </is>
      </c>
      <c r="H692" s="2" t="n">
        <v>180</v>
      </c>
      <c r="I692" s="2" t="n">
        <v>180</v>
      </c>
      <c r="J692" s="5" t="inlineStr">
        <is>
          <t>https://www.codechef.com/problems/MST101</t>
        </is>
      </c>
      <c r="K692" s="3" t="inlineStr"/>
      <c r="L692" s="2" t="inlineStr">
        <is>
          <t>codechef</t>
        </is>
      </c>
    </row>
    <row r="693" ht="20" customHeight="1">
      <c r="A693" s="6" t="inlineStr">
        <is>
          <t>Unsolved</t>
        </is>
      </c>
      <c r="B693" s="7" t="inlineStr">
        <is>
          <t>KINGDOM 19 — THE KINGDOM OF SEGMENT TREES</t>
        </is>
      </c>
      <c r="C693" s="7" t="inlineStr">
        <is>
          <t>Pattern 19.4 — Merge Sort Tree</t>
        </is>
      </c>
      <c r="D693" s="6" t="inlineStr">
        <is>
          <t>MST102</t>
        </is>
      </c>
      <c r="E693" s="7" t="inlineStr">
        <is>
          <t>Merge Sort Tree Distinct Elements in Range Count</t>
        </is>
      </c>
      <c r="F693" s="10" t="inlineStr">
        <is>
          <t>Hard</t>
        </is>
      </c>
      <c r="G693" s="7" t="inlineStr">
        <is>
          <t>merge sort tree bisect</t>
        </is>
      </c>
      <c r="H693" s="6" t="n">
        <v>120</v>
      </c>
      <c r="I693" s="6" t="n">
        <v>120</v>
      </c>
      <c r="J693" s="8" t="inlineStr">
        <is>
          <t>https://www.codechef.com/problems/MST102</t>
        </is>
      </c>
      <c r="K693" s="7" t="inlineStr"/>
      <c r="L693" s="6" t="inlineStr">
        <is>
          <t>codechef</t>
        </is>
      </c>
    </row>
    <row r="694" ht="20" customHeight="1">
      <c r="A694" s="2" t="inlineStr">
        <is>
          <t>Unsolved</t>
        </is>
      </c>
      <c r="B694" s="3" t="inlineStr">
        <is>
          <t>KINGDOM 19 — THE KINGDOM OF SEGMENT TREES</t>
        </is>
      </c>
      <c r="C694" s="3" t="inlineStr">
        <is>
          <t>Pattern 19.4 — Merge Sort Tree</t>
        </is>
      </c>
      <c r="D694" s="2" t="inlineStr">
        <is>
          <t>MST103</t>
        </is>
      </c>
      <c r="E694" s="3" t="inlineStr">
        <is>
          <t>Merge Sort Tree Range Nearest Neighbor Search</t>
        </is>
      </c>
      <c r="F694" s="10" t="inlineStr">
        <is>
          <t>Hard</t>
        </is>
      </c>
      <c r="G694" s="3" t="inlineStr">
        <is>
          <t>merge sort tree lower_bound</t>
        </is>
      </c>
      <c r="H694" s="2" t="n">
        <v>120</v>
      </c>
      <c r="I694" s="2" t="n">
        <v>120</v>
      </c>
      <c r="J694" s="5" t="inlineStr">
        <is>
          <t>https://www.codechef.com/problems/MST103</t>
        </is>
      </c>
      <c r="K694" s="3" t="inlineStr"/>
      <c r="L694" s="2" t="inlineStr">
        <is>
          <t>codechef</t>
        </is>
      </c>
    </row>
    <row r="695" ht="20" customHeight="1">
      <c r="A695" s="6" t="inlineStr">
        <is>
          <t>Unsolved</t>
        </is>
      </c>
      <c r="B695" s="7" t="inlineStr">
        <is>
          <t>KINGDOM 19 — THE KINGDOM OF SEGMENT TREES</t>
        </is>
      </c>
      <c r="C695" s="7" t="inlineStr">
        <is>
          <t>Pattern 19.4 — Merge Sort Tree</t>
        </is>
      </c>
      <c r="D695" s="6" t="inlineStr">
        <is>
          <t>MST104</t>
        </is>
      </c>
      <c r="E695" s="7" t="inlineStr">
        <is>
          <t>Merge Sort Tree Fractional Cascading Optimization</t>
        </is>
      </c>
      <c r="F695" s="11" t="inlineStr">
        <is>
          <t>Expert</t>
        </is>
      </c>
      <c r="G695" s="7" t="inlineStr">
        <is>
          <t>merge sort tree fractional cascading</t>
        </is>
      </c>
      <c r="H695" s="6" t="n">
        <v>180</v>
      </c>
      <c r="I695" s="6" t="n">
        <v>180</v>
      </c>
      <c r="J695" s="8" t="inlineStr">
        <is>
          <t>https://www.codechef.com/problems/MST104</t>
        </is>
      </c>
      <c r="K695" s="7" t="inlineStr"/>
      <c r="L695" s="6" t="inlineStr">
        <is>
          <t>codechef</t>
        </is>
      </c>
    </row>
    <row r="696" ht="20" customHeight="1">
      <c r="A696" s="2" t="inlineStr">
        <is>
          <t>Unsolved</t>
        </is>
      </c>
      <c r="B696" s="3" t="inlineStr">
        <is>
          <t>KINGDOM 19 — THE KINGDOM OF SEGMENT TREES</t>
        </is>
      </c>
      <c r="C696" s="3" t="inlineStr">
        <is>
          <t>Pattern 19.5 — Persistent Segment Tree</t>
        </is>
      </c>
      <c r="D696" s="2" t="inlineStr">
        <is>
          <t>PERSISTENT1</t>
        </is>
      </c>
      <c r="E696" s="3" t="inlineStr">
        <is>
          <t>Persistent Segment Tree Range Kth Smallest Element</t>
        </is>
      </c>
      <c r="F696" s="10" t="inlineStr">
        <is>
          <t>Hard</t>
        </is>
      </c>
      <c r="G696" s="3" t="inlineStr">
        <is>
          <t>persistent segment tree version pointers</t>
        </is>
      </c>
      <c r="H696" s="2" t="n">
        <v>120</v>
      </c>
      <c r="I696" s="2" t="n">
        <v>120</v>
      </c>
      <c r="J696" s="5" t="inlineStr">
        <is>
          <t>https://www.codechef.com/problems/PERSISTENT1</t>
        </is>
      </c>
      <c r="K696" s="3" t="inlineStr"/>
      <c r="L696" s="2" t="inlineStr">
        <is>
          <t>codechef</t>
        </is>
      </c>
    </row>
    <row r="697" ht="20" customHeight="1">
      <c r="A697" s="6" t="inlineStr">
        <is>
          <t>Unsolved</t>
        </is>
      </c>
      <c r="B697" s="7" t="inlineStr">
        <is>
          <t>KINGDOM 19 — THE KINGDOM OF SEGMENT TREES</t>
        </is>
      </c>
      <c r="C697" s="7" t="inlineStr">
        <is>
          <t>Pattern 19.5 — Persistent Segment Tree</t>
        </is>
      </c>
      <c r="D697" s="6" t="inlineStr">
        <is>
          <t>HISTORICAL</t>
        </is>
      </c>
      <c r="E697" s="7" t="inlineStr">
        <is>
          <t>Persistent Segment Tree Point Update Historical Range Query</t>
        </is>
      </c>
      <c r="F697" s="10" t="inlineStr">
        <is>
          <t>Hard</t>
        </is>
      </c>
      <c r="G697" s="7" t="inlineStr">
        <is>
          <t>persistent segment tree root version history</t>
        </is>
      </c>
      <c r="H697" s="6" t="n">
        <v>120</v>
      </c>
      <c r="I697" s="6" t="n">
        <v>120</v>
      </c>
      <c r="J697" s="8" t="inlineStr">
        <is>
          <t>https://www.codechef.com/problems/HISTORICAL</t>
        </is>
      </c>
      <c r="K697" s="7" t="inlineStr"/>
      <c r="L697" s="6" t="inlineStr">
        <is>
          <t>codechef</t>
        </is>
      </c>
    </row>
    <row r="698" ht="20" customHeight="1">
      <c r="A698" s="2" t="inlineStr">
        <is>
          <t>Unsolved</t>
        </is>
      </c>
      <c r="B698" s="3" t="inlineStr">
        <is>
          <t>KINGDOM 19 — THE KINGDOM OF SEGMENT TREES</t>
        </is>
      </c>
      <c r="C698" s="3" t="inlineStr">
        <is>
          <t>Pattern 19.5 — Persistent Segment Tree</t>
        </is>
      </c>
      <c r="D698" s="2" t="inlineStr">
        <is>
          <t>PST101</t>
        </is>
      </c>
      <c r="E698" s="3" t="inlineStr">
        <is>
          <t>Persistent Segment Tree Distinct Elements Range Query</t>
        </is>
      </c>
      <c r="F698" s="10" t="inlineStr">
        <is>
          <t>Hard</t>
        </is>
      </c>
      <c r="G698" s="3" t="inlineStr">
        <is>
          <t>persistent segment tree offline last pos</t>
        </is>
      </c>
      <c r="H698" s="2" t="n">
        <v>120</v>
      </c>
      <c r="I698" s="2" t="n">
        <v>120</v>
      </c>
      <c r="J698" s="5" t="inlineStr">
        <is>
          <t>https://www.codechef.com/problems/PST101</t>
        </is>
      </c>
      <c r="K698" s="3" t="inlineStr"/>
      <c r="L698" s="2" t="inlineStr">
        <is>
          <t>codechef</t>
        </is>
      </c>
    </row>
    <row r="699" ht="20" customHeight="1">
      <c r="A699" s="6" t="inlineStr">
        <is>
          <t>Unsolved</t>
        </is>
      </c>
      <c r="B699" s="7" t="inlineStr">
        <is>
          <t>KINGDOM 19 — THE KINGDOM OF SEGMENT TREES</t>
        </is>
      </c>
      <c r="C699" s="7" t="inlineStr">
        <is>
          <t>Pattern 19.5 — Persistent Segment Tree</t>
        </is>
      </c>
      <c r="D699" s="6" t="inlineStr">
        <is>
          <t>PST102</t>
        </is>
      </c>
      <c r="E699" s="7" t="inlineStr">
        <is>
          <t>Persistent Segment Tree Tree Path Kth Element LCA</t>
        </is>
      </c>
      <c r="F699" s="11" t="inlineStr">
        <is>
          <t>Expert</t>
        </is>
      </c>
      <c r="G699" s="7" t="inlineStr">
        <is>
          <t>persistent segment tree tree nodes LCA</t>
        </is>
      </c>
      <c r="H699" s="6" t="n">
        <v>180</v>
      </c>
      <c r="I699" s="6" t="n">
        <v>180</v>
      </c>
      <c r="J699" s="8" t="inlineStr">
        <is>
          <t>https://www.codechef.com/problems/PST102</t>
        </is>
      </c>
      <c r="K699" s="7" t="inlineStr"/>
      <c r="L699" s="6" t="inlineStr">
        <is>
          <t>codechef</t>
        </is>
      </c>
    </row>
    <row r="700" ht="20" customHeight="1">
      <c r="A700" s="2" t="inlineStr">
        <is>
          <t>Unsolved</t>
        </is>
      </c>
      <c r="B700" s="3" t="inlineStr">
        <is>
          <t>KINGDOM 19 — THE KINGDOM OF SEGMENT TREES</t>
        </is>
      </c>
      <c r="C700" s="3" t="inlineStr">
        <is>
          <t>Pattern 19.5 — Persistent Segment Tree</t>
        </is>
      </c>
      <c r="D700" s="2" t="inlineStr">
        <is>
          <t>PST103</t>
        </is>
      </c>
      <c r="E700" s="3" t="inlineStr">
        <is>
          <t>Persistent Segment Tree Range Substring Hash Version</t>
        </is>
      </c>
      <c r="F700" s="11" t="inlineStr">
        <is>
          <t>Expert</t>
        </is>
      </c>
      <c r="G700" s="3" t="inlineStr">
        <is>
          <t>persistent segment tree rolling hash</t>
        </is>
      </c>
      <c r="H700" s="2" t="n">
        <v>180</v>
      </c>
      <c r="I700" s="2" t="n">
        <v>180</v>
      </c>
      <c r="J700" s="5" t="inlineStr">
        <is>
          <t>https://www.codechef.com/problems/PST103</t>
        </is>
      </c>
      <c r="K700" s="3" t="inlineStr"/>
      <c r="L700" s="2" t="inlineStr">
        <is>
          <t>codechef</t>
        </is>
      </c>
    </row>
    <row r="701" ht="20" customHeight="1">
      <c r="A701" s="6" t="inlineStr">
        <is>
          <t>Unsolved</t>
        </is>
      </c>
      <c r="B701" s="7" t="inlineStr">
        <is>
          <t>KINGDOM 19 — THE KINGDOM OF SEGMENT TREES</t>
        </is>
      </c>
      <c r="C701" s="7" t="inlineStr">
        <is>
          <t>Pattern 19.5 — Persistent Segment Tree</t>
        </is>
      </c>
      <c r="D701" s="6" t="inlineStr">
        <is>
          <t>PST104</t>
        </is>
      </c>
      <c r="E701" s="7" t="inlineStr">
        <is>
          <t>Persistent Segment Tree Functional Graph Range Query</t>
        </is>
      </c>
      <c r="F701" s="11" t="inlineStr">
        <is>
          <t>Expert</t>
        </is>
      </c>
      <c r="G701" s="7" t="inlineStr">
        <is>
          <t>persistent segment tree version jumps</t>
        </is>
      </c>
      <c r="H701" s="6" t="n">
        <v>180</v>
      </c>
      <c r="I701" s="6" t="n">
        <v>180</v>
      </c>
      <c r="J701" s="8" t="inlineStr">
        <is>
          <t>https://www.codechef.com/problems/PST104</t>
        </is>
      </c>
      <c r="K701" s="7" t="inlineStr"/>
      <c r="L701" s="6" t="inlineStr">
        <is>
          <t>codechef</t>
        </is>
      </c>
    </row>
    <row r="702" ht="20" customHeight="1">
      <c r="A702" s="2" t="inlineStr">
        <is>
          <t>Unsolved</t>
        </is>
      </c>
      <c r="B702" s="3" t="inlineStr">
        <is>
          <t>KINGDOM 19 — THE KINGDOM OF SEGMENT TREES</t>
        </is>
      </c>
      <c r="C702" s="3" t="inlineStr">
        <is>
          <t>Pattern 19.6 — Dynamic Segment Tree</t>
        </is>
      </c>
      <c r="D702" s="2" t="inlineStr">
        <is>
          <t>DYNSEGTREE</t>
        </is>
      </c>
      <c r="E702" s="3" t="inlineStr">
        <is>
          <t>Dynamic Segment Tree Sparse Coordinate Memory Node</t>
        </is>
      </c>
      <c r="F702" s="10" t="inlineStr">
        <is>
          <t>Hard</t>
        </is>
      </c>
      <c r="G702" s="3" t="inlineStr">
        <is>
          <t>dynamic segment tree pointer allocation left right</t>
        </is>
      </c>
      <c r="H702" s="2" t="n">
        <v>120</v>
      </c>
      <c r="I702" s="2" t="n">
        <v>120</v>
      </c>
      <c r="J702" s="5" t="inlineStr">
        <is>
          <t>https://www.codechef.com/problems/DYNSEGTREE</t>
        </is>
      </c>
      <c r="K702" s="3" t="inlineStr"/>
      <c r="L702" s="2" t="inlineStr">
        <is>
          <t>codechef</t>
        </is>
      </c>
    </row>
    <row r="703" ht="20" customHeight="1">
      <c r="A703" s="6" t="inlineStr">
        <is>
          <t>Unsolved</t>
        </is>
      </c>
      <c r="B703" s="7" t="inlineStr">
        <is>
          <t>KINGDOM 19 — THE KINGDOM OF SEGMENT TREES</t>
        </is>
      </c>
      <c r="C703" s="7" t="inlineStr">
        <is>
          <t>Pattern 19.6 — Dynamic Segment Tree</t>
        </is>
      </c>
      <c r="D703" s="6" t="inlineStr">
        <is>
          <t>SPARSEST</t>
        </is>
      </c>
      <c r="E703" s="7" t="inlineStr">
        <is>
          <t>Dynamic Segment Tree 1D Coordinate Range 10^9</t>
        </is>
      </c>
      <c r="F703" s="10" t="inlineStr">
        <is>
          <t>Hard</t>
        </is>
      </c>
      <c r="G703" s="7" t="inlineStr">
        <is>
          <t>dynamic segment tree lazy pointer node creation</t>
        </is>
      </c>
      <c r="H703" s="6" t="n">
        <v>120</v>
      </c>
      <c r="I703" s="6" t="n">
        <v>120</v>
      </c>
      <c r="J703" s="8" t="inlineStr">
        <is>
          <t>https://www.codechef.com/problems/SPARSEST</t>
        </is>
      </c>
      <c r="K703" s="7" t="inlineStr"/>
      <c r="L703" s="6" t="inlineStr">
        <is>
          <t>codechef</t>
        </is>
      </c>
    </row>
    <row r="704" ht="20" customHeight="1">
      <c r="A704" s="2" t="inlineStr">
        <is>
          <t>Unsolved</t>
        </is>
      </c>
      <c r="B704" s="3" t="inlineStr">
        <is>
          <t>KINGDOM 19 — THE KINGDOM OF SEGMENT TREES</t>
        </is>
      </c>
      <c r="C704" s="3" t="inlineStr">
        <is>
          <t>Pattern 19.6 — Dynamic Segment Tree</t>
        </is>
      </c>
      <c r="D704" s="2" t="inlineStr">
        <is>
          <t>DST101</t>
        </is>
      </c>
      <c r="E704" s="3" t="inlineStr">
        <is>
          <t>Dynamic Segment Tree 2D Range Sum Query</t>
        </is>
      </c>
      <c r="F704" s="11" t="inlineStr">
        <is>
          <t>Expert</t>
        </is>
      </c>
      <c r="G704" s="3" t="inlineStr">
        <is>
          <t>2D dynamic segment tree nested nodes</t>
        </is>
      </c>
      <c r="H704" s="2" t="n">
        <v>180</v>
      </c>
      <c r="I704" s="2" t="n">
        <v>180</v>
      </c>
      <c r="J704" s="5" t="inlineStr">
        <is>
          <t>https://www.codechef.com/problems/DST101</t>
        </is>
      </c>
      <c r="K704" s="3" t="inlineStr"/>
      <c r="L704" s="2" t="inlineStr">
        <is>
          <t>codechef</t>
        </is>
      </c>
    </row>
    <row r="705" ht="20" customHeight="1">
      <c r="A705" s="6" t="inlineStr">
        <is>
          <t>Unsolved</t>
        </is>
      </c>
      <c r="B705" s="7" t="inlineStr">
        <is>
          <t>KINGDOM 19 — THE KINGDOM OF SEGMENT TREES</t>
        </is>
      </c>
      <c r="C705" s="7" t="inlineStr">
        <is>
          <t>Pattern 19.6 — Dynamic Segment Tree</t>
        </is>
      </c>
      <c r="D705" s="6" t="inlineStr">
        <is>
          <t>DST102</t>
        </is>
      </c>
      <c r="E705" s="7" t="inlineStr">
        <is>
          <t>Dynamic Segment Tree Segment Tree Merging on Trees</t>
        </is>
      </c>
      <c r="F705" s="11" t="inlineStr">
        <is>
          <t>Expert</t>
        </is>
      </c>
      <c r="G705" s="7" t="inlineStr">
        <is>
          <t>segment tree merge Sack / subtree</t>
        </is>
      </c>
      <c r="H705" s="6" t="n">
        <v>180</v>
      </c>
      <c r="I705" s="6" t="n">
        <v>180</v>
      </c>
      <c r="J705" s="8" t="inlineStr">
        <is>
          <t>https://www.codechef.com/problems/DST102</t>
        </is>
      </c>
      <c r="K705" s="7" t="inlineStr"/>
      <c r="L705" s="6" t="inlineStr">
        <is>
          <t>codechef</t>
        </is>
      </c>
    </row>
    <row r="706" ht="20" customHeight="1">
      <c r="A706" s="2" t="inlineStr">
        <is>
          <t>Unsolved</t>
        </is>
      </c>
      <c r="B706" s="3" t="inlineStr">
        <is>
          <t>KINGDOM 19 — THE KINGDOM OF SEGMENT TREES</t>
        </is>
      </c>
      <c r="C706" s="3" t="inlineStr">
        <is>
          <t>Pattern 19.6 — Dynamic Segment Tree</t>
        </is>
      </c>
      <c r="D706" s="2" t="inlineStr">
        <is>
          <t>DST103</t>
        </is>
      </c>
      <c r="E706" s="3" t="inlineStr">
        <is>
          <t>Dynamic Segment Tree Subtree Distinct Color Count</t>
        </is>
      </c>
      <c r="F706" s="11" t="inlineStr">
        <is>
          <t>Expert</t>
        </is>
      </c>
      <c r="G706" s="3" t="inlineStr">
        <is>
          <t>segment tree merging tree colors</t>
        </is>
      </c>
      <c r="H706" s="2" t="n">
        <v>180</v>
      </c>
      <c r="I706" s="2" t="n">
        <v>180</v>
      </c>
      <c r="J706" s="5" t="inlineStr">
        <is>
          <t>https://www.codechef.com/problems/DST103</t>
        </is>
      </c>
      <c r="K706" s="3" t="inlineStr"/>
      <c r="L706" s="2" t="inlineStr">
        <is>
          <t>codechef</t>
        </is>
      </c>
    </row>
    <row r="707" ht="20" customHeight="1">
      <c r="A707" s="6" t="inlineStr">
        <is>
          <t>Unsolved</t>
        </is>
      </c>
      <c r="B707" s="7" t="inlineStr">
        <is>
          <t>KINGDOM 19 — THE KINGDOM OF SEGMENT TREES</t>
        </is>
      </c>
      <c r="C707" s="7" t="inlineStr">
        <is>
          <t>Pattern 19.6 — Dynamic Segment Tree</t>
        </is>
      </c>
      <c r="D707" s="6" t="inlineStr">
        <is>
          <t>DST104</t>
        </is>
      </c>
      <c r="E707" s="7" t="inlineStr">
        <is>
          <t>Dynamic Segment Tree Online Intersecting Intervals Count</t>
        </is>
      </c>
      <c r="F707" s="10" t="inlineStr">
        <is>
          <t>Hard</t>
        </is>
      </c>
      <c r="G707" s="7" t="inlineStr">
        <is>
          <t>dynamic segment tree range update</t>
        </is>
      </c>
      <c r="H707" s="6" t="n">
        <v>120</v>
      </c>
      <c r="I707" s="6" t="n">
        <v>120</v>
      </c>
      <c r="J707" s="8" t="inlineStr">
        <is>
          <t>https://www.codechef.com/problems/DST104</t>
        </is>
      </c>
      <c r="K707" s="7" t="inlineStr"/>
      <c r="L707" s="6" t="inlineStr">
        <is>
          <t>codechef</t>
        </is>
      </c>
    </row>
    <row r="708" ht="20" customHeight="1">
      <c r="A708" s="2" t="inlineStr">
        <is>
          <t>Unsolved</t>
        </is>
      </c>
      <c r="B708" s="3" t="inlineStr">
        <is>
          <t>KINGDOM 20 — THE KINGDOM OF FENWICK TREE (BIT)</t>
        </is>
      </c>
      <c r="C708" s="3" t="inlineStr">
        <is>
          <t>Pattern 20.1 — Basic BIT</t>
        </is>
      </c>
      <c r="D708" s="2" t="inlineStr">
        <is>
          <t>BIT1</t>
        </is>
      </c>
      <c r="E708" s="3" t="inlineStr">
        <is>
          <t>Fenwick Tree Binary Indexed Tree Point Update Prefix Sum</t>
        </is>
      </c>
      <c r="F708" s="9" t="inlineStr">
        <is>
          <t>Medium</t>
        </is>
      </c>
      <c r="G708" s="3" t="inlineStr">
        <is>
          <t>BIT tree array 1-indexed i += i &amp; -i</t>
        </is>
      </c>
      <c r="H708" s="2" t="n">
        <v>60</v>
      </c>
      <c r="I708" s="2" t="n">
        <v>55</v>
      </c>
      <c r="J708" s="5" t="inlineStr">
        <is>
          <t>https://www.codechef.com/problems/BIT1</t>
        </is>
      </c>
      <c r="K708" s="3" t="inlineStr"/>
      <c r="L708" s="2" t="inlineStr">
        <is>
          <t>codechef</t>
        </is>
      </c>
    </row>
    <row r="709" ht="20" customHeight="1">
      <c r="A709" s="6" t="inlineStr">
        <is>
          <t>Unsolved</t>
        </is>
      </c>
      <c r="B709" s="7" t="inlineStr">
        <is>
          <t>KINGDOM 20 — THE KINGDOM OF FENWICK TREE (BIT)</t>
        </is>
      </c>
      <c r="C709" s="7" t="inlineStr">
        <is>
          <t>Pattern 20.1 — Basic BIT</t>
        </is>
      </c>
      <c r="D709" s="6" t="inlineStr">
        <is>
          <t>FENWICK1</t>
        </is>
      </c>
      <c r="E709" s="7" t="inlineStr">
        <is>
          <t>Range Sum Query Mutable Fenwick Tree</t>
        </is>
      </c>
      <c r="F709" s="9" t="inlineStr">
        <is>
          <t>Medium</t>
        </is>
      </c>
      <c r="G709" s="7" t="inlineStr">
        <is>
          <t>BIT prefix sum difference query(R) - query(L-1)</t>
        </is>
      </c>
      <c r="H709" s="6" t="n">
        <v>60</v>
      </c>
      <c r="I709" s="6" t="n">
        <v>55</v>
      </c>
      <c r="J709" s="8" t="inlineStr">
        <is>
          <t>https://www.codechef.com/problems/FENWICK1</t>
        </is>
      </c>
      <c r="K709" s="7" t="inlineStr"/>
      <c r="L709" s="6" t="inlineStr">
        <is>
          <t>codechef</t>
        </is>
      </c>
    </row>
    <row r="710" ht="20" customHeight="1">
      <c r="A710" s="2" t="inlineStr">
        <is>
          <t>Unsolved</t>
        </is>
      </c>
      <c r="B710" s="3" t="inlineStr">
        <is>
          <t>KINGDOM 20 — THE KINGDOM OF FENWICK TREE (BIT)</t>
        </is>
      </c>
      <c r="C710" s="3" t="inlineStr">
        <is>
          <t>Pattern 20.1 — Basic BIT</t>
        </is>
      </c>
      <c r="D710" s="2" t="inlineStr">
        <is>
          <t>BBIT101</t>
        </is>
      </c>
      <c r="E710" s="3" t="inlineStr">
        <is>
          <t>Fenwick Tree Point Increase Range Min Query (Prefix Min)</t>
        </is>
      </c>
      <c r="F710" s="9" t="inlineStr">
        <is>
          <t>Medium</t>
        </is>
      </c>
      <c r="G710" s="3" t="inlineStr">
        <is>
          <t>BIT prefix min update</t>
        </is>
      </c>
      <c r="H710" s="2" t="n">
        <v>60</v>
      </c>
      <c r="I710" s="2" t="n">
        <v>55</v>
      </c>
      <c r="J710" s="5" t="inlineStr">
        <is>
          <t>https://www.codechef.com/problems/BBIT101</t>
        </is>
      </c>
      <c r="K710" s="3" t="inlineStr"/>
      <c r="L710" s="2" t="inlineStr">
        <is>
          <t>codechef</t>
        </is>
      </c>
    </row>
    <row r="711" ht="20" customHeight="1">
      <c r="A711" s="6" t="inlineStr">
        <is>
          <t>Unsolved</t>
        </is>
      </c>
      <c r="B711" s="7" t="inlineStr">
        <is>
          <t>KINGDOM 20 — THE KINGDOM OF FENWICK TREE (BIT)</t>
        </is>
      </c>
      <c r="C711" s="7" t="inlineStr">
        <is>
          <t>Pattern 20.1 — Basic BIT</t>
        </is>
      </c>
      <c r="D711" s="6" t="inlineStr">
        <is>
          <t>BBIT102</t>
        </is>
      </c>
      <c r="E711" s="7" t="inlineStr">
        <is>
          <t>Fenwick Tree 2D Grid Point Update Prefix Sum</t>
        </is>
      </c>
      <c r="F711" s="10" t="inlineStr">
        <is>
          <t>Hard</t>
        </is>
      </c>
      <c r="G711" s="7" t="inlineStr">
        <is>
          <t>2D Fenwick Tree nested loops</t>
        </is>
      </c>
      <c r="H711" s="6" t="n">
        <v>120</v>
      </c>
      <c r="I711" s="6" t="n">
        <v>120</v>
      </c>
      <c r="J711" s="8" t="inlineStr">
        <is>
          <t>https://www.codechef.com/problems/BBIT102</t>
        </is>
      </c>
      <c r="K711" s="7" t="inlineStr"/>
      <c r="L711" s="6" t="inlineStr">
        <is>
          <t>codechef</t>
        </is>
      </c>
    </row>
    <row r="712" ht="20" customHeight="1">
      <c r="A712" s="2" t="inlineStr">
        <is>
          <t>Unsolved</t>
        </is>
      </c>
      <c r="B712" s="3" t="inlineStr">
        <is>
          <t>KINGDOM 20 — THE KINGDOM OF FENWICK TREE (BIT)</t>
        </is>
      </c>
      <c r="C712" s="3" t="inlineStr">
        <is>
          <t>Pattern 20.1 — Basic BIT</t>
        </is>
      </c>
      <c r="D712" s="2" t="inlineStr">
        <is>
          <t>BBIT103</t>
        </is>
      </c>
      <c r="E712" s="3" t="inlineStr">
        <is>
          <t>Fenwick Tree Multi-Dimensional Bitwise Operations</t>
        </is>
      </c>
      <c r="F712" s="10" t="inlineStr">
        <is>
          <t>Hard</t>
        </is>
      </c>
      <c r="G712" s="3" t="inlineStr">
        <is>
          <t>n-dimensional BIT</t>
        </is>
      </c>
      <c r="H712" s="2" t="n">
        <v>120</v>
      </c>
      <c r="I712" s="2" t="n">
        <v>120</v>
      </c>
      <c r="J712" s="5" t="inlineStr">
        <is>
          <t>https://www.codechef.com/problems/BBIT103</t>
        </is>
      </c>
      <c r="K712" s="3" t="inlineStr"/>
      <c r="L712" s="2" t="inlineStr">
        <is>
          <t>codechef</t>
        </is>
      </c>
    </row>
    <row r="713" ht="20" customHeight="1">
      <c r="A713" s="6" t="inlineStr">
        <is>
          <t>Unsolved</t>
        </is>
      </c>
      <c r="B713" s="7" t="inlineStr">
        <is>
          <t>KINGDOM 20 — THE KINGDOM OF FENWICK TREE (BIT)</t>
        </is>
      </c>
      <c r="C713" s="7" t="inlineStr">
        <is>
          <t>Pattern 20.2 — Prefix Sum BIT</t>
        </is>
      </c>
      <c r="D713" s="6" t="inlineStr">
        <is>
          <t>BITPREFIX</t>
        </is>
      </c>
      <c r="E713" s="7" t="inlineStr">
        <is>
          <t>Fenwick Tree Range Update Point Query Difference Array BIT</t>
        </is>
      </c>
      <c r="F713" s="9" t="inlineStr">
        <is>
          <t>Medium</t>
        </is>
      </c>
      <c r="G713" s="7" t="inlineStr">
        <is>
          <t>Difference array BIT add(L, val) add(R+1, -val)</t>
        </is>
      </c>
      <c r="H713" s="6" t="n">
        <v>60</v>
      </c>
      <c r="I713" s="6" t="n">
        <v>55</v>
      </c>
      <c r="J713" s="8" t="inlineStr">
        <is>
          <t>https://www.codechef.com/problems/BITPREFIX</t>
        </is>
      </c>
      <c r="K713" s="7" t="inlineStr"/>
      <c r="L713" s="6" t="inlineStr">
        <is>
          <t>codechef</t>
        </is>
      </c>
    </row>
    <row r="714" ht="20" customHeight="1">
      <c r="A714" s="2" t="inlineStr">
        <is>
          <t>Unsolved</t>
        </is>
      </c>
      <c r="B714" s="3" t="inlineStr">
        <is>
          <t>KINGDOM 20 — THE KINGDOM OF FENWICK TREE (BIT)</t>
        </is>
      </c>
      <c r="C714" s="3" t="inlineStr">
        <is>
          <t>Pattern 20.2 — Prefix Sum BIT</t>
        </is>
      </c>
      <c r="D714" s="2" t="inlineStr">
        <is>
          <t>RANGEBIT</t>
        </is>
      </c>
      <c r="E714" s="3" t="inlineStr">
        <is>
          <t>Fenwick Tree Range Update Range Sum Query Dual BIT</t>
        </is>
      </c>
      <c r="F714" s="10" t="inlineStr">
        <is>
          <t>Hard</t>
        </is>
      </c>
      <c r="G714" s="3" t="inlineStr">
        <is>
          <t>Dual BIT D1 D2 formula B[i] * i - C[i]</t>
        </is>
      </c>
      <c r="H714" s="2" t="n">
        <v>120</v>
      </c>
      <c r="I714" s="2" t="n">
        <v>120</v>
      </c>
      <c r="J714" s="5" t="inlineStr">
        <is>
          <t>https://www.codechef.com/problems/RANGEBIT</t>
        </is>
      </c>
      <c r="K714" s="3" t="inlineStr"/>
      <c r="L714" s="2" t="inlineStr">
        <is>
          <t>codechef</t>
        </is>
      </c>
    </row>
    <row r="715" ht="20" customHeight="1">
      <c r="A715" s="6" t="inlineStr">
        <is>
          <t>Unsolved</t>
        </is>
      </c>
      <c r="B715" s="7" t="inlineStr">
        <is>
          <t>KINGDOM 20 — THE KINGDOM OF FENWICK TREE (BIT)</t>
        </is>
      </c>
      <c r="C715" s="7" t="inlineStr">
        <is>
          <t>Pattern 20.2 — Prefix Sum BIT</t>
        </is>
      </c>
      <c r="D715" s="6" t="inlineStr">
        <is>
          <t>PSBIT101</t>
        </is>
      </c>
      <c r="E715" s="7" t="inlineStr">
        <is>
          <t>Count Inversions in Array Fenwick Tree</t>
        </is>
      </c>
      <c r="F715" s="9" t="inlineStr">
        <is>
          <t>Medium</t>
        </is>
      </c>
      <c r="G715" s="7" t="inlineStr">
        <is>
          <t>Coordinate compression BIT count inversion</t>
        </is>
      </c>
      <c r="H715" s="6" t="n">
        <v>60</v>
      </c>
      <c r="I715" s="6" t="n">
        <v>55</v>
      </c>
      <c r="J715" s="8" t="inlineStr">
        <is>
          <t>https://www.codechef.com/problems/PSBIT101</t>
        </is>
      </c>
      <c r="K715" s="7" t="inlineStr"/>
      <c r="L715" s="6" t="inlineStr">
        <is>
          <t>codechef</t>
        </is>
      </c>
    </row>
    <row r="716" ht="20" customHeight="1">
      <c r="A716" s="2" t="inlineStr">
        <is>
          <t>Unsolved</t>
        </is>
      </c>
      <c r="B716" s="3" t="inlineStr">
        <is>
          <t>KINGDOM 20 — THE KINGDOM OF FENWICK TREE (BIT)</t>
        </is>
      </c>
      <c r="C716" s="3" t="inlineStr">
        <is>
          <t>Pattern 20.2 — Prefix Sum BIT</t>
        </is>
      </c>
      <c r="D716" s="2" t="inlineStr">
        <is>
          <t>PSBIT102</t>
        </is>
      </c>
      <c r="E716" s="3" t="inlineStr">
        <is>
          <t>Create Sorted Array through Instructions Fenwick Tree</t>
        </is>
      </c>
      <c r="F716" s="10" t="inlineStr">
        <is>
          <t>Hard</t>
        </is>
      </c>
      <c r="G716" s="3" t="inlineStr">
        <is>
          <t>BIT count less count greater min cost</t>
        </is>
      </c>
      <c r="H716" s="2" t="n">
        <v>120</v>
      </c>
      <c r="I716" s="2" t="n">
        <v>120</v>
      </c>
      <c r="J716" s="5" t="inlineStr">
        <is>
          <t>https://www.codechef.com/problems/PSBIT102</t>
        </is>
      </c>
      <c r="K716" s="3" t="inlineStr"/>
      <c r="L716" s="2" t="inlineStr">
        <is>
          <t>codechef</t>
        </is>
      </c>
    </row>
    <row r="717" ht="20" customHeight="1">
      <c r="A717" s="6" t="inlineStr">
        <is>
          <t>Unsolved</t>
        </is>
      </c>
      <c r="B717" s="7" t="inlineStr">
        <is>
          <t>KINGDOM 20 — THE KINGDOM OF FENWICK TREE (BIT)</t>
        </is>
      </c>
      <c r="C717" s="7" t="inlineStr">
        <is>
          <t>Pattern 20.2 — Prefix Sum BIT</t>
        </is>
      </c>
      <c r="D717" s="6" t="inlineStr">
        <is>
          <t>PSBIT103</t>
        </is>
      </c>
      <c r="E717" s="7" t="inlineStr">
        <is>
          <t>Rank Teams by Votes Fenwick Frequency</t>
        </is>
      </c>
      <c r="F717" s="9" t="inlineStr">
        <is>
          <t>Medium</t>
        </is>
      </c>
      <c r="G717" s="7" t="inlineStr">
        <is>
          <t>BIT rank frequency</t>
        </is>
      </c>
      <c r="H717" s="6" t="n">
        <v>60</v>
      </c>
      <c r="I717" s="6" t="n">
        <v>55</v>
      </c>
      <c r="J717" s="8" t="inlineStr">
        <is>
          <t>https://www.codechef.com/problems/PSBIT103</t>
        </is>
      </c>
      <c r="K717" s="7" t="inlineStr"/>
      <c r="L717" s="6" t="inlineStr">
        <is>
          <t>codechef</t>
        </is>
      </c>
    </row>
    <row r="718" ht="20" customHeight="1">
      <c r="A718" s="2" t="inlineStr">
        <is>
          <t>Unsolved</t>
        </is>
      </c>
      <c r="B718" s="3" t="inlineStr">
        <is>
          <t>KINGDOM 20 — THE KINGDOM OF FENWICK TREE (BIT)</t>
        </is>
      </c>
      <c r="C718" s="3" t="inlineStr">
        <is>
          <t>Pattern 20.4 — BIT + Coordinate Compression</t>
        </is>
      </c>
      <c r="D718" s="2" t="inlineStr">
        <is>
          <t>BITCOMPRESS</t>
        </is>
      </c>
      <c r="E718" s="3" t="inlineStr">
        <is>
          <t>Fenwick Tree Coordinate Compression Range Query</t>
        </is>
      </c>
      <c r="F718" s="9" t="inlineStr">
        <is>
          <t>Medium</t>
        </is>
      </c>
      <c r="G718" s="3" t="inlineStr">
        <is>
          <t>bisect sorted unique values BIT</t>
        </is>
      </c>
      <c r="H718" s="2" t="n">
        <v>60</v>
      </c>
      <c r="I718" s="2" t="n">
        <v>55</v>
      </c>
      <c r="J718" s="5" t="inlineStr">
        <is>
          <t>https://www.codechef.com/problems/BITCOMPRESS</t>
        </is>
      </c>
      <c r="K718" s="3" t="inlineStr"/>
      <c r="L718" s="2" t="inlineStr">
        <is>
          <t>codechef</t>
        </is>
      </c>
    </row>
    <row r="719" ht="20" customHeight="1">
      <c r="A719" s="6" t="inlineStr">
        <is>
          <t>Unsolved</t>
        </is>
      </c>
      <c r="B719" s="7" t="inlineStr">
        <is>
          <t>KINGDOM 20 — THE KINGDOM OF FENWICK TREE (BIT)</t>
        </is>
      </c>
      <c r="C719" s="7" t="inlineStr">
        <is>
          <t>Pattern 20.4 — BIT + Coordinate Compression</t>
        </is>
      </c>
      <c r="D719" s="6" t="inlineStr">
        <is>
          <t>BITCC101</t>
        </is>
      </c>
      <c r="E719" s="7" t="inlineStr">
        <is>
          <t>Count of Smaller Numbers After Self Fenwick Tree</t>
        </is>
      </c>
      <c r="F719" s="10" t="inlineStr">
        <is>
          <t>Hard</t>
        </is>
      </c>
      <c r="G719" s="7" t="inlineStr">
        <is>
          <t>Coordinate compression reverse iteration BIT</t>
        </is>
      </c>
      <c r="H719" s="6" t="n">
        <v>120</v>
      </c>
      <c r="I719" s="6" t="n">
        <v>120</v>
      </c>
      <c r="J719" s="8" t="inlineStr">
        <is>
          <t>https://www.codechef.com/problems/BITCC101</t>
        </is>
      </c>
      <c r="K719" s="7" t="inlineStr"/>
      <c r="L719" s="6" t="inlineStr">
        <is>
          <t>codechef</t>
        </is>
      </c>
    </row>
    <row r="720" ht="20" customHeight="1">
      <c r="A720" s="2" t="inlineStr">
        <is>
          <t>Unsolved</t>
        </is>
      </c>
      <c r="B720" s="3" t="inlineStr">
        <is>
          <t>KINGDOM 20 — THE KINGDOM OF FENWICK TREE (BIT)</t>
        </is>
      </c>
      <c r="C720" s="3" t="inlineStr">
        <is>
          <t>Pattern 20.4 — BIT + Coordinate Compression</t>
        </is>
      </c>
      <c r="D720" s="2" t="inlineStr">
        <is>
          <t>BITCC102</t>
        </is>
      </c>
      <c r="E720" s="3" t="inlineStr">
        <is>
          <t>Longest Increasing Subsequence LIS Fenwick Tree</t>
        </is>
      </c>
      <c r="F720" s="10" t="inlineStr">
        <is>
          <t>Medium-Hard</t>
        </is>
      </c>
      <c r="G720" s="3" t="inlineStr">
        <is>
          <t>Coordinate compression BIT DP LIS max</t>
        </is>
      </c>
      <c r="H720" s="2" t="n">
        <v>90</v>
      </c>
      <c r="I720" s="2" t="n">
        <v>80</v>
      </c>
      <c r="J720" s="5" t="inlineStr">
        <is>
          <t>https://www.codechef.com/problems/BITCC102</t>
        </is>
      </c>
      <c r="K720" s="3" t="inlineStr"/>
      <c r="L720" s="2" t="inlineStr">
        <is>
          <t>codechef</t>
        </is>
      </c>
    </row>
    <row r="721" ht="20" customHeight="1">
      <c r="A721" s="6" t="inlineStr">
        <is>
          <t>Unsolved</t>
        </is>
      </c>
      <c r="B721" s="7" t="inlineStr">
        <is>
          <t>KINGDOM 20 — THE KINGDOM OF FENWICK TREE (BIT)</t>
        </is>
      </c>
      <c r="C721" s="7" t="inlineStr">
        <is>
          <t>Pattern 20.4 — BIT + Coordinate Compression</t>
        </is>
      </c>
      <c r="D721" s="6" t="inlineStr">
        <is>
          <t>BITCC103</t>
        </is>
      </c>
      <c r="E721" s="7" t="inlineStr">
        <is>
          <t>Number of Pairs Satisfying Inequality Fenwick Tree</t>
        </is>
      </c>
      <c r="F721" s="10" t="inlineStr">
        <is>
          <t>Hard</t>
        </is>
      </c>
      <c r="G721" s="7" t="inlineStr">
        <is>
          <t>nums1[i] - nums2[i] diff array BIT bisect</t>
        </is>
      </c>
      <c r="H721" s="6" t="n">
        <v>120</v>
      </c>
      <c r="I721" s="6" t="n">
        <v>120</v>
      </c>
      <c r="J721" s="8" t="inlineStr">
        <is>
          <t>https://www.codechef.com/problems/BITCC103</t>
        </is>
      </c>
      <c r="K721" s="7" t="inlineStr"/>
      <c r="L721" s="6" t="inlineStr">
        <is>
          <t>codechef</t>
        </is>
      </c>
    </row>
    <row r="722" ht="20" customHeight="1">
      <c r="A722" s="2" t="inlineStr">
        <is>
          <t>Unsolved</t>
        </is>
      </c>
      <c r="B722" s="3" t="inlineStr">
        <is>
          <t>KINGDOM 20 — THE KINGDOM OF FENWICK TREE (BIT)</t>
        </is>
      </c>
      <c r="C722" s="3" t="inlineStr">
        <is>
          <t>Pattern 20.4 — BIT + Coordinate Compression</t>
        </is>
      </c>
      <c r="D722" s="2" t="inlineStr">
        <is>
          <t>BITCC104</t>
        </is>
      </c>
      <c r="E722" s="3" t="inlineStr">
        <is>
          <t>Count Subarrays With Median in Range Fenwick Tree</t>
        </is>
      </c>
      <c r="F722" s="10" t="inlineStr">
        <is>
          <t>Hard</t>
        </is>
      </c>
      <c r="G722" s="3" t="inlineStr">
        <is>
          <t>Prefix sum balance coordinate compression BIT</t>
        </is>
      </c>
      <c r="H722" s="2" t="n">
        <v>120</v>
      </c>
      <c r="I722" s="2" t="n">
        <v>120</v>
      </c>
      <c r="J722" s="5" t="inlineStr">
        <is>
          <t>https://www.codechef.com/problems/BITCC104</t>
        </is>
      </c>
      <c r="K722" s="3" t="inlineStr"/>
      <c r="L722" s="2" t="inlineStr">
        <is>
          <t>codechef</t>
        </is>
      </c>
    </row>
    <row r="723" ht="20" customHeight="1">
      <c r="A723" s="6" t="inlineStr">
        <is>
          <t>Unsolved</t>
        </is>
      </c>
      <c r="B723" s="7" t="inlineStr">
        <is>
          <t>KINGDOM 20 — THE KINGDOM OF FENWICK TREE (BIT)</t>
        </is>
      </c>
      <c r="C723" s="7" t="inlineStr">
        <is>
          <t>Pattern 20.5 — Offline Queries with BIT</t>
        </is>
      </c>
      <c r="D723" s="6" t="inlineStr">
        <is>
          <t>OFFLINEBIT</t>
        </is>
      </c>
      <c r="E723" s="7" t="inlineStr">
        <is>
          <t>Offline Range Distinct Elements Query Fenwick Tree</t>
        </is>
      </c>
      <c r="F723" s="10" t="inlineStr">
        <is>
          <t>Hard</t>
        </is>
      </c>
      <c r="G723" s="7" t="inlineStr">
        <is>
          <t>Sort queries by R last position hash map BIT update</t>
        </is>
      </c>
      <c r="H723" s="6" t="n">
        <v>120</v>
      </c>
      <c r="I723" s="6" t="n">
        <v>120</v>
      </c>
      <c r="J723" s="8" t="inlineStr">
        <is>
          <t>https://www.codechef.com/problems/OFFLINEBIT</t>
        </is>
      </c>
      <c r="K723" s="7" t="inlineStr"/>
      <c r="L723" s="6" t="inlineStr">
        <is>
          <t>codechef</t>
        </is>
      </c>
    </row>
    <row r="724" ht="20" customHeight="1">
      <c r="A724" s="2" t="inlineStr">
        <is>
          <t>Unsolved</t>
        </is>
      </c>
      <c r="B724" s="3" t="inlineStr">
        <is>
          <t>KINGDOM 20 — THE KINGDOM OF FENWICK TREE (BIT)</t>
        </is>
      </c>
      <c r="C724" s="3" t="inlineStr">
        <is>
          <t>Pattern 20.5 — Offline Queries with BIT</t>
        </is>
      </c>
      <c r="D724" s="2" t="inlineStr">
        <is>
          <t>OFFBIT101</t>
        </is>
      </c>
      <c r="E724" s="3" t="inlineStr">
        <is>
          <t>Offline Range Mode Frequency Query BIT</t>
        </is>
      </c>
      <c r="F724" s="10" t="inlineStr">
        <is>
          <t>Hard</t>
        </is>
      </c>
      <c r="G724" s="3" t="inlineStr">
        <is>
          <t>Mo algorithm / Offline queries sorting BIT</t>
        </is>
      </c>
      <c r="H724" s="2" t="n">
        <v>120</v>
      </c>
      <c r="I724" s="2" t="n">
        <v>120</v>
      </c>
      <c r="J724" s="5" t="inlineStr">
        <is>
          <t>https://www.codechef.com/problems/OFFBIT101</t>
        </is>
      </c>
      <c r="K724" s="3" t="inlineStr"/>
      <c r="L724" s="2" t="inlineStr">
        <is>
          <t>codechef</t>
        </is>
      </c>
    </row>
    <row r="725" ht="20" customHeight="1">
      <c r="A725" s="6" t="inlineStr">
        <is>
          <t>Unsolved</t>
        </is>
      </c>
      <c r="B725" s="7" t="inlineStr">
        <is>
          <t>KINGDOM 20 — THE KINGDOM OF FENWICK TREE (BIT)</t>
        </is>
      </c>
      <c r="C725" s="7" t="inlineStr">
        <is>
          <t>Pattern 20.5 — Offline Queries with BIT</t>
        </is>
      </c>
      <c r="D725" s="6" t="inlineStr">
        <is>
          <t>OFFBIT102</t>
        </is>
      </c>
      <c r="E725" s="7" t="inlineStr">
        <is>
          <t>Offline Range Minimum Difference Pair Query BIT</t>
        </is>
      </c>
      <c r="F725" s="10" t="inlineStr">
        <is>
          <t>Hard</t>
        </is>
      </c>
      <c r="G725" s="7" t="inlineStr">
        <is>
          <t>Sort queries by R nearest values BIT update</t>
        </is>
      </c>
      <c r="H725" s="6" t="n">
        <v>120</v>
      </c>
      <c r="I725" s="6" t="n">
        <v>120</v>
      </c>
      <c r="J725" s="8" t="inlineStr">
        <is>
          <t>https://www.codechef.com/problems/OFFBIT102</t>
        </is>
      </c>
      <c r="K725" s="7" t="inlineStr"/>
      <c r="L725" s="6" t="inlineStr">
        <is>
          <t>codechef</t>
        </is>
      </c>
    </row>
    <row r="726" ht="20" customHeight="1">
      <c r="A726" s="2" t="inlineStr">
        <is>
          <t>Unsolved</t>
        </is>
      </c>
      <c r="B726" s="3" t="inlineStr">
        <is>
          <t>KINGDOM 20 — THE KINGDOM OF FENWICK TREE (BIT)</t>
        </is>
      </c>
      <c r="C726" s="3" t="inlineStr">
        <is>
          <t>Pattern 20.5 — Offline Queries with BIT</t>
        </is>
      </c>
      <c r="D726" s="2" t="inlineStr">
        <is>
          <t>OFFBIT103</t>
        </is>
      </c>
      <c r="E726" s="3" t="inlineStr">
        <is>
          <t>Offline Counting Pairs with Sum in Range BIT</t>
        </is>
      </c>
      <c r="F726" s="10" t="inlineStr">
        <is>
          <t>Hard</t>
        </is>
      </c>
      <c r="G726" s="3" t="inlineStr">
        <is>
          <t>Offline query sweep line BIT</t>
        </is>
      </c>
      <c r="H726" s="2" t="n">
        <v>120</v>
      </c>
      <c r="I726" s="2" t="n">
        <v>120</v>
      </c>
      <c r="J726" s="5" t="inlineStr">
        <is>
          <t>https://www.codechef.com/problems/OFFBIT103</t>
        </is>
      </c>
      <c r="K726" s="3" t="inlineStr"/>
      <c r="L726" s="2" t="inlineStr">
        <is>
          <t>codechef</t>
        </is>
      </c>
    </row>
    <row r="727" ht="20" customHeight="1">
      <c r="A727" s="6" t="inlineStr">
        <is>
          <t>Unsolved</t>
        </is>
      </c>
      <c r="B727" s="7" t="inlineStr">
        <is>
          <t>KINGDOM 20 — THE KINGDOM OF FENWICK TREE (BIT)</t>
        </is>
      </c>
      <c r="C727" s="7" t="inlineStr">
        <is>
          <t>Pattern 20.5 — Offline Queries with BIT</t>
        </is>
      </c>
      <c r="D727" s="6" t="inlineStr">
        <is>
          <t>OFFBIT104</t>
        </is>
      </c>
      <c r="E727" s="7" t="inlineStr">
        <is>
          <t>Offline Range XOR Product Query BIT</t>
        </is>
      </c>
      <c r="F727" s="10" t="inlineStr">
        <is>
          <t>Hard</t>
        </is>
      </c>
      <c r="G727" s="7" t="inlineStr">
        <is>
          <t>Offline query BIT XOR update</t>
        </is>
      </c>
      <c r="H727" s="6" t="n">
        <v>120</v>
      </c>
      <c r="I727" s="6" t="n">
        <v>120</v>
      </c>
      <c r="J727" s="8" t="inlineStr">
        <is>
          <t>https://www.codechef.com/problems/OFFBIT104</t>
        </is>
      </c>
      <c r="K727" s="7" t="inlineStr"/>
      <c r="L727" s="6" t="inlineStr">
        <is>
          <t>codechef</t>
        </is>
      </c>
    </row>
    <row r="728" ht="20" customHeight="1">
      <c r="A728" s="2" t="inlineStr">
        <is>
          <t>Unsolved</t>
        </is>
      </c>
      <c r="B728" s="3" t="inlineStr">
        <is>
          <t>KINGDOM 21 — THE KINGDOM OF TRIE &amp; STRING STRUCTURES</t>
        </is>
      </c>
      <c r="C728" s="3" t="inlineStr">
        <is>
          <t>Pattern 21.1 — Basic Trie</t>
        </is>
      </c>
      <c r="D728" s="2" t="inlineStr">
        <is>
          <t>TRIE1</t>
        </is>
      </c>
      <c r="E728" s="3" t="inlineStr">
        <is>
          <t>Implement Trie Prefix Tree Search Insert StartsWith</t>
        </is>
      </c>
      <c r="F728" s="9" t="inlineStr">
        <is>
          <t>Medium</t>
        </is>
      </c>
      <c r="G728" s="3" t="inlineStr">
        <is>
          <t>TrieNode children dict is_end flag</t>
        </is>
      </c>
      <c r="H728" s="2" t="n">
        <v>60</v>
      </c>
      <c r="I728" s="2" t="n">
        <v>55</v>
      </c>
      <c r="J728" s="5" t="inlineStr">
        <is>
          <t>https://www.codechef.com/problems/TRIE1</t>
        </is>
      </c>
      <c r="K728" s="3" t="inlineStr"/>
      <c r="L728" s="2" t="inlineStr">
        <is>
          <t>codechef</t>
        </is>
      </c>
    </row>
    <row r="729" ht="20" customHeight="1">
      <c r="A729" s="6" t="inlineStr">
        <is>
          <t>Unsolved</t>
        </is>
      </c>
      <c r="B729" s="7" t="inlineStr">
        <is>
          <t>KINGDOM 21 — THE KINGDOM OF TRIE &amp; STRING STRUCTURES</t>
        </is>
      </c>
      <c r="C729" s="7" t="inlineStr">
        <is>
          <t>Pattern 21.1 — Basic Trie</t>
        </is>
      </c>
      <c r="D729" s="6" t="inlineStr">
        <is>
          <t>PREFIXSEARCH</t>
        </is>
      </c>
      <c r="E729" s="7" t="inlineStr">
        <is>
          <t>Design Add and Search Words Data Structure Trie DFS</t>
        </is>
      </c>
      <c r="F729" s="9" t="inlineStr">
        <is>
          <t>Medium</t>
        </is>
      </c>
      <c r="G729" s="7" t="inlineStr">
        <is>
          <t>Trie DFS wildcard '.' search</t>
        </is>
      </c>
      <c r="H729" s="6" t="n">
        <v>60</v>
      </c>
      <c r="I729" s="6" t="n">
        <v>55</v>
      </c>
      <c r="J729" s="8" t="inlineStr">
        <is>
          <t>https://www.codechef.com/problems/PREFIXSEARCH</t>
        </is>
      </c>
      <c r="K729" s="7" t="inlineStr"/>
      <c r="L729" s="6" t="inlineStr">
        <is>
          <t>codechef</t>
        </is>
      </c>
    </row>
    <row r="730" ht="20" customHeight="1">
      <c r="A730" s="2" t="inlineStr">
        <is>
          <t>Unsolved</t>
        </is>
      </c>
      <c r="B730" s="3" t="inlineStr">
        <is>
          <t>KINGDOM 21 — THE KINGDOM OF TRIE &amp; STRING STRUCTURES</t>
        </is>
      </c>
      <c r="C730" s="3" t="inlineStr">
        <is>
          <t>Pattern 21.1 — Basic Trie</t>
        </is>
      </c>
      <c r="D730" s="2" t="inlineStr">
        <is>
          <t>BTRIE101</t>
        </is>
      </c>
      <c r="E730" s="3" t="inlineStr">
        <is>
          <t>Replace Words Dictionary Prefix Replacement Trie</t>
        </is>
      </c>
      <c r="F730" s="9" t="inlineStr">
        <is>
          <t>Medium</t>
        </is>
      </c>
      <c r="G730" s="3" t="inlineStr">
        <is>
          <t>Trie shortest prefix match</t>
        </is>
      </c>
      <c r="H730" s="2" t="n">
        <v>60</v>
      </c>
      <c r="I730" s="2" t="n">
        <v>55</v>
      </c>
      <c r="J730" s="5" t="inlineStr">
        <is>
          <t>https://www.codechef.com/problems/BTRIE101</t>
        </is>
      </c>
      <c r="K730" s="3" t="inlineStr"/>
      <c r="L730" s="2" t="inlineStr">
        <is>
          <t>codechef</t>
        </is>
      </c>
    </row>
    <row r="731" ht="20" customHeight="1">
      <c r="A731" s="6" t="inlineStr">
        <is>
          <t>Unsolved</t>
        </is>
      </c>
      <c r="B731" s="7" t="inlineStr">
        <is>
          <t>KINGDOM 21 — THE KINGDOM OF TRIE &amp; STRING STRUCTURES</t>
        </is>
      </c>
      <c r="C731" s="7" t="inlineStr">
        <is>
          <t>Pattern 21.1 — Basic Trie</t>
        </is>
      </c>
      <c r="D731" s="6" t="inlineStr">
        <is>
          <t>BTRIE102</t>
        </is>
      </c>
      <c r="E731" s="7" t="inlineStr">
        <is>
          <t>Map Sum Pairs Prefix Weight Sum Trie</t>
        </is>
      </c>
      <c r="F731" s="9" t="inlineStr">
        <is>
          <t>Medium</t>
        </is>
      </c>
      <c r="G731" s="7" t="inlineStr">
        <is>
          <t>Trie prefix sum value tracking</t>
        </is>
      </c>
      <c r="H731" s="6" t="n">
        <v>60</v>
      </c>
      <c r="I731" s="6" t="n">
        <v>55</v>
      </c>
      <c r="J731" s="8" t="inlineStr">
        <is>
          <t>https://www.codechef.com/problems/BTRIE102</t>
        </is>
      </c>
      <c r="K731" s="7" t="inlineStr"/>
      <c r="L731" s="6" t="inlineStr">
        <is>
          <t>codechef</t>
        </is>
      </c>
    </row>
    <row r="732" ht="20" customHeight="1">
      <c r="A732" s="2" t="inlineStr">
        <is>
          <t>Unsolved</t>
        </is>
      </c>
      <c r="B732" s="3" t="inlineStr">
        <is>
          <t>KINGDOM 21 — THE KINGDOM OF TRIE &amp; STRING STRUCTURES</t>
        </is>
      </c>
      <c r="C732" s="3" t="inlineStr">
        <is>
          <t>Pattern 21.1 — Basic Trie</t>
        </is>
      </c>
      <c r="D732" s="2" t="inlineStr">
        <is>
          <t>BTRIE103</t>
        </is>
      </c>
      <c r="E732" s="3" t="inlineStr">
        <is>
          <t>Search Suggestions System Autocomplete Trie</t>
        </is>
      </c>
      <c r="F732" s="9" t="inlineStr">
        <is>
          <t>Medium</t>
        </is>
      </c>
      <c r="G732" s="3" t="inlineStr">
        <is>
          <t>Trie top 3 sorted words DFS</t>
        </is>
      </c>
      <c r="H732" s="2" t="n">
        <v>60</v>
      </c>
      <c r="I732" s="2" t="n">
        <v>55</v>
      </c>
      <c r="J732" s="5" t="inlineStr">
        <is>
          <t>https://www.codechef.com/problems/BTRIE103</t>
        </is>
      </c>
      <c r="K732" s="3" t="inlineStr"/>
      <c r="L732" s="2" t="inlineStr">
        <is>
          <t>codechef</t>
        </is>
      </c>
    </row>
    <row r="733" ht="20" customHeight="1">
      <c r="A733" s="6" t="inlineStr">
        <is>
          <t>Unsolved</t>
        </is>
      </c>
      <c r="B733" s="7" t="inlineStr">
        <is>
          <t>KINGDOM 21 — THE KINGDOM OF TRIE &amp; STRING STRUCTURES</t>
        </is>
      </c>
      <c r="C733" s="7" t="inlineStr">
        <is>
          <t>Pattern 21.1 — Basic Trie</t>
        </is>
      </c>
      <c r="D733" s="6" t="inlineStr">
        <is>
          <t>BTRIE104</t>
        </is>
      </c>
      <c r="E733" s="7" t="inlineStr">
        <is>
          <t>Longest Word in Dictionary Prefix Trie</t>
        </is>
      </c>
      <c r="F733" s="9" t="inlineStr">
        <is>
          <t>Medium</t>
        </is>
      </c>
      <c r="G733" s="7" t="inlineStr">
        <is>
          <t>Trie BFS/DFS all prefixes valid</t>
        </is>
      </c>
      <c r="H733" s="6" t="n">
        <v>60</v>
      </c>
      <c r="I733" s="6" t="n">
        <v>55</v>
      </c>
      <c r="J733" s="8" t="inlineStr">
        <is>
          <t>https://www.codechef.com/problems/BTRIE104</t>
        </is>
      </c>
      <c r="K733" s="7" t="inlineStr"/>
      <c r="L733" s="6" t="inlineStr">
        <is>
          <t>codechef</t>
        </is>
      </c>
    </row>
    <row r="734" ht="20" customHeight="1">
      <c r="A734" s="2" t="inlineStr">
        <is>
          <t>Unsolved</t>
        </is>
      </c>
      <c r="B734" s="3" t="inlineStr">
        <is>
          <t>KINGDOM 21 — THE KINGDOM OF TRIE &amp; STRING STRUCTURES</t>
        </is>
      </c>
      <c r="C734" s="3" t="inlineStr">
        <is>
          <t>Pattern 21.2 — XOR Trie</t>
        </is>
      </c>
      <c r="D734" s="2" t="inlineStr">
        <is>
          <t>XORTRIE1</t>
        </is>
      </c>
      <c r="E734" s="3" t="inlineStr">
        <is>
          <t>Maximum XOR of Two Numbers in an Array Binary Trie</t>
        </is>
      </c>
      <c r="F734" s="10" t="inlineStr">
        <is>
          <t>Medium-Hard</t>
        </is>
      </c>
      <c r="G734" s="3" t="inlineStr">
        <is>
          <t>Binary Trie 31-bit branch traversal</t>
        </is>
      </c>
      <c r="H734" s="2" t="n">
        <v>90</v>
      </c>
      <c r="I734" s="2" t="n">
        <v>80</v>
      </c>
      <c r="J734" s="5" t="inlineStr">
        <is>
          <t>https://www.codechef.com/problems/XORTRIE1</t>
        </is>
      </c>
      <c r="K734" s="3" t="inlineStr"/>
      <c r="L734" s="2" t="inlineStr">
        <is>
          <t>codechef</t>
        </is>
      </c>
    </row>
    <row r="735" ht="20" customHeight="1">
      <c r="A735" s="6" t="inlineStr">
        <is>
          <t>Unsolved</t>
        </is>
      </c>
      <c r="B735" s="7" t="inlineStr">
        <is>
          <t>KINGDOM 21 — THE KINGDOM OF TRIE &amp; STRING STRUCTURES</t>
        </is>
      </c>
      <c r="C735" s="7" t="inlineStr">
        <is>
          <t>Pattern 21.2 — XOR Trie</t>
        </is>
      </c>
      <c r="D735" s="6" t="inlineStr">
        <is>
          <t>MAXOR</t>
        </is>
      </c>
      <c r="E735" s="7" t="inlineStr">
        <is>
          <t>Maximum XOR With Element From Array Offline Binary Trie</t>
        </is>
      </c>
      <c r="F735" s="10" t="inlineStr">
        <is>
          <t>Hard</t>
        </is>
      </c>
      <c r="G735" s="7" t="inlineStr">
        <is>
          <t>Sort array &amp; queries by limit binary trie</t>
        </is>
      </c>
      <c r="H735" s="6" t="n">
        <v>120</v>
      </c>
      <c r="I735" s="6" t="n">
        <v>120</v>
      </c>
      <c r="J735" s="8" t="inlineStr">
        <is>
          <t>https://www.codechef.com/problems/MAXOR</t>
        </is>
      </c>
      <c r="K735" s="7" t="inlineStr"/>
      <c r="L735" s="6" t="inlineStr">
        <is>
          <t>codechef</t>
        </is>
      </c>
    </row>
    <row r="736" ht="20" customHeight="1">
      <c r="A736" s="2" t="inlineStr">
        <is>
          <t>Unsolved</t>
        </is>
      </c>
      <c r="B736" s="3" t="inlineStr">
        <is>
          <t>KINGDOM 21 — THE KINGDOM OF TRIE &amp; STRING STRUCTURES</t>
        </is>
      </c>
      <c r="C736" s="3" t="inlineStr">
        <is>
          <t>Pattern 21.2 — XOR Trie</t>
        </is>
      </c>
      <c r="D736" s="2" t="inlineStr">
        <is>
          <t>XTRIE101</t>
        </is>
      </c>
      <c r="E736" s="3" t="inlineStr">
        <is>
          <t>Count Pairs With XOR in Range Binary Trie</t>
        </is>
      </c>
      <c r="F736" s="10" t="inlineStr">
        <is>
          <t>Hard</t>
        </is>
      </c>
      <c r="G736" s="3" t="inlineStr">
        <is>
          <t>Binary Trie branch count comparison</t>
        </is>
      </c>
      <c r="H736" s="2" t="n">
        <v>120</v>
      </c>
      <c r="I736" s="2" t="n">
        <v>120</v>
      </c>
      <c r="J736" s="5" t="inlineStr">
        <is>
          <t>https://www.codechef.com/problems/XTRIE101</t>
        </is>
      </c>
      <c r="K736" s="3" t="inlineStr"/>
      <c r="L736" s="2" t="inlineStr">
        <is>
          <t>codechef</t>
        </is>
      </c>
    </row>
    <row r="737" ht="20" customHeight="1">
      <c r="A737" s="6" t="inlineStr">
        <is>
          <t>Unsolved</t>
        </is>
      </c>
      <c r="B737" s="7" t="inlineStr">
        <is>
          <t>KINGDOM 21 — THE KINGDOM OF TRIE &amp; STRING STRUCTURES</t>
        </is>
      </c>
      <c r="C737" s="7" t="inlineStr">
        <is>
          <t>Pattern 21.2 — XOR Trie</t>
        </is>
      </c>
      <c r="D737" s="6" t="inlineStr">
        <is>
          <t>XTRIE102</t>
        </is>
      </c>
      <c r="E737" s="7" t="inlineStr">
        <is>
          <t>Maximum Subarray XOR Prefix XOR Binary Trie</t>
        </is>
      </c>
      <c r="F737" s="10" t="inlineStr">
        <is>
          <t>Hard</t>
        </is>
      </c>
      <c r="G737" s="7" t="inlineStr">
        <is>
          <t>Prefix XOR + Binary Trie max search</t>
        </is>
      </c>
      <c r="H737" s="6" t="n">
        <v>120</v>
      </c>
      <c r="I737" s="6" t="n">
        <v>120</v>
      </c>
      <c r="J737" s="8" t="inlineStr">
        <is>
          <t>https://www.codechef.com/problems/XTRIE102</t>
        </is>
      </c>
      <c r="K737" s="7" t="inlineStr"/>
      <c r="L737" s="6" t="inlineStr">
        <is>
          <t>codechef</t>
        </is>
      </c>
    </row>
    <row r="738" ht="20" customHeight="1">
      <c r="A738" s="2" t="inlineStr">
        <is>
          <t>Unsolved</t>
        </is>
      </c>
      <c r="B738" s="3" t="inlineStr">
        <is>
          <t>KINGDOM 21 — THE KINGDOM OF TRIE &amp; STRING STRUCTURES</t>
        </is>
      </c>
      <c r="C738" s="3" t="inlineStr">
        <is>
          <t>Pattern 21.2 — XOR Trie</t>
        </is>
      </c>
      <c r="D738" s="2" t="inlineStr">
        <is>
          <t>XTRIE103</t>
        </is>
      </c>
      <c r="E738" s="3" t="inlineStr">
        <is>
          <t>XOR Query Path on Tree Binary Trie LCA</t>
        </is>
      </c>
      <c r="F738" s="10" t="inlineStr">
        <is>
          <t>Hard</t>
        </is>
      </c>
      <c r="G738" s="3" t="inlineStr">
        <is>
          <t>Binary Trie on tree path LCA</t>
        </is>
      </c>
      <c r="H738" s="2" t="n">
        <v>120</v>
      </c>
      <c r="I738" s="2" t="n">
        <v>120</v>
      </c>
      <c r="J738" s="5" t="inlineStr">
        <is>
          <t>https://www.codechef.com/problems/XTRIE103</t>
        </is>
      </c>
      <c r="K738" s="3" t="inlineStr"/>
      <c r="L738" s="2" t="inlineStr">
        <is>
          <t>codechef</t>
        </is>
      </c>
    </row>
    <row r="739" ht="20" customHeight="1">
      <c r="A739" s="6" t="inlineStr">
        <is>
          <t>Unsolved</t>
        </is>
      </c>
      <c r="B739" s="7" t="inlineStr">
        <is>
          <t>KINGDOM 21 — THE KINGDOM OF TRIE &amp; STRING STRUCTURES</t>
        </is>
      </c>
      <c r="C739" s="7" t="inlineStr">
        <is>
          <t>Pattern 21.2 — XOR Trie</t>
        </is>
      </c>
      <c r="D739" s="6" t="inlineStr">
        <is>
          <t>XTRIE104</t>
        </is>
      </c>
      <c r="E739" s="7" t="inlineStr">
        <is>
          <t>Persistent Binary Trie Version Max XOR</t>
        </is>
      </c>
      <c r="F739" s="11" t="inlineStr">
        <is>
          <t>Expert</t>
        </is>
      </c>
      <c r="G739" s="7" t="inlineStr">
        <is>
          <t>Persistent Binary Trie version pointer</t>
        </is>
      </c>
      <c r="H739" s="6" t="n">
        <v>180</v>
      </c>
      <c r="I739" s="6" t="n">
        <v>180</v>
      </c>
      <c r="J739" s="8" t="inlineStr">
        <is>
          <t>https://www.codechef.com/problems/XTRIE104</t>
        </is>
      </c>
      <c r="K739" s="7" t="inlineStr"/>
      <c r="L739" s="6" t="inlineStr">
        <is>
          <t>codechef</t>
        </is>
      </c>
    </row>
    <row r="740" ht="20" customHeight="1">
      <c r="A740" s="2" t="inlineStr">
        <is>
          <t>Unsolved</t>
        </is>
      </c>
      <c r="B740" s="3" t="inlineStr">
        <is>
          <t>KINGDOM 21 — THE KINGDOM OF TRIE &amp; STRING STRUCTURES</t>
        </is>
      </c>
      <c r="C740" s="3" t="inlineStr">
        <is>
          <t>Pattern 21.3 — String Trie Applications</t>
        </is>
      </c>
      <c r="D740" s="2" t="inlineStr">
        <is>
          <t>AUTOCOMPLETE</t>
        </is>
      </c>
      <c r="E740" s="3" t="inlineStr">
        <is>
          <t>Word Search II Grid Search Trie Backtracking</t>
        </is>
      </c>
      <c r="F740" s="10" t="inlineStr">
        <is>
          <t>Hard</t>
        </is>
      </c>
      <c r="G740" s="3" t="inlineStr">
        <is>
          <t>Trie + 2D Grid DFS backtracking pruning</t>
        </is>
      </c>
      <c r="H740" s="2" t="n">
        <v>120</v>
      </c>
      <c r="I740" s="2" t="n">
        <v>120</v>
      </c>
      <c r="J740" s="5" t="inlineStr">
        <is>
          <t>https://www.codechef.com/problems/AUTOCOMPLETE</t>
        </is>
      </c>
      <c r="K740" s="3" t="inlineStr"/>
      <c r="L740" s="2" t="inlineStr">
        <is>
          <t>codechef</t>
        </is>
      </c>
    </row>
    <row r="741" ht="20" customHeight="1">
      <c r="A741" s="6" t="inlineStr">
        <is>
          <t>Unsolved</t>
        </is>
      </c>
      <c r="B741" s="7" t="inlineStr">
        <is>
          <t>KINGDOM 21 — THE KINGDOM OF TRIE &amp; STRING STRUCTURES</t>
        </is>
      </c>
      <c r="C741" s="7" t="inlineStr">
        <is>
          <t>Pattern 21.3 — String Trie Applications</t>
        </is>
      </c>
      <c r="D741" s="6" t="inlineStr">
        <is>
          <t>DICTIONARY</t>
        </is>
      </c>
      <c r="E741" s="7" t="inlineStr">
        <is>
          <t>Concatenated Words Trie DP Match</t>
        </is>
      </c>
      <c r="F741" s="10" t="inlineStr">
        <is>
          <t>Hard</t>
        </is>
      </c>
      <c r="G741" s="7" t="inlineStr">
        <is>
          <t>Trie + DP word decomposition</t>
        </is>
      </c>
      <c r="H741" s="6" t="n">
        <v>120</v>
      </c>
      <c r="I741" s="6" t="n">
        <v>120</v>
      </c>
      <c r="J741" s="8" t="inlineStr">
        <is>
          <t>https://www.codechef.com/problems/DICTIONARY</t>
        </is>
      </c>
      <c r="K741" s="7" t="inlineStr"/>
      <c r="L741" s="6" t="inlineStr">
        <is>
          <t>codechef</t>
        </is>
      </c>
    </row>
    <row r="742" ht="20" customHeight="1">
      <c r="A742" s="2" t="inlineStr">
        <is>
          <t>Unsolved</t>
        </is>
      </c>
      <c r="B742" s="3" t="inlineStr">
        <is>
          <t>KINGDOM 21 — THE KINGDOM OF TRIE &amp; STRING STRUCTURES</t>
        </is>
      </c>
      <c r="C742" s="3" t="inlineStr">
        <is>
          <t>Pattern 21.3 — String Trie Applications</t>
        </is>
      </c>
      <c r="D742" s="2" t="inlineStr">
        <is>
          <t>STRIE101</t>
        </is>
      </c>
      <c r="E742" s="3" t="inlineStr">
        <is>
          <t>Index Pairs of a String Multi-Pattern Matching Trie</t>
        </is>
      </c>
      <c r="F742" s="9" t="inlineStr">
        <is>
          <t>Medium</t>
        </is>
      </c>
      <c r="G742" s="3" t="inlineStr">
        <is>
          <t>Trie pattern matching</t>
        </is>
      </c>
      <c r="H742" s="2" t="n">
        <v>60</v>
      </c>
      <c r="I742" s="2" t="n">
        <v>55</v>
      </c>
      <c r="J742" s="5" t="inlineStr">
        <is>
          <t>https://www.codechef.com/problems/STRIE101</t>
        </is>
      </c>
      <c r="K742" s="3" t="inlineStr"/>
      <c r="L742" s="2" t="inlineStr">
        <is>
          <t>codechef</t>
        </is>
      </c>
    </row>
    <row r="743" ht="20" customHeight="1">
      <c r="A743" s="6" t="inlineStr">
        <is>
          <t>Unsolved</t>
        </is>
      </c>
      <c r="B743" s="7" t="inlineStr">
        <is>
          <t>KINGDOM 21 — THE KINGDOM OF TRIE &amp; STRING STRUCTURES</t>
        </is>
      </c>
      <c r="C743" s="7" t="inlineStr">
        <is>
          <t>Pattern 21.3 — String Trie Applications</t>
        </is>
      </c>
      <c r="D743" s="6" t="inlineStr">
        <is>
          <t>STRIE102</t>
        </is>
      </c>
      <c r="E743" s="7" t="inlineStr">
        <is>
          <t>Stream of Characters Suffix Trie Matching</t>
        </is>
      </c>
      <c r="F743" s="10" t="inlineStr">
        <is>
          <t>Hard</t>
        </is>
      </c>
      <c r="G743" s="7" t="inlineStr">
        <is>
          <t>Reverse Suffix Trie query buffer</t>
        </is>
      </c>
      <c r="H743" s="6" t="n">
        <v>120</v>
      </c>
      <c r="I743" s="6" t="n">
        <v>120</v>
      </c>
      <c r="J743" s="8" t="inlineStr">
        <is>
          <t>https://www.codechef.com/problems/STRIE102</t>
        </is>
      </c>
      <c r="K743" s="7" t="inlineStr"/>
      <c r="L743" s="6" t="inlineStr">
        <is>
          <t>codechef</t>
        </is>
      </c>
    </row>
    <row r="744" ht="20" customHeight="1">
      <c r="A744" s="2" t="inlineStr">
        <is>
          <t>Unsolved</t>
        </is>
      </c>
      <c r="B744" s="3" t="inlineStr">
        <is>
          <t>KINGDOM 21 — THE KINGDOM OF TRIE &amp; STRING STRUCTURES</t>
        </is>
      </c>
      <c r="C744" s="3" t="inlineStr">
        <is>
          <t>Pattern 21.3 — String Trie Applications</t>
        </is>
      </c>
      <c r="D744" s="2" t="inlineStr">
        <is>
          <t>STRIE103</t>
        </is>
      </c>
      <c r="E744" s="3" t="inlineStr">
        <is>
          <t>Palindrome Pairs String Length Trie Search</t>
        </is>
      </c>
      <c r="F744" s="10" t="inlineStr">
        <is>
          <t>Hard</t>
        </is>
      </c>
      <c r="G744" s="3" t="inlineStr">
        <is>
          <t>Trie + Palindrome suffix check</t>
        </is>
      </c>
      <c r="H744" s="2" t="n">
        <v>120</v>
      </c>
      <c r="I744" s="2" t="n">
        <v>120</v>
      </c>
      <c r="J744" s="5" t="inlineStr">
        <is>
          <t>https://www.codechef.com/problems/STRIE103</t>
        </is>
      </c>
      <c r="K744" s="3" t="inlineStr"/>
      <c r="L744" s="2" t="inlineStr">
        <is>
          <t>codechef</t>
        </is>
      </c>
    </row>
    <row r="745" ht="20" customHeight="1">
      <c r="A745" s="6" t="inlineStr">
        <is>
          <t>Unsolved</t>
        </is>
      </c>
      <c r="B745" s="7" t="inlineStr">
        <is>
          <t>KINGDOM 21 — THE KINGDOM OF TRIE &amp; STRING STRUCTURES</t>
        </is>
      </c>
      <c r="C745" s="7" t="inlineStr">
        <is>
          <t>Pattern 21.3 — String Trie Applications</t>
        </is>
      </c>
      <c r="D745" s="6" t="inlineStr">
        <is>
          <t>STRIE104</t>
        </is>
      </c>
      <c r="E745" s="7" t="inlineStr">
        <is>
          <t>Multi-Search String Matching Aho-Corasick Automaton</t>
        </is>
      </c>
      <c r="F745" s="11" t="inlineStr">
        <is>
          <t>Expert</t>
        </is>
      </c>
      <c r="G745" s="7" t="inlineStr">
        <is>
          <t>Aho-Corasick automaton BFS fail links</t>
        </is>
      </c>
      <c r="H745" s="6" t="n">
        <v>180</v>
      </c>
      <c r="I745" s="6" t="n">
        <v>180</v>
      </c>
      <c r="J745" s="8" t="inlineStr">
        <is>
          <t>https://www.codechef.com/problems/STRIE104</t>
        </is>
      </c>
      <c r="K745" s="7" t="inlineStr"/>
      <c r="L745" s="6" t="inlineStr">
        <is>
          <t>codechef</t>
        </is>
      </c>
    </row>
    <row r="746" ht="20" customHeight="1">
      <c r="A746" s="2" t="inlineStr">
        <is>
          <t>Unsolved</t>
        </is>
      </c>
      <c r="B746" s="3" t="inlineStr">
        <is>
          <t>KINGDOM 22 — THE KINGDOM OF GEOMETRY &amp; COMPUTATIONAL GEOMETRY</t>
        </is>
      </c>
      <c r="C746" s="3" t="inlineStr">
        <is>
          <t>Pattern 22.1 — Computational Geometry</t>
        </is>
      </c>
      <c r="D746" s="2" t="inlineStr">
        <is>
          <t>CONVEXHULL</t>
        </is>
      </c>
      <c r="E746" s="3" t="inlineStr">
        <is>
          <t>Convex Hull Graham Scan / Monotone Chain Geometry</t>
        </is>
      </c>
      <c r="F746" s="10" t="inlineStr">
        <is>
          <t>Hard</t>
        </is>
      </c>
      <c r="G746" s="3" t="inlineStr">
        <is>
          <t>Cross product orient 2D stack monotone chain</t>
        </is>
      </c>
      <c r="H746" s="2" t="n">
        <v>120</v>
      </c>
      <c r="I746" s="2" t="n">
        <v>120</v>
      </c>
      <c r="J746" s="5" t="inlineStr">
        <is>
          <t>https://www.codechef.com/problems/CONVEXHULL</t>
        </is>
      </c>
      <c r="K746" s="3" t="inlineStr"/>
      <c r="L746" s="2" t="inlineStr">
        <is>
          <t>codechef</t>
        </is>
      </c>
    </row>
    <row r="747" ht="20" customHeight="1">
      <c r="A747" s="6" t="inlineStr">
        <is>
          <t>Unsolved</t>
        </is>
      </c>
      <c r="B747" s="7" t="inlineStr">
        <is>
          <t>KINGDOM 22 — THE KINGDOM OF GEOMETRY &amp; COMPUTATIONAL GEOMETRY</t>
        </is>
      </c>
      <c r="C747" s="7" t="inlineStr">
        <is>
          <t>Pattern 22.1 — Computational Geometry</t>
        </is>
      </c>
      <c r="D747" s="6" t="inlineStr">
        <is>
          <t>POINTINPOLY</t>
        </is>
      </c>
      <c r="E747" s="7" t="inlineStr">
        <is>
          <t>Point in Polygon Ray Casting Algorithm Geometry</t>
        </is>
      </c>
      <c r="F747" s="10" t="inlineStr">
        <is>
          <t>Hard</t>
        </is>
      </c>
      <c r="G747" s="7" t="inlineStr">
        <is>
          <t>Ray casting intersection count odd even</t>
        </is>
      </c>
      <c r="H747" s="6" t="n">
        <v>120</v>
      </c>
      <c r="I747" s="6" t="n">
        <v>120</v>
      </c>
      <c r="J747" s="8" t="inlineStr">
        <is>
          <t>https://www.codechef.com/problems/POINTINPOLY</t>
        </is>
      </c>
      <c r="K747" s="7" t="inlineStr"/>
      <c r="L747" s="6" t="inlineStr">
        <is>
          <t>codechef</t>
        </is>
      </c>
    </row>
    <row r="748" ht="20" customHeight="1">
      <c r="A748" s="2" t="inlineStr">
        <is>
          <t>Unsolved</t>
        </is>
      </c>
      <c r="B748" s="3" t="inlineStr">
        <is>
          <t>KINGDOM 22 — THE KINGDOM OF GEOMETRY &amp; COMPUTATIONAL GEOMETRY</t>
        </is>
      </c>
      <c r="C748" s="3" t="inlineStr">
        <is>
          <t>Pattern 22.1 — Computational Geometry</t>
        </is>
      </c>
      <c r="D748" s="2" t="inlineStr">
        <is>
          <t>CGEO101</t>
        </is>
      </c>
      <c r="E748" s="3" t="inlineStr">
        <is>
          <t>Erect the Fence Convex Hull Geometry</t>
        </is>
      </c>
      <c r="F748" s="10" t="inlineStr">
        <is>
          <t>Hard</t>
        </is>
      </c>
      <c r="G748" s="3" t="inlineStr">
        <is>
          <t>Graham scan collinear boundary inclusion</t>
        </is>
      </c>
      <c r="H748" s="2" t="n">
        <v>120</v>
      </c>
      <c r="I748" s="2" t="n">
        <v>120</v>
      </c>
      <c r="J748" s="5" t="inlineStr">
        <is>
          <t>https://www.codechef.com/problems/CGEO101</t>
        </is>
      </c>
      <c r="K748" s="3" t="inlineStr"/>
      <c r="L748" s="2" t="inlineStr">
        <is>
          <t>codechef</t>
        </is>
      </c>
    </row>
    <row r="749" ht="20" customHeight="1">
      <c r="A749" s="6" t="inlineStr">
        <is>
          <t>Unsolved</t>
        </is>
      </c>
      <c r="B749" s="7" t="inlineStr">
        <is>
          <t>KINGDOM 22 — THE KINGDOM OF GEOMETRY &amp; COMPUTATIONAL GEOMETRY</t>
        </is>
      </c>
      <c r="C749" s="7" t="inlineStr">
        <is>
          <t>Pattern 22.1 — Computational Geometry</t>
        </is>
      </c>
      <c r="D749" s="6" t="inlineStr">
        <is>
          <t>CGEO102</t>
        </is>
      </c>
      <c r="E749" s="7" t="inlineStr">
        <is>
          <t>Closest Pair of Points Divide &amp; Conquer Geometry</t>
        </is>
      </c>
      <c r="F749" s="10" t="inlineStr">
        <is>
          <t>Hard</t>
        </is>
      </c>
      <c r="G749" s="7" t="inlineStr">
        <is>
          <t>Divide &amp; conquer strip sorting O(N log N)</t>
        </is>
      </c>
      <c r="H749" s="6" t="n">
        <v>120</v>
      </c>
      <c r="I749" s="6" t="n">
        <v>120</v>
      </c>
      <c r="J749" s="8" t="inlineStr">
        <is>
          <t>https://www.codechef.com/problems/CGEO102</t>
        </is>
      </c>
      <c r="K749" s="7" t="inlineStr"/>
      <c r="L749" s="6" t="inlineStr">
        <is>
          <t>codechef</t>
        </is>
      </c>
    </row>
    <row r="750" ht="20" customHeight="1">
      <c r="A750" s="2" t="inlineStr">
        <is>
          <t>Unsolved</t>
        </is>
      </c>
      <c r="B750" s="3" t="inlineStr">
        <is>
          <t>KINGDOM 22 — THE KINGDOM OF GEOMETRY &amp; COMPUTATIONAL GEOMETRY</t>
        </is>
      </c>
      <c r="C750" s="3" t="inlineStr">
        <is>
          <t>Pattern 22.1 — Computational Geometry</t>
        </is>
      </c>
      <c r="D750" s="2" t="inlineStr">
        <is>
          <t>CGEO103</t>
        </is>
      </c>
      <c r="E750" s="3" t="inlineStr">
        <is>
          <t>Minimum Area Rectangle Geometry Coordinate Hashing</t>
        </is>
      </c>
      <c r="F750" s="9" t="inlineStr">
        <is>
          <t>Medium</t>
        </is>
      </c>
      <c r="G750" s="3" t="inlineStr">
        <is>
          <t>Diagonal pair Hash set lookup</t>
        </is>
      </c>
      <c r="H750" s="2" t="n">
        <v>60</v>
      </c>
      <c r="I750" s="2" t="n">
        <v>55</v>
      </c>
      <c r="J750" s="5" t="inlineStr">
        <is>
          <t>https://www.codechef.com/problems/CGEO103</t>
        </is>
      </c>
      <c r="K750" s="3" t="inlineStr"/>
      <c r="L750" s="2" t="inlineStr">
        <is>
          <t>codechef</t>
        </is>
      </c>
    </row>
    <row r="751" ht="20" customHeight="1">
      <c r="A751" s="6" t="inlineStr">
        <is>
          <t>Unsolved</t>
        </is>
      </c>
      <c r="B751" s="7" t="inlineStr">
        <is>
          <t>KINGDOM 22 — THE KINGDOM OF GEOMETRY &amp; COMPUTATIONAL GEOMETRY</t>
        </is>
      </c>
      <c r="C751" s="7" t="inlineStr">
        <is>
          <t>Pattern 22.1 — Computational Geometry</t>
        </is>
      </c>
      <c r="D751" s="6" t="inlineStr">
        <is>
          <t>CGEO104</t>
        </is>
      </c>
      <c r="E751" s="7" t="inlineStr">
        <is>
          <t>Max Points on a Line Slope Fraction Hashing</t>
        </is>
      </c>
      <c r="F751" s="9" t="inlineStr">
        <is>
          <t>Medium</t>
        </is>
      </c>
      <c r="G751" s="7" t="inlineStr">
        <is>
          <t>GCD slope fraction hash map count</t>
        </is>
      </c>
      <c r="H751" s="6" t="n">
        <v>60</v>
      </c>
      <c r="I751" s="6" t="n">
        <v>55</v>
      </c>
      <c r="J751" s="8" t="inlineStr">
        <is>
          <t>https://www.codechef.com/problems/CGEO104</t>
        </is>
      </c>
      <c r="K751" s="7" t="inlineStr"/>
      <c r="L751" s="6" t="inlineStr">
        <is>
          <t>codechef</t>
        </is>
      </c>
    </row>
    <row r="752" ht="20" customHeight="1">
      <c r="A752" s="2" t="inlineStr">
        <is>
          <t>Unsolved</t>
        </is>
      </c>
      <c r="B752" s="3" t="inlineStr">
        <is>
          <t>KINGDOM 22 — THE KINGDOM OF GEOMETRY &amp; COMPUTATIONAL GEOMETRY</t>
        </is>
      </c>
      <c r="C752" s="3" t="inlineStr">
        <is>
          <t>Pattern 22.1 — Computational Geometry</t>
        </is>
      </c>
      <c r="D752" s="2" t="inlineStr">
        <is>
          <t>CGEO105</t>
        </is>
      </c>
      <c r="E752" s="3" t="inlineStr">
        <is>
          <t>Line Reflection Y-Axis Symmetry Geometry</t>
        </is>
      </c>
      <c r="F752" s="9" t="inlineStr">
        <is>
          <t>Medium</t>
        </is>
      </c>
      <c r="G752" s="3" t="inlineStr">
        <is>
          <t>Min max X sum hash set point validation</t>
        </is>
      </c>
      <c r="H752" s="2" t="n">
        <v>60</v>
      </c>
      <c r="I752" s="2" t="n">
        <v>55</v>
      </c>
      <c r="J752" s="5" t="inlineStr">
        <is>
          <t>https://www.codechef.com/problems/CGEO105</t>
        </is>
      </c>
      <c r="K752" s="3" t="inlineStr"/>
      <c r="L752" s="2" t="inlineStr">
        <is>
          <t>codechef</t>
        </is>
      </c>
    </row>
    <row r="753" ht="20" customHeight="1">
      <c r="A753" s="6" t="inlineStr">
        <is>
          <t>Unsolved</t>
        </is>
      </c>
      <c r="B753" s="7" t="inlineStr">
        <is>
          <t>KINGDOM 22 — THE KINGDOM OF GEOMETRY &amp; COMPUTATIONAL GEOMETRY</t>
        </is>
      </c>
      <c r="C753" s="7" t="inlineStr">
        <is>
          <t>Pattern 22.2 — Coordinate Geometry</t>
        </is>
      </c>
      <c r="D753" s="6" t="inlineStr">
        <is>
          <t>DISTANCE2D</t>
        </is>
      </c>
      <c r="E753" s="7" t="inlineStr">
        <is>
          <t>Euclidean Distance 2D Min Distance Coordinate</t>
        </is>
      </c>
      <c r="F753" s="4" t="inlineStr">
        <is>
          <t>Easy</t>
        </is>
      </c>
      <c r="G753" s="7" t="inlineStr">
        <is>
          <t>Math sqrt dx*dx + dy*dy</t>
        </is>
      </c>
      <c r="H753" s="6" t="n">
        <v>25</v>
      </c>
      <c r="I753" s="6" t="n">
        <v>20</v>
      </c>
      <c r="J753" s="8" t="inlineStr">
        <is>
          <t>https://www.codechef.com/problems/DISTANCE2D</t>
        </is>
      </c>
      <c r="K753" s="7" t="inlineStr"/>
      <c r="L753" s="6" t="inlineStr">
        <is>
          <t>codechef</t>
        </is>
      </c>
    </row>
    <row r="754" ht="20" customHeight="1">
      <c r="A754" s="2" t="inlineStr">
        <is>
          <t>Unsolved</t>
        </is>
      </c>
      <c r="B754" s="3" t="inlineStr">
        <is>
          <t>KINGDOM 22 — THE KINGDOM OF GEOMETRY &amp; COMPUTATIONAL GEOMETRY</t>
        </is>
      </c>
      <c r="C754" s="3" t="inlineStr">
        <is>
          <t>Pattern 22.2 — Coordinate Geometry</t>
        </is>
      </c>
      <c r="D754" s="2" t="inlineStr">
        <is>
          <t>LINEINTERSECT</t>
        </is>
      </c>
      <c r="E754" s="3" t="inlineStr">
        <is>
          <t>Check Line Segment Intersection Geometry Cross Product</t>
        </is>
      </c>
      <c r="F754" s="10" t="inlineStr">
        <is>
          <t>Medium-Hard</t>
        </is>
      </c>
      <c r="G754" s="3" t="inlineStr">
        <is>
          <t>Cross product orientation CCW bounding box</t>
        </is>
      </c>
      <c r="H754" s="2" t="n">
        <v>90</v>
      </c>
      <c r="I754" s="2" t="n">
        <v>80</v>
      </c>
      <c r="J754" s="5" t="inlineStr">
        <is>
          <t>https://www.codechef.com/problems/LINEINTERSECT</t>
        </is>
      </c>
      <c r="K754" s="3" t="inlineStr"/>
      <c r="L754" s="2" t="inlineStr">
        <is>
          <t>codechef</t>
        </is>
      </c>
    </row>
    <row r="755" ht="20" customHeight="1">
      <c r="A755" s="6" t="inlineStr">
        <is>
          <t>Unsolved</t>
        </is>
      </c>
      <c r="B755" s="7" t="inlineStr">
        <is>
          <t>KINGDOM 22 — THE KINGDOM OF GEOMETRY &amp; COMPUTATIONAL GEOMETRY</t>
        </is>
      </c>
      <c r="C755" s="7" t="inlineStr">
        <is>
          <t>Pattern 22.2 — Coordinate Geometry</t>
        </is>
      </c>
      <c r="D755" s="6" t="inlineStr">
        <is>
          <t>CGEO201</t>
        </is>
      </c>
      <c r="E755" s="7" t="inlineStr">
        <is>
          <t>Valid Square Quadrilateral Distance Check</t>
        </is>
      </c>
      <c r="F755" s="9" t="inlineStr">
        <is>
          <t>Medium</t>
        </is>
      </c>
      <c r="G755" s="7" t="inlineStr">
        <is>
          <t>4 sides equal 2 diagonals equal distance</t>
        </is>
      </c>
      <c r="H755" s="6" t="n">
        <v>60</v>
      </c>
      <c r="I755" s="6" t="n">
        <v>55</v>
      </c>
      <c r="J755" s="8" t="inlineStr">
        <is>
          <t>https://www.codechef.com/problems/CGEO201</t>
        </is>
      </c>
      <c r="K755" s="7" t="inlineStr"/>
      <c r="L755" s="6" t="inlineStr">
        <is>
          <t>codechef</t>
        </is>
      </c>
    </row>
    <row r="756" ht="20" customHeight="1">
      <c r="A756" s="2" t="inlineStr">
        <is>
          <t>Unsolved</t>
        </is>
      </c>
      <c r="B756" s="3" t="inlineStr">
        <is>
          <t>KINGDOM 22 — THE KINGDOM OF GEOMETRY &amp; COMPUTATIONAL GEOMETRY</t>
        </is>
      </c>
      <c r="C756" s="3" t="inlineStr">
        <is>
          <t>Pattern 22.2 — Coordinate Geometry</t>
        </is>
      </c>
      <c r="D756" s="2" t="inlineStr">
        <is>
          <t>CGEO202</t>
        </is>
      </c>
      <c r="E756" s="3" t="inlineStr">
        <is>
          <t>Circle and Rectangle Overlapping Geometry</t>
        </is>
      </c>
      <c r="F756" s="9" t="inlineStr">
        <is>
          <t>Medium</t>
        </is>
      </c>
      <c r="G756" s="3" t="inlineStr">
        <is>
          <t>Clamp circle center to rectangle bounds</t>
        </is>
      </c>
      <c r="H756" s="2" t="n">
        <v>60</v>
      </c>
      <c r="I756" s="2" t="n">
        <v>55</v>
      </c>
      <c r="J756" s="5" t="inlineStr">
        <is>
          <t>https://www.codechef.com/problems/CGEO202</t>
        </is>
      </c>
      <c r="K756" s="3" t="inlineStr"/>
      <c r="L756" s="2" t="inlineStr">
        <is>
          <t>codechef</t>
        </is>
      </c>
    </row>
    <row r="757" ht="20" customHeight="1">
      <c r="A757" s="6" t="inlineStr">
        <is>
          <t>Unsolved</t>
        </is>
      </c>
      <c r="B757" s="7" t="inlineStr">
        <is>
          <t>KINGDOM 22 — THE KINGDOM OF GEOMETRY &amp; COMPUTATIONAL GEOMETRY</t>
        </is>
      </c>
      <c r="C757" s="7" t="inlineStr">
        <is>
          <t>Pattern 22.2 — Coordinate Geometry</t>
        </is>
      </c>
      <c r="D757" s="6" t="inlineStr">
        <is>
          <t>CGEO203</t>
        </is>
      </c>
      <c r="E757" s="7" t="inlineStr">
        <is>
          <t>Projection Area of 3D Shapes Geometry</t>
        </is>
      </c>
      <c r="F757" s="4" t="inlineStr">
        <is>
          <t>Easy</t>
        </is>
      </c>
      <c r="G757" s="7" t="inlineStr">
        <is>
          <t>Top xy front xz side yz max projections</t>
        </is>
      </c>
      <c r="H757" s="6" t="n">
        <v>25</v>
      </c>
      <c r="I757" s="6" t="n">
        <v>20</v>
      </c>
      <c r="J757" s="8" t="inlineStr">
        <is>
          <t>https://www.codechef.com/problems/CGEO203</t>
        </is>
      </c>
      <c r="K757" s="7" t="inlineStr"/>
      <c r="L757" s="6" t="inlineStr">
        <is>
          <t>codechef</t>
        </is>
      </c>
    </row>
    <row r="758" ht="20" customHeight="1">
      <c r="A758" s="2" t="inlineStr">
        <is>
          <t>Unsolved</t>
        </is>
      </c>
      <c r="B758" s="3" t="inlineStr">
        <is>
          <t>KINGDOM 22 — THE KINGDOM OF GEOMETRY &amp; COMPUTATIONAL GEOMETRY</t>
        </is>
      </c>
      <c r="C758" s="3" t="inlineStr">
        <is>
          <t>Pattern 22.2 — Coordinate Geometry</t>
        </is>
      </c>
      <c r="D758" s="2" t="inlineStr">
        <is>
          <t>CGEO204</t>
        </is>
      </c>
      <c r="E758" s="3" t="inlineStr">
        <is>
          <t>Surface Area of 3D Shapes Geometry</t>
        </is>
      </c>
      <c r="F758" s="9" t="inlineStr">
        <is>
          <t>Easy-Medium</t>
        </is>
      </c>
      <c r="G758" s="3" t="inlineStr">
        <is>
          <t>Grid column height adjacent difference</t>
        </is>
      </c>
      <c r="H758" s="2" t="n">
        <v>40</v>
      </c>
      <c r="I758" s="2" t="n">
        <v>35</v>
      </c>
      <c r="J758" s="5" t="inlineStr">
        <is>
          <t>https://www.codechef.com/problems/CGEO204</t>
        </is>
      </c>
      <c r="K758" s="3" t="inlineStr"/>
      <c r="L758" s="2" t="inlineStr">
        <is>
          <t>codechef</t>
        </is>
      </c>
    </row>
    <row r="759" ht="20" customHeight="1">
      <c r="A759" s="6" t="inlineStr">
        <is>
          <t>Unsolved</t>
        </is>
      </c>
      <c r="B759" s="7" t="inlineStr">
        <is>
          <t>KINGDOM 22 — THE KINGDOM OF GEOMETRY &amp; COMPUTATIONAL GEOMETRY</t>
        </is>
      </c>
      <c r="C759" s="7" t="inlineStr">
        <is>
          <t>Pattern 22.2 — Coordinate Geometry</t>
        </is>
      </c>
      <c r="D759" s="6" t="inlineStr">
        <is>
          <t>CGEO205</t>
        </is>
      </c>
      <c r="E759" s="7" t="inlineStr">
        <is>
          <t>Minimum Time Visiting All Points 2D Chebyshev Distance</t>
        </is>
      </c>
      <c r="F759" s="4" t="inlineStr">
        <is>
          <t>Easy</t>
        </is>
      </c>
      <c r="G759" s="7" t="inlineStr">
        <is>
          <t>Max abs dx dy step count</t>
        </is>
      </c>
      <c r="H759" s="6" t="n">
        <v>25</v>
      </c>
      <c r="I759" s="6" t="n">
        <v>20</v>
      </c>
      <c r="J759" s="8" t="inlineStr">
        <is>
          <t>https://www.codechef.com/problems/CGEO205</t>
        </is>
      </c>
      <c r="K759" s="7" t="inlineStr"/>
      <c r="L759" s="6" t="inlineStr">
        <is>
          <t>codechef</t>
        </is>
      </c>
    </row>
    <row r="760" ht="20" customHeight="1">
      <c r="A760" s="2" t="inlineStr">
        <is>
          <t>Unsolved</t>
        </is>
      </c>
      <c r="B760" s="3" t="inlineStr">
        <is>
          <t>KINGDOM 22 — THE KINGDOM OF GEOMETRY &amp; COMPUTATIONAL GEOMETRY</t>
        </is>
      </c>
      <c r="C760" s="3" t="inlineStr">
        <is>
          <t>Pattern 22.3 — Area &amp; Volume</t>
        </is>
      </c>
      <c r="D760" s="2" t="inlineStr">
        <is>
          <t>POLYAREA</t>
        </is>
      </c>
      <c r="E760" s="3" t="inlineStr">
        <is>
          <t>Shoelace Formula Polygon Area Computation</t>
        </is>
      </c>
      <c r="F760" s="9" t="inlineStr">
        <is>
          <t>Medium</t>
        </is>
      </c>
      <c r="G760" s="3" t="inlineStr">
        <is>
          <t>Shoelace cross product summation / 2</t>
        </is>
      </c>
      <c r="H760" s="2" t="n">
        <v>60</v>
      </c>
      <c r="I760" s="2" t="n">
        <v>55</v>
      </c>
      <c r="J760" s="5" t="inlineStr">
        <is>
          <t>https://www.codechef.com/problems/POLYAREA</t>
        </is>
      </c>
      <c r="K760" s="3" t="inlineStr"/>
      <c r="L760" s="2" t="inlineStr">
        <is>
          <t>codechef</t>
        </is>
      </c>
    </row>
    <row r="761" ht="20" customHeight="1">
      <c r="A761" s="6" t="inlineStr">
        <is>
          <t>Unsolved</t>
        </is>
      </c>
      <c r="B761" s="7" t="inlineStr">
        <is>
          <t>KINGDOM 22 — THE KINGDOM OF GEOMETRY &amp; COMPUTATIONAL GEOMETRY</t>
        </is>
      </c>
      <c r="C761" s="7" t="inlineStr">
        <is>
          <t>Pattern 22.3 — Area &amp; Volume</t>
        </is>
      </c>
      <c r="D761" s="6" t="inlineStr">
        <is>
          <t>TRIANGLEAREA</t>
        </is>
      </c>
      <c r="E761" s="7" t="inlineStr">
        <is>
          <t>Largest Triangle Area 3 Points Geometry</t>
        </is>
      </c>
      <c r="F761" s="4" t="inlineStr">
        <is>
          <t>Easy</t>
        </is>
      </c>
      <c r="G761" s="7" t="inlineStr">
        <is>
          <t>Shoelace formula 3 points max search</t>
        </is>
      </c>
      <c r="H761" s="6" t="n">
        <v>25</v>
      </c>
      <c r="I761" s="6" t="n">
        <v>20</v>
      </c>
      <c r="J761" s="8" t="inlineStr">
        <is>
          <t>https://www.codechef.com/problems/TRIANGLEAREA</t>
        </is>
      </c>
      <c r="K761" s="7" t="inlineStr"/>
      <c r="L761" s="6" t="inlineStr">
        <is>
          <t>codechef</t>
        </is>
      </c>
    </row>
    <row r="762" ht="20" customHeight="1">
      <c r="A762" s="2" t="inlineStr">
        <is>
          <t>Unsolved</t>
        </is>
      </c>
      <c r="B762" s="3" t="inlineStr">
        <is>
          <t>KINGDOM 22 — THE KINGDOM OF GEOMETRY &amp; COMPUTATIONAL GEOMETRY</t>
        </is>
      </c>
      <c r="C762" s="3" t="inlineStr">
        <is>
          <t>Pattern 22.3 — Area &amp; Volume</t>
        </is>
      </c>
      <c r="D762" s="2" t="inlineStr">
        <is>
          <t>AV101</t>
        </is>
      </c>
      <c r="E762" s="3" t="inlineStr">
        <is>
          <t>Rectangle Area Overlap Sum Geometry</t>
        </is>
      </c>
      <c r="F762" s="9" t="inlineStr">
        <is>
          <t>Easy-Medium</t>
        </is>
      </c>
      <c r="G762" s="3" t="inlineStr">
        <is>
          <t>Area1 + Area2 - Overlap(dx * dy)</t>
        </is>
      </c>
      <c r="H762" s="2" t="n">
        <v>40</v>
      </c>
      <c r="I762" s="2" t="n">
        <v>35</v>
      </c>
      <c r="J762" s="5" t="inlineStr">
        <is>
          <t>https://www.codechef.com/problems/AV101</t>
        </is>
      </c>
      <c r="K762" s="3" t="inlineStr"/>
      <c r="L762" s="2" t="inlineStr">
        <is>
          <t>codechef</t>
        </is>
      </c>
    </row>
    <row r="763" ht="20" customHeight="1">
      <c r="A763" s="6" t="inlineStr">
        <is>
          <t>Unsolved</t>
        </is>
      </c>
      <c r="B763" s="7" t="inlineStr">
        <is>
          <t>KINGDOM 22 — THE KINGDOM OF GEOMETRY &amp; COMPUTATIONAL GEOMETRY</t>
        </is>
      </c>
      <c r="C763" s="7" t="inlineStr">
        <is>
          <t>Pattern 22.3 — Area &amp; Volume</t>
        </is>
      </c>
      <c r="D763" s="6" t="inlineStr">
        <is>
          <t>AV102</t>
        </is>
      </c>
      <c r="E763" s="7" t="inlineStr">
        <is>
          <t>Rectangle Overlap Check Bounding Box</t>
        </is>
      </c>
      <c r="F763" s="4" t="inlineStr">
        <is>
          <t>Easy</t>
        </is>
      </c>
      <c r="G763" s="7" t="inlineStr">
        <is>
          <t>x_overlap &gt; 0 and y_overlap &gt; 0</t>
        </is>
      </c>
      <c r="H763" s="6" t="n">
        <v>25</v>
      </c>
      <c r="I763" s="6" t="n">
        <v>20</v>
      </c>
      <c r="J763" s="8" t="inlineStr">
        <is>
          <t>https://www.codechef.com/problems/AV102</t>
        </is>
      </c>
      <c r="K763" s="7" t="inlineStr"/>
      <c r="L763" s="6" t="inlineStr">
        <is>
          <t>codechef</t>
        </is>
      </c>
    </row>
    <row r="764" ht="20" customHeight="1">
      <c r="A764" s="2" t="inlineStr">
        <is>
          <t>Unsolved</t>
        </is>
      </c>
      <c r="B764" s="3" t="inlineStr">
        <is>
          <t>KINGDOM 22 — THE KINGDOM OF GEOMETRY &amp; COMPUTATIONAL GEOMETRY</t>
        </is>
      </c>
      <c r="C764" s="3" t="inlineStr">
        <is>
          <t>Pattern 22.3 — Area &amp; Volume</t>
        </is>
      </c>
      <c r="D764" s="2" t="inlineStr">
        <is>
          <t>AV103</t>
        </is>
      </c>
      <c r="E764" s="3" t="inlineStr">
        <is>
          <t>Maximum Area of a Piece of Cake Grid Cut</t>
        </is>
      </c>
      <c r="F764" s="9" t="inlineStr">
        <is>
          <t>Medium</t>
        </is>
      </c>
      <c r="G764" s="3" t="inlineStr">
        <is>
          <t>Max horizontal diff * max vertical diff mod 10^9+7</t>
        </is>
      </c>
      <c r="H764" s="2" t="n">
        <v>60</v>
      </c>
      <c r="I764" s="2" t="n">
        <v>55</v>
      </c>
      <c r="J764" s="5" t="inlineStr">
        <is>
          <t>https://www.codechef.com/problems/AV103</t>
        </is>
      </c>
      <c r="K764" s="3" t="inlineStr"/>
      <c r="L764" s="2" t="inlineStr">
        <is>
          <t>codechef</t>
        </is>
      </c>
    </row>
    <row r="765" ht="20" customHeight="1">
      <c r="A765" s="6" t="inlineStr">
        <is>
          <t>Unsolved</t>
        </is>
      </c>
      <c r="B765" s="7" t="inlineStr">
        <is>
          <t>KINGDOM 22 — THE KINGDOM OF GEOMETRY &amp; COMPUTATIONAL GEOMETRY</t>
        </is>
      </c>
      <c r="C765" s="7" t="inlineStr">
        <is>
          <t>Pattern 22.3 — Area &amp; Volume</t>
        </is>
      </c>
      <c r="D765" s="6" t="inlineStr">
        <is>
          <t>AV104</t>
        </is>
      </c>
      <c r="E765" s="7" t="inlineStr">
        <is>
          <t>Volume of 3D Cylinder / Sphere Math Geometry</t>
        </is>
      </c>
      <c r="F765" s="4" t="inlineStr">
        <is>
          <t>Beginner</t>
        </is>
      </c>
      <c r="G765" s="7" t="inlineStr">
        <is>
          <t>Pi r^2 h formula</t>
        </is>
      </c>
      <c r="H765" s="6" t="n">
        <v>15</v>
      </c>
      <c r="I765" s="6" t="n">
        <v>10</v>
      </c>
      <c r="J765" s="8" t="inlineStr">
        <is>
          <t>https://www.codechef.com/problems/AV104</t>
        </is>
      </c>
      <c r="K765" s="7" t="inlineStr"/>
      <c r="L765" s="6" t="inlineStr">
        <is>
          <t>codechef</t>
        </is>
      </c>
    </row>
    <row r="766" ht="20" customHeight="1">
      <c r="A766" s="2" t="inlineStr">
        <is>
          <t>Unsolved</t>
        </is>
      </c>
      <c r="B766" s="3" t="inlineStr">
        <is>
          <t>KINGDOM 23 — THE KINGDOM OF GAME THEORY &amp; NIM</t>
        </is>
      </c>
      <c r="C766" s="3" t="inlineStr">
        <is>
          <t>Pattern 23.1 — Nim Games</t>
        </is>
      </c>
      <c r="D766" s="2" t="inlineStr">
        <is>
          <t>NIM1</t>
        </is>
      </c>
      <c r="E766" s="3" t="inlineStr">
        <is>
          <t>Nim Game Stone Removal XOR Sum</t>
        </is>
      </c>
      <c r="F766" s="4" t="inlineStr">
        <is>
          <t>Easy</t>
        </is>
      </c>
      <c r="G766" s="3" t="inlineStr">
        <is>
          <t>XOR sum Nim-Sum == 0 losing &gt; 0 winning</t>
        </is>
      </c>
      <c r="H766" s="2" t="n">
        <v>25</v>
      </c>
      <c r="I766" s="2" t="n">
        <v>20</v>
      </c>
      <c r="J766" s="5" t="inlineStr">
        <is>
          <t>https://www.codechef.com/problems/NIM1</t>
        </is>
      </c>
      <c r="K766" s="3" t="inlineStr"/>
      <c r="L766" s="2" t="inlineStr">
        <is>
          <t>codechef</t>
        </is>
      </c>
    </row>
    <row r="767" ht="20" customHeight="1">
      <c r="A767" s="6" t="inlineStr">
        <is>
          <t>Unsolved</t>
        </is>
      </c>
      <c r="B767" s="7" t="inlineStr">
        <is>
          <t>KINGDOM 23 — THE KINGDOM OF GAME THEORY &amp; NIM</t>
        </is>
      </c>
      <c r="C767" s="7" t="inlineStr">
        <is>
          <t>Pattern 23.1 — Nim Games</t>
        </is>
      </c>
      <c r="D767" s="6" t="inlineStr">
        <is>
          <t>STONEGAME</t>
        </is>
      </c>
      <c r="E767" s="7" t="inlineStr">
        <is>
          <t>Stone Game I Range DP Game Theory</t>
        </is>
      </c>
      <c r="F767" s="9" t="inlineStr">
        <is>
          <t>Medium</t>
        </is>
      </c>
      <c r="G767" s="7" t="inlineStr">
        <is>
          <t>Minimax DP score diff / parity greedy</t>
        </is>
      </c>
      <c r="H767" s="6" t="n">
        <v>60</v>
      </c>
      <c r="I767" s="6" t="n">
        <v>55</v>
      </c>
      <c r="J767" s="8" t="inlineStr">
        <is>
          <t>https://www.codechef.com/problems/STONEGAME</t>
        </is>
      </c>
      <c r="K767" s="7" t="inlineStr"/>
      <c r="L767" s="6" t="inlineStr">
        <is>
          <t>codechef</t>
        </is>
      </c>
    </row>
    <row r="768" ht="20" customHeight="1">
      <c r="A768" s="2" t="inlineStr">
        <is>
          <t>Unsolved</t>
        </is>
      </c>
      <c r="B768" s="3" t="inlineStr">
        <is>
          <t>KINGDOM 23 — THE KINGDOM OF GAME THEORY &amp; NIM</t>
        </is>
      </c>
      <c r="C768" s="3" t="inlineStr">
        <is>
          <t>Pattern 23.1 — Nim Games</t>
        </is>
      </c>
      <c r="D768" s="2" t="inlineStr">
        <is>
          <t>NIM101</t>
        </is>
      </c>
      <c r="E768" s="3" t="inlineStr">
        <is>
          <t>Stone Game II Dynamic Choice DP Game Theory</t>
        </is>
      </c>
      <c r="F768" s="10" t="inlineStr">
        <is>
          <t>Medium-Hard</t>
        </is>
      </c>
      <c r="G768" s="3" t="inlineStr">
        <is>
          <t>Minimax DP memoization (i, M)</t>
        </is>
      </c>
      <c r="H768" s="2" t="n">
        <v>90</v>
      </c>
      <c r="I768" s="2" t="n">
        <v>80</v>
      </c>
      <c r="J768" s="5" t="inlineStr">
        <is>
          <t>https://www.codechef.com/problems/NIM101</t>
        </is>
      </c>
      <c r="K768" s="3" t="inlineStr"/>
      <c r="L768" s="2" t="inlineStr">
        <is>
          <t>codechef</t>
        </is>
      </c>
    </row>
    <row r="769" ht="20" customHeight="1">
      <c r="A769" s="6" t="inlineStr">
        <is>
          <t>Unsolved</t>
        </is>
      </c>
      <c r="B769" s="7" t="inlineStr">
        <is>
          <t>KINGDOM 23 — THE KINGDOM OF GAME THEORY &amp; NIM</t>
        </is>
      </c>
      <c r="C769" s="7" t="inlineStr">
        <is>
          <t>Pattern 23.1 — Nim Games</t>
        </is>
      </c>
      <c r="D769" s="6" t="inlineStr">
        <is>
          <t>NIM102</t>
        </is>
      </c>
      <c r="E769" s="7" t="inlineStr">
        <is>
          <t>Stone Game III Multi-Choice Line DP</t>
        </is>
      </c>
      <c r="F769" s="10" t="inlineStr">
        <is>
          <t>Hard</t>
        </is>
      </c>
      <c r="G769" s="7" t="inlineStr">
        <is>
          <t>Minimax DP 1 2 3 stone choices</t>
        </is>
      </c>
      <c r="H769" s="6" t="n">
        <v>120</v>
      </c>
      <c r="I769" s="6" t="n">
        <v>120</v>
      </c>
      <c r="J769" s="8" t="inlineStr">
        <is>
          <t>https://www.codechef.com/problems/NIM102</t>
        </is>
      </c>
      <c r="K769" s="7" t="inlineStr"/>
      <c r="L769" s="6" t="inlineStr">
        <is>
          <t>codechef</t>
        </is>
      </c>
    </row>
    <row r="770" ht="20" customHeight="1">
      <c r="A770" s="2" t="inlineStr">
        <is>
          <t>Unsolved</t>
        </is>
      </c>
      <c r="B770" s="3" t="inlineStr">
        <is>
          <t>KINGDOM 23 — THE KINGDOM OF GAME THEORY &amp; NIM</t>
        </is>
      </c>
      <c r="C770" s="3" t="inlineStr">
        <is>
          <t>Pattern 23.1 — Nim Games</t>
        </is>
      </c>
      <c r="D770" s="2" t="inlineStr">
        <is>
          <t>NIM103</t>
        </is>
      </c>
      <c r="E770" s="3" t="inlineStr">
        <is>
          <t>Stone Game IV Square Removal DP Game Theory</t>
        </is>
      </c>
      <c r="F770" s="10" t="inlineStr">
        <is>
          <t>Hard</t>
        </is>
      </c>
      <c r="G770" s="3" t="inlineStr">
        <is>
          <t>DP win loss state boolean sqrt k loop</t>
        </is>
      </c>
      <c r="H770" s="2" t="n">
        <v>120</v>
      </c>
      <c r="I770" s="2" t="n">
        <v>120</v>
      </c>
      <c r="J770" s="5" t="inlineStr">
        <is>
          <t>https://www.codechef.com/problems/NIM103</t>
        </is>
      </c>
      <c r="K770" s="3" t="inlineStr"/>
      <c r="L770" s="2" t="inlineStr">
        <is>
          <t>codechef</t>
        </is>
      </c>
    </row>
    <row r="771" ht="20" customHeight="1">
      <c r="A771" s="6" t="inlineStr">
        <is>
          <t>Unsolved</t>
        </is>
      </c>
      <c r="B771" s="7" t="inlineStr">
        <is>
          <t>KINGDOM 23 — THE KINGDOM OF GAME THEORY &amp; NIM</t>
        </is>
      </c>
      <c r="C771" s="7" t="inlineStr">
        <is>
          <t>Pattern 23.1 — Nim Games</t>
        </is>
      </c>
      <c r="D771" s="6" t="inlineStr">
        <is>
          <t>NIM104</t>
        </is>
      </c>
      <c r="E771" s="7" t="inlineStr">
        <is>
          <t>Stone Game V Split Array Sum DP</t>
        </is>
      </c>
      <c r="F771" s="10" t="inlineStr">
        <is>
          <t>Hard</t>
        </is>
      </c>
      <c r="G771" s="7" t="inlineStr">
        <is>
          <t>Interval DP max row score sum</t>
        </is>
      </c>
      <c r="H771" s="6" t="n">
        <v>120</v>
      </c>
      <c r="I771" s="6" t="n">
        <v>120</v>
      </c>
      <c r="J771" s="8" t="inlineStr">
        <is>
          <t>https://www.codechef.com/problems/NIM104</t>
        </is>
      </c>
      <c r="K771" s="7" t="inlineStr"/>
      <c r="L771" s="6" t="inlineStr">
        <is>
          <t>codechef</t>
        </is>
      </c>
    </row>
    <row r="772" ht="20" customHeight="1">
      <c r="A772" s="2" t="inlineStr">
        <is>
          <t>Unsolved</t>
        </is>
      </c>
      <c r="B772" s="3" t="inlineStr">
        <is>
          <t>KINGDOM 23 — THE KINGDOM OF GAME THEORY &amp; NIM</t>
        </is>
      </c>
      <c r="C772" s="3" t="inlineStr">
        <is>
          <t>Pattern 23.2 — Sprague–Grundy</t>
        </is>
      </c>
      <c r="D772" s="2" t="inlineStr">
        <is>
          <t>GRUNDY1</t>
        </is>
      </c>
      <c r="E772" s="3" t="inlineStr">
        <is>
          <t>Sprague-Grundy Theorem Mex Computation Game Theory</t>
        </is>
      </c>
      <c r="F772" s="10" t="inlineStr">
        <is>
          <t>Hard</t>
        </is>
      </c>
      <c r="G772" s="3" t="inlineStr">
        <is>
          <t>SG Function mex set XOR sum overall games</t>
        </is>
      </c>
      <c r="H772" s="2" t="n">
        <v>120</v>
      </c>
      <c r="I772" s="2" t="n">
        <v>120</v>
      </c>
      <c r="J772" s="5" t="inlineStr">
        <is>
          <t>https://www.codechef.com/problems/GRUNDY1</t>
        </is>
      </c>
      <c r="K772" s="3" t="inlineStr"/>
      <c r="L772" s="2" t="inlineStr">
        <is>
          <t>codechef</t>
        </is>
      </c>
    </row>
    <row r="773" ht="20" customHeight="1">
      <c r="A773" s="6" t="inlineStr">
        <is>
          <t>Unsolved</t>
        </is>
      </c>
      <c r="B773" s="7" t="inlineStr">
        <is>
          <t>KINGDOM 23 — THE KINGDOM OF GAME THEORY &amp; NIM</t>
        </is>
      </c>
      <c r="C773" s="7" t="inlineStr">
        <is>
          <t>Pattern 23.2 — Sprague–Grundy</t>
        </is>
      </c>
      <c r="D773" s="6" t="inlineStr">
        <is>
          <t>GAMESTATE</t>
        </is>
      </c>
      <c r="E773" s="7" t="inlineStr">
        <is>
          <t>Game Theory State Graph Mex Analysis</t>
        </is>
      </c>
      <c r="F773" s="10" t="inlineStr">
        <is>
          <t>Hard</t>
        </is>
      </c>
      <c r="G773" s="7" t="inlineStr">
        <is>
          <t>Game state DAG transition mex calculation</t>
        </is>
      </c>
      <c r="H773" s="6" t="n">
        <v>120</v>
      </c>
      <c r="I773" s="6" t="n">
        <v>120</v>
      </c>
      <c r="J773" s="8" t="inlineStr">
        <is>
          <t>https://www.codechef.com/problems/GAMESTATE</t>
        </is>
      </c>
      <c r="K773" s="7" t="inlineStr"/>
      <c r="L773" s="6" t="inlineStr">
        <is>
          <t>codechef</t>
        </is>
      </c>
    </row>
    <row r="774" ht="20" customHeight="1">
      <c r="A774" s="2" t="inlineStr">
        <is>
          <t>Unsolved</t>
        </is>
      </c>
      <c r="B774" s="3" t="inlineStr">
        <is>
          <t>KINGDOM 23 — THE KINGDOM OF GAME THEORY &amp; NIM</t>
        </is>
      </c>
      <c r="C774" s="3" t="inlineStr">
        <is>
          <t>Pattern 23.2 — Sprague–Grundy</t>
        </is>
      </c>
      <c r="D774" s="2" t="inlineStr">
        <is>
          <t>SG101</t>
        </is>
      </c>
      <c r="E774" s="3" t="inlineStr">
        <is>
          <t>Stone Game VII Alice Bob Sum Diff DP</t>
        </is>
      </c>
      <c r="F774" s="10" t="inlineStr">
        <is>
          <t>Medium-Hard</t>
        </is>
      </c>
      <c r="G774" s="3" t="inlineStr">
        <is>
          <t>Interval DP score difference</t>
        </is>
      </c>
      <c r="H774" s="2" t="n">
        <v>90</v>
      </c>
      <c r="I774" s="2" t="n">
        <v>80</v>
      </c>
      <c r="J774" s="5" t="inlineStr">
        <is>
          <t>https://www.codechef.com/problems/SG101</t>
        </is>
      </c>
      <c r="K774" s="3" t="inlineStr"/>
      <c r="L774" s="2" t="inlineStr">
        <is>
          <t>codechef</t>
        </is>
      </c>
    </row>
    <row r="775" ht="20" customHeight="1">
      <c r="A775" s="6" t="inlineStr">
        <is>
          <t>Unsolved</t>
        </is>
      </c>
      <c r="B775" s="7" t="inlineStr">
        <is>
          <t>KINGDOM 23 — THE KINGDOM OF GAME THEORY &amp; NIM</t>
        </is>
      </c>
      <c r="C775" s="7" t="inlineStr">
        <is>
          <t>Pattern 23.2 — Sprague–Grundy</t>
        </is>
      </c>
      <c r="D775" s="6" t="inlineStr">
        <is>
          <t>SG102</t>
        </is>
      </c>
      <c r="E775" s="7" t="inlineStr">
        <is>
          <t>Stone Game VIII Prefix Sum Game DP</t>
        </is>
      </c>
      <c r="F775" s="10" t="inlineStr">
        <is>
          <t>Hard</t>
        </is>
      </c>
      <c r="G775" s="7" t="inlineStr">
        <is>
          <t>Suffix max prefix sum DP</t>
        </is>
      </c>
      <c r="H775" s="6" t="n">
        <v>120</v>
      </c>
      <c r="I775" s="6" t="n">
        <v>120</v>
      </c>
      <c r="J775" s="8" t="inlineStr">
        <is>
          <t>https://www.codechef.com/problems/SG102</t>
        </is>
      </c>
      <c r="K775" s="7" t="inlineStr"/>
      <c r="L775" s="6" t="inlineStr">
        <is>
          <t>codechef</t>
        </is>
      </c>
    </row>
    <row r="776" ht="20" customHeight="1">
      <c r="A776" s="2" t="inlineStr">
        <is>
          <t>Unsolved</t>
        </is>
      </c>
      <c r="B776" s="3" t="inlineStr">
        <is>
          <t>KINGDOM 23 — THE KINGDOM OF GAME THEORY &amp; NIM</t>
        </is>
      </c>
      <c r="C776" s="3" t="inlineStr">
        <is>
          <t>Pattern 23.2 — Sprague–Grundy</t>
        </is>
      </c>
      <c r="D776" s="2" t="inlineStr">
        <is>
          <t>SG103</t>
        </is>
      </c>
      <c r="E776" s="3" t="inlineStr">
        <is>
          <t>Divisor Game Parity State Game Theory</t>
        </is>
      </c>
      <c r="F776" s="4" t="inlineStr">
        <is>
          <t>Easy</t>
        </is>
      </c>
      <c r="G776" s="3" t="inlineStr">
        <is>
          <t>N % 2 == 0 winning state</t>
        </is>
      </c>
      <c r="H776" s="2" t="n">
        <v>25</v>
      </c>
      <c r="I776" s="2" t="n">
        <v>20</v>
      </c>
      <c r="J776" s="5" t="inlineStr">
        <is>
          <t>https://www.codechef.com/problems/SG103</t>
        </is>
      </c>
      <c r="K776" s="3" t="inlineStr"/>
      <c r="L776" s="2" t="inlineStr">
        <is>
          <t>codechef</t>
        </is>
      </c>
    </row>
    <row r="777" ht="20" customHeight="1">
      <c r="A777" s="6" t="inlineStr">
        <is>
          <t>Unsolved</t>
        </is>
      </c>
      <c r="B777" s="7" t="inlineStr">
        <is>
          <t>KINGDOM 23 — THE KINGDOM OF GAME THEORY &amp; NIM</t>
        </is>
      </c>
      <c r="C777" s="7" t="inlineStr">
        <is>
          <t>Pattern 23.2 — Sprague–Grundy</t>
        </is>
      </c>
      <c r="D777" s="6" t="inlineStr">
        <is>
          <t>SG104</t>
        </is>
      </c>
      <c r="E777" s="7" t="inlineStr">
        <is>
          <t>Cat and Mouse Graph Game Theory BFS</t>
        </is>
      </c>
      <c r="F777" s="10" t="inlineStr">
        <is>
          <t>Hard</t>
        </is>
      </c>
      <c r="G777" s="7" t="inlineStr">
        <is>
          <t>Minimax BFS state degree count (cat, mouse, turn)</t>
        </is>
      </c>
      <c r="H777" s="6" t="n">
        <v>120</v>
      </c>
      <c r="I777" s="6" t="n">
        <v>120</v>
      </c>
      <c r="J777" s="8" t="inlineStr">
        <is>
          <t>https://www.codechef.com/problems/SG104</t>
        </is>
      </c>
      <c r="K777" s="7" t="inlineStr"/>
      <c r="L777" s="6" t="inlineStr">
        <is>
          <t>codechef</t>
        </is>
      </c>
    </row>
    <row r="778" ht="20" customHeight="1">
      <c r="A778" s="2" t="inlineStr">
        <is>
          <t>Unsolved</t>
        </is>
      </c>
      <c r="B778" s="3" t="inlineStr">
        <is>
          <t>KINGDOM 23 — THE KINGDOM OF GAME THEORY &amp; NIM</t>
        </is>
      </c>
      <c r="C778" s="3" t="inlineStr">
        <is>
          <t>Pattern 23.3 — Subtraction Games</t>
        </is>
      </c>
      <c r="D778" s="2" t="inlineStr">
        <is>
          <t>SUBGAME</t>
        </is>
      </c>
      <c r="E778" s="3" t="inlineStr">
        <is>
          <t>Nim Subtraction Game Multi-Pile XOR</t>
        </is>
      </c>
      <c r="F778" s="9" t="inlineStr">
        <is>
          <t>Medium</t>
        </is>
      </c>
      <c r="G778" s="3" t="inlineStr">
        <is>
          <t>XOR sum parity reduction</t>
        </is>
      </c>
      <c r="H778" s="2" t="n">
        <v>60</v>
      </c>
      <c r="I778" s="2" t="n">
        <v>55</v>
      </c>
      <c r="J778" s="5" t="inlineStr">
        <is>
          <t>https://www.codechef.com/problems/SUBGAME</t>
        </is>
      </c>
      <c r="K778" s="3" t="inlineStr"/>
      <c r="L778" s="2" t="inlineStr">
        <is>
          <t>codechef</t>
        </is>
      </c>
    </row>
    <row r="779" ht="20" customHeight="1">
      <c r="A779" s="6" t="inlineStr">
        <is>
          <t>Unsolved</t>
        </is>
      </c>
      <c r="B779" s="7" t="inlineStr">
        <is>
          <t>KINGDOM 23 — THE KINGDOM OF GAME THEORY &amp; NIM</t>
        </is>
      </c>
      <c r="C779" s="7" t="inlineStr">
        <is>
          <t>Pattern 23.3 — Subtraction Games</t>
        </is>
      </c>
      <c r="D779" s="6" t="inlineStr">
        <is>
          <t>TAKESTONES</t>
        </is>
      </c>
      <c r="E779" s="7" t="inlineStr">
        <is>
          <t>Can I Win Minimax Bitmask Game DP</t>
        </is>
      </c>
      <c r="F779" s="10" t="inlineStr">
        <is>
          <t>Hard</t>
        </is>
      </c>
      <c r="G779" s="7" t="inlineStr">
        <is>
          <t>Minimax Bitmask DP memoization</t>
        </is>
      </c>
      <c r="H779" s="6" t="n">
        <v>120</v>
      </c>
      <c r="I779" s="6" t="n">
        <v>120</v>
      </c>
      <c r="J779" s="8" t="inlineStr">
        <is>
          <t>https://www.codechef.com/problems/TAKESTONES</t>
        </is>
      </c>
      <c r="K779" s="7" t="inlineStr"/>
      <c r="L779" s="6" t="inlineStr">
        <is>
          <t>codechef</t>
        </is>
      </c>
    </row>
    <row r="780" ht="20" customHeight="1">
      <c r="A780" s="2" t="inlineStr">
        <is>
          <t>Unsolved</t>
        </is>
      </c>
      <c r="B780" s="3" t="inlineStr">
        <is>
          <t>KINGDOM 23 — THE KINGDOM OF GAME THEORY &amp; NIM</t>
        </is>
      </c>
      <c r="C780" s="3" t="inlineStr">
        <is>
          <t>Pattern 23.3 — Subtraction Games</t>
        </is>
      </c>
      <c r="D780" s="2" t="inlineStr">
        <is>
          <t>SUB101</t>
        </is>
      </c>
      <c r="E780" s="3" t="inlineStr">
        <is>
          <t>Predict the Winner Subtraction Array Game</t>
        </is>
      </c>
      <c r="F780" s="9" t="inlineStr">
        <is>
          <t>Medium</t>
        </is>
      </c>
      <c r="G780" s="3" t="inlineStr">
        <is>
          <t>Minimax interval DP score diff</t>
        </is>
      </c>
      <c r="H780" s="2" t="n">
        <v>60</v>
      </c>
      <c r="I780" s="2" t="n">
        <v>55</v>
      </c>
      <c r="J780" s="5" t="inlineStr">
        <is>
          <t>https://www.codechef.com/problems/SUB101</t>
        </is>
      </c>
      <c r="K780" s="3" t="inlineStr"/>
      <c r="L780" s="2" t="inlineStr">
        <is>
          <t>codechef</t>
        </is>
      </c>
    </row>
    <row r="781" ht="20" customHeight="1">
      <c r="A781" s="6" t="inlineStr">
        <is>
          <t>Unsolved</t>
        </is>
      </c>
      <c r="B781" s="7" t="inlineStr">
        <is>
          <t>KINGDOM 24 — THE KINGDOM OF CONSTRUCTIVE ALGORITHMS</t>
        </is>
      </c>
      <c r="C781" s="7" t="inlineStr">
        <is>
          <t>Pattern 24.2 — Greedy Construction</t>
        </is>
      </c>
      <c r="D781" s="6" t="inlineStr">
        <is>
          <t>CONSTRUCT1</t>
        </is>
      </c>
      <c r="E781" s="7" t="inlineStr">
        <is>
          <t>Construct K Palindromic Strings</t>
        </is>
      </c>
      <c r="F781" s="9" t="inlineStr">
        <is>
          <t>Medium</t>
        </is>
      </c>
      <c r="G781" s="7" t="inlineStr">
        <is>
          <t>Odd frequency count &lt;= K &lt;= len</t>
        </is>
      </c>
      <c r="H781" s="6" t="n">
        <v>60</v>
      </c>
      <c r="I781" s="6" t="n">
        <v>55</v>
      </c>
      <c r="J781" s="8" t="inlineStr">
        <is>
          <t>https://www.codechef.com/problems/CONSTRUCT1</t>
        </is>
      </c>
      <c r="K781" s="7" t="inlineStr"/>
      <c r="L781" s="6" t="inlineStr">
        <is>
          <t>codechef</t>
        </is>
      </c>
    </row>
    <row r="782" ht="20" customHeight="1">
      <c r="A782" s="2" t="inlineStr">
        <is>
          <t>Unsolved</t>
        </is>
      </c>
      <c r="B782" s="3" t="inlineStr">
        <is>
          <t>KINGDOM 24 — THE KINGDOM OF CONSTRUCTIVE ALGORITHMS</t>
        </is>
      </c>
      <c r="C782" s="3" t="inlineStr">
        <is>
          <t>Pattern 24.2 — Greedy Construction</t>
        </is>
      </c>
      <c r="D782" s="2" t="inlineStr">
        <is>
          <t>BUILDARR</t>
        </is>
      </c>
      <c r="E782" s="3" t="inlineStr">
        <is>
          <t>Construct Array With Given Limit Difference</t>
        </is>
      </c>
      <c r="F782" s="9" t="inlineStr">
        <is>
          <t>Easy-Medium</t>
        </is>
      </c>
      <c r="G782" s="3" t="inlineStr">
        <is>
          <t>Greedy step assignment</t>
        </is>
      </c>
      <c r="H782" s="2" t="n">
        <v>40</v>
      </c>
      <c r="I782" s="2" t="n">
        <v>35</v>
      </c>
      <c r="J782" s="5" t="inlineStr">
        <is>
          <t>https://www.codechef.com/problems/BUILDARR</t>
        </is>
      </c>
      <c r="K782" s="3" t="inlineStr"/>
      <c r="L782" s="2" t="inlineStr">
        <is>
          <t>codechef</t>
        </is>
      </c>
    </row>
    <row r="783" ht="20" customHeight="1">
      <c r="A783" s="6" t="inlineStr">
        <is>
          <t>Unsolved</t>
        </is>
      </c>
      <c r="B783" s="7" t="inlineStr">
        <is>
          <t>KINGDOM 24 — THE KINGDOM OF CONSTRUCTIVE ALGORITHMS</t>
        </is>
      </c>
      <c r="C783" s="7" t="inlineStr">
        <is>
          <t>Pattern 24.2 — Greedy Construction</t>
        </is>
      </c>
      <c r="D783" s="6" t="inlineStr">
        <is>
          <t>GC101</t>
        </is>
      </c>
      <c r="E783" s="7" t="inlineStr">
        <is>
          <t>Construct String With Repeat Limit Greedy Heap</t>
        </is>
      </c>
      <c r="F783" s="9" t="inlineStr">
        <is>
          <t>Medium</t>
        </is>
      </c>
      <c r="G783" s="7" t="inlineStr">
        <is>
          <t>Max heap greedy string construction</t>
        </is>
      </c>
      <c r="H783" s="6" t="n">
        <v>60</v>
      </c>
      <c r="I783" s="6" t="n">
        <v>55</v>
      </c>
      <c r="J783" s="8" t="inlineStr">
        <is>
          <t>https://www.codechef.com/problems/GC101</t>
        </is>
      </c>
      <c r="K783" s="7" t="inlineStr"/>
      <c r="L783" s="6" t="inlineStr">
        <is>
          <t>codechef</t>
        </is>
      </c>
    </row>
    <row r="784" ht="20" customHeight="1">
      <c r="A784" s="2" t="inlineStr">
        <is>
          <t>Unsolved</t>
        </is>
      </c>
      <c r="B784" s="3" t="inlineStr">
        <is>
          <t>KINGDOM 24 — THE KINGDOM OF CONSTRUCTIVE ALGORITHMS</t>
        </is>
      </c>
      <c r="C784" s="3" t="inlineStr">
        <is>
          <t>Pattern 24.2 — Greedy Construction</t>
        </is>
      </c>
      <c r="D784" s="2" t="inlineStr">
        <is>
          <t>GC102</t>
        </is>
      </c>
      <c r="E784" s="3" t="inlineStr">
        <is>
          <t>Reconstruct 2-Row Binary Matrix Column Sums</t>
        </is>
      </c>
      <c r="F784" s="9" t="inlineStr">
        <is>
          <t>Medium</t>
        </is>
      </c>
      <c r="G784" s="3" t="inlineStr">
        <is>
          <t>Greedy upper lower sum allocation</t>
        </is>
      </c>
      <c r="H784" s="2" t="n">
        <v>60</v>
      </c>
      <c r="I784" s="2" t="n">
        <v>55</v>
      </c>
      <c r="J784" s="5" t="inlineStr">
        <is>
          <t>https://www.codechef.com/problems/GC102</t>
        </is>
      </c>
      <c r="K784" s="3" t="inlineStr"/>
      <c r="L784" s="2" t="inlineStr">
        <is>
          <t>codechef</t>
        </is>
      </c>
    </row>
    <row r="785" ht="20" customHeight="1">
      <c r="A785" s="6" t="inlineStr">
        <is>
          <t>Unsolved</t>
        </is>
      </c>
      <c r="B785" s="7" t="inlineStr">
        <is>
          <t>KINGDOM 24 — THE KINGDOM OF CONSTRUCTIVE ALGORITHMS</t>
        </is>
      </c>
      <c r="C785" s="7" t="inlineStr">
        <is>
          <t>Pattern 24.2 — Greedy Construction</t>
        </is>
      </c>
      <c r="D785" s="6" t="inlineStr">
        <is>
          <t>GC103</t>
        </is>
      </c>
      <c r="E785" s="7" t="inlineStr">
        <is>
          <t>Minimum Moves to Make Array Complementary</t>
        </is>
      </c>
      <c r="F785" s="10" t="inlineStr">
        <is>
          <t>Medium-Hard</t>
        </is>
      </c>
      <c r="G785" s="7" t="inlineStr">
        <is>
          <t>Difference array sweep line target sum</t>
        </is>
      </c>
      <c r="H785" s="6" t="n">
        <v>90</v>
      </c>
      <c r="I785" s="6" t="n">
        <v>80</v>
      </c>
      <c r="J785" s="8" t="inlineStr">
        <is>
          <t>https://www.codechef.com/problems/GC103</t>
        </is>
      </c>
      <c r="K785" s="7" t="inlineStr"/>
      <c r="L785" s="6" t="inlineStr">
        <is>
          <t>codechef</t>
        </is>
      </c>
    </row>
    <row r="786" ht="20" customHeight="1">
      <c r="A786" s="2" t="inlineStr">
        <is>
          <t>Unsolved</t>
        </is>
      </c>
      <c r="B786" s="3" t="inlineStr">
        <is>
          <t>KINGDOM 24 — THE KINGDOM OF CONSTRUCTIVE ALGORITHMS</t>
        </is>
      </c>
      <c r="C786" s="3" t="inlineStr">
        <is>
          <t>Pattern 24.2 — Greedy Construction</t>
        </is>
      </c>
      <c r="D786" s="2" t="inlineStr">
        <is>
          <t>GC104</t>
        </is>
      </c>
      <c r="E786" s="3" t="inlineStr">
        <is>
          <t>Construct Target Array With Multiple Sums</t>
        </is>
      </c>
      <c r="F786" s="10" t="inlineStr">
        <is>
          <t>Hard</t>
        </is>
      </c>
      <c r="G786" s="3" t="inlineStr">
        <is>
          <t>Max heap reverse simulation modulo</t>
        </is>
      </c>
      <c r="H786" s="2" t="n">
        <v>120</v>
      </c>
      <c r="I786" s="2" t="n">
        <v>120</v>
      </c>
      <c r="J786" s="5" t="inlineStr">
        <is>
          <t>https://www.codechef.com/problems/GC104</t>
        </is>
      </c>
      <c r="K786" s="3" t="inlineStr"/>
      <c r="L786" s="2" t="inlineStr">
        <is>
          <t>codechef</t>
        </is>
      </c>
    </row>
    <row r="787" ht="20" customHeight="1">
      <c r="A787" s="6" t="inlineStr">
        <is>
          <t>Unsolved</t>
        </is>
      </c>
      <c r="B787" s="7" t="inlineStr">
        <is>
          <t>KINGDOM 24 — THE KINGDOM OF CONSTRUCTIVE ALGORITHMS</t>
        </is>
      </c>
      <c r="C787" s="7" t="inlineStr">
        <is>
          <t>Pattern 24.2 — Greedy Construction</t>
        </is>
      </c>
      <c r="D787" s="6" t="inlineStr">
        <is>
          <t>GC105</t>
        </is>
      </c>
      <c r="E787" s="7" t="inlineStr">
        <is>
          <t>Maximum Element After Decreasing and Rearranging</t>
        </is>
      </c>
      <c r="F787" s="9" t="inlineStr">
        <is>
          <t>Easy-Medium</t>
        </is>
      </c>
      <c r="G787" s="7" t="inlineStr">
        <is>
          <t>Sort &amp; greedy step increment</t>
        </is>
      </c>
      <c r="H787" s="6" t="n">
        <v>40</v>
      </c>
      <c r="I787" s="6" t="n">
        <v>35</v>
      </c>
      <c r="J787" s="8" t="inlineStr">
        <is>
          <t>https://www.codechef.com/problems/GC105</t>
        </is>
      </c>
      <c r="K787" s="7" t="inlineStr"/>
      <c r="L787" s="6" t="inlineStr">
        <is>
          <t>codechef</t>
        </is>
      </c>
    </row>
    <row r="788" ht="20" customHeight="1">
      <c r="A788" s="2" t="inlineStr">
        <is>
          <t>Unsolved</t>
        </is>
      </c>
      <c r="B788" s="3" t="inlineStr">
        <is>
          <t>KINGDOM 24 — THE KINGDOM OF CONSTRUCTIVE ALGORITHMS</t>
        </is>
      </c>
      <c r="C788" s="3" t="inlineStr">
        <is>
          <t>Pattern 24.2 — Greedy Construction</t>
        </is>
      </c>
      <c r="D788" s="2" t="inlineStr">
        <is>
          <t>GC106</t>
        </is>
      </c>
      <c r="E788" s="3" t="inlineStr">
        <is>
          <t>Construct Smallest Number From DI String Monotonic Stack</t>
        </is>
      </c>
      <c r="F788" s="9" t="inlineStr">
        <is>
          <t>Medium</t>
        </is>
      </c>
      <c r="G788" s="3" t="inlineStr">
        <is>
          <t>Monotonic stack / pattern reverse</t>
        </is>
      </c>
      <c r="H788" s="2" t="n">
        <v>60</v>
      </c>
      <c r="I788" s="2" t="n">
        <v>55</v>
      </c>
      <c r="J788" s="5" t="inlineStr">
        <is>
          <t>https://www.codechef.com/problems/GC106</t>
        </is>
      </c>
      <c r="K788" s="3" t="inlineStr"/>
      <c r="L788" s="2" t="inlineStr">
        <is>
          <t>codechef</t>
        </is>
      </c>
    </row>
    <row r="789" ht="20" customHeight="1">
      <c r="A789" s="6" t="inlineStr">
        <is>
          <t>Unsolved</t>
        </is>
      </c>
      <c r="B789" s="7" t="inlineStr">
        <is>
          <t>KINGDOM 24 — THE KINGDOM OF CONSTRUCTIVE ALGORITHMS</t>
        </is>
      </c>
      <c r="C789" s="7" t="inlineStr">
        <is>
          <t>Pattern 24.2 — Greedy Construction</t>
        </is>
      </c>
      <c r="D789" s="6" t="inlineStr">
        <is>
          <t>GC107</t>
        </is>
      </c>
      <c r="E789" s="7" t="inlineStr">
        <is>
          <t>Minimum Deletions to Make Character Frequencies Unique</t>
        </is>
      </c>
      <c r="F789" s="9" t="inlineStr">
        <is>
          <t>Medium</t>
        </is>
      </c>
      <c r="G789" s="7" t="inlineStr">
        <is>
          <t>Greedy hash set frequency decrement</t>
        </is>
      </c>
      <c r="H789" s="6" t="n">
        <v>60</v>
      </c>
      <c r="I789" s="6" t="n">
        <v>55</v>
      </c>
      <c r="J789" s="8" t="inlineStr">
        <is>
          <t>https://www.codechef.com/problems/GC107</t>
        </is>
      </c>
      <c r="K789" s="7" t="inlineStr"/>
      <c r="L789" s="6" t="inlineStr">
        <is>
          <t>codechef</t>
        </is>
      </c>
    </row>
    <row r="790" ht="20" customHeight="1">
      <c r="A790" s="2" t="inlineStr">
        <is>
          <t>Unsolved</t>
        </is>
      </c>
      <c r="B790" s="3" t="inlineStr">
        <is>
          <t>KINGDOM 24 — THE KINGDOM OF CONSTRUCTIVE ALGORITHMS</t>
        </is>
      </c>
      <c r="C790" s="3" t="inlineStr">
        <is>
          <t>Pattern 24.2 — Greedy Construction</t>
        </is>
      </c>
      <c r="D790" s="2" t="inlineStr">
        <is>
          <t>GC108</t>
        </is>
      </c>
      <c r="E790" s="3" t="inlineStr">
        <is>
          <t>Construct Lexicographically Smallest Array Swaps</t>
        </is>
      </c>
      <c r="F790" s="10" t="inlineStr">
        <is>
          <t>Medium-Hard</t>
        </is>
      </c>
      <c r="G790" s="3" t="inlineStr">
        <is>
          <t>Sort indices component grouping</t>
        </is>
      </c>
      <c r="H790" s="2" t="n">
        <v>90</v>
      </c>
      <c r="I790" s="2" t="n">
        <v>80</v>
      </c>
      <c r="J790" s="5" t="inlineStr">
        <is>
          <t>https://www.codechef.com/problems/GC108</t>
        </is>
      </c>
      <c r="K790" s="3" t="inlineStr"/>
      <c r="L790" s="2" t="inlineStr">
        <is>
          <t>codechef</t>
        </is>
      </c>
    </row>
    <row r="791" ht="20" customHeight="1">
      <c r="A791" s="6" t="inlineStr">
        <is>
          <t>Unsolved</t>
        </is>
      </c>
      <c r="B791" s="7" t="inlineStr">
        <is>
          <t>KINGDOM 24 — THE KINGDOM OF CONSTRUCTIVE ALGORITHMS</t>
        </is>
      </c>
      <c r="C791" s="7" t="inlineStr">
        <is>
          <t>Pattern 24.3 — Constructive Mathematics</t>
        </is>
      </c>
      <c r="D791" s="6" t="inlineStr">
        <is>
          <t>MATHCONST</t>
        </is>
      </c>
      <c r="E791" s="7" t="inlineStr">
        <is>
          <t>Construct Product Array Except Self Math</t>
        </is>
      </c>
      <c r="F791" s="9" t="inlineStr">
        <is>
          <t>Medium</t>
        </is>
      </c>
      <c r="G791" s="7" t="inlineStr">
        <is>
          <t>Prefix product * Suffix product O(1) space</t>
        </is>
      </c>
      <c r="H791" s="6" t="n">
        <v>60</v>
      </c>
      <c r="I791" s="6" t="n">
        <v>55</v>
      </c>
      <c r="J791" s="8" t="inlineStr">
        <is>
          <t>https://www.codechef.com/problems/MATHCONST</t>
        </is>
      </c>
      <c r="K791" s="7" t="inlineStr"/>
      <c r="L791" s="6" t="inlineStr">
        <is>
          <t>codechef</t>
        </is>
      </c>
    </row>
    <row r="792" ht="20" customHeight="1">
      <c r="A792" s="2" t="inlineStr">
        <is>
          <t>Unsolved</t>
        </is>
      </c>
      <c r="B792" s="3" t="inlineStr">
        <is>
          <t>KINGDOM 24 — THE KINGDOM OF CONSTRUCTIVE ALGORITHMS</t>
        </is>
      </c>
      <c r="C792" s="3" t="inlineStr">
        <is>
          <t>Pattern 24.3 — Constructive Mathematics</t>
        </is>
      </c>
      <c r="D792" s="2" t="inlineStr">
        <is>
          <t>MATRIXBUILD</t>
        </is>
      </c>
      <c r="E792" s="3" t="inlineStr">
        <is>
          <t>Spiral Matrix Construction 2D Bounds</t>
        </is>
      </c>
      <c r="F792" s="9" t="inlineStr">
        <is>
          <t>Medium</t>
        </is>
      </c>
      <c r="G792" s="3" t="inlineStr">
        <is>
          <t>4-pointer top bottom left right boundary walk</t>
        </is>
      </c>
      <c r="H792" s="2" t="n">
        <v>60</v>
      </c>
      <c r="I792" s="2" t="n">
        <v>55</v>
      </c>
      <c r="J792" s="5" t="inlineStr">
        <is>
          <t>https://www.codechef.com/problems/MATRIXBUILD</t>
        </is>
      </c>
      <c r="K792" s="3" t="inlineStr"/>
      <c r="L792" s="2" t="inlineStr">
        <is>
          <t>codechef</t>
        </is>
      </c>
    </row>
    <row r="793" ht="20" customHeight="1">
      <c r="A793" s="6" t="inlineStr">
        <is>
          <t>Unsolved</t>
        </is>
      </c>
      <c r="B793" s="7" t="inlineStr">
        <is>
          <t>KINGDOM 24 — THE KINGDOM OF CONSTRUCTIVE ALGORITHMS</t>
        </is>
      </c>
      <c r="C793" s="7" t="inlineStr">
        <is>
          <t>Pattern 24.3 — Constructive Mathematics</t>
        </is>
      </c>
      <c r="D793" s="6" t="inlineStr">
        <is>
          <t>MC101</t>
        </is>
      </c>
      <c r="E793" s="7" t="inlineStr">
        <is>
          <t>Find Valid Matrix Given Row and Column Sums</t>
        </is>
      </c>
      <c r="F793" s="9" t="inlineStr">
        <is>
          <t>Medium</t>
        </is>
      </c>
      <c r="G793" s="7" t="inlineStr">
        <is>
          <t>Greedy min(rowSum[i], colSum[j]) matrix build</t>
        </is>
      </c>
      <c r="H793" s="6" t="n">
        <v>60</v>
      </c>
      <c r="I793" s="6" t="n">
        <v>55</v>
      </c>
      <c r="J793" s="8" t="inlineStr">
        <is>
          <t>https://www.codechef.com/problems/MC101</t>
        </is>
      </c>
      <c r="K793" s="7" t="inlineStr"/>
      <c r="L793" s="6" t="inlineStr">
        <is>
          <t>codechef</t>
        </is>
      </c>
    </row>
    <row r="794" ht="20" customHeight="1">
      <c r="A794" s="2" t="inlineStr">
        <is>
          <t>Unsolved</t>
        </is>
      </c>
      <c r="B794" s="3" t="inlineStr">
        <is>
          <t>KINGDOM 24 — THE KINGDOM OF CONSTRUCTIVE ALGORITHMS</t>
        </is>
      </c>
      <c r="C794" s="3" t="inlineStr">
        <is>
          <t>Pattern 24.3 — Constructive Mathematics</t>
        </is>
      </c>
      <c r="D794" s="2" t="inlineStr">
        <is>
          <t>MC102</t>
        </is>
      </c>
      <c r="E794" s="3" t="inlineStr">
        <is>
          <t>Construct Diagonal Traverse Matrix</t>
        </is>
      </c>
      <c r="F794" s="9" t="inlineStr">
        <is>
          <t>Medium</t>
        </is>
      </c>
      <c r="G794" s="3" t="inlineStr">
        <is>
          <t>Index sum row+col parity direction flip</t>
        </is>
      </c>
      <c r="H794" s="2" t="n">
        <v>60</v>
      </c>
      <c r="I794" s="2" t="n">
        <v>55</v>
      </c>
      <c r="J794" s="5" t="inlineStr">
        <is>
          <t>https://www.codechef.com/problems/MC102</t>
        </is>
      </c>
      <c r="K794" s="3" t="inlineStr"/>
      <c r="L794" s="2" t="inlineStr">
        <is>
          <t>codechef</t>
        </is>
      </c>
    </row>
    <row r="795" ht="20" customHeight="1">
      <c r="A795" s="6" t="inlineStr">
        <is>
          <t>Unsolved</t>
        </is>
      </c>
      <c r="B795" s="7" t="inlineStr">
        <is>
          <t>KINGDOM 24 — THE KINGDOM OF CONSTRUCTIVE ALGORITHMS</t>
        </is>
      </c>
      <c r="C795" s="7" t="inlineStr">
        <is>
          <t>Pattern 24.3 — Constructive Mathematics</t>
        </is>
      </c>
      <c r="D795" s="6" t="inlineStr">
        <is>
          <t>MC103</t>
        </is>
      </c>
      <c r="E795" s="7" t="inlineStr">
        <is>
          <t>Convert an Array Into a 2D Array With Conditions</t>
        </is>
      </c>
      <c r="F795" s="9" t="inlineStr">
        <is>
          <t>Easy-Medium</t>
        </is>
      </c>
      <c r="G795" s="7" t="inlineStr">
        <is>
          <t>Frequency row assignment hash map</t>
        </is>
      </c>
      <c r="H795" s="6" t="n">
        <v>40</v>
      </c>
      <c r="I795" s="6" t="n">
        <v>35</v>
      </c>
      <c r="J795" s="8" t="inlineStr">
        <is>
          <t>https://www.codechef.com/problems/MC103</t>
        </is>
      </c>
      <c r="K795" s="7" t="inlineStr"/>
      <c r="L795" s="6" t="inlineStr">
        <is>
          <t>codechef</t>
        </is>
      </c>
    </row>
    <row r="796" ht="20" customHeight="1">
      <c r="A796" s="2" t="inlineStr">
        <is>
          <t>Unsolved</t>
        </is>
      </c>
      <c r="B796" s="3" t="inlineStr">
        <is>
          <t>KINGDOM 24 — THE KINGDOM OF CONSTRUCTIVE ALGORITHMS</t>
        </is>
      </c>
      <c r="C796" s="3" t="inlineStr">
        <is>
          <t>Pattern 24.3 — Constructive Mathematics</t>
        </is>
      </c>
      <c r="D796" s="2" t="inlineStr">
        <is>
          <t>MC104</t>
        </is>
      </c>
      <c r="E796" s="3" t="inlineStr">
        <is>
          <t>Construct Original Array From Doubled Array</t>
        </is>
      </c>
      <c r="F796" s="9" t="inlineStr">
        <is>
          <t>Medium</t>
        </is>
      </c>
      <c r="G796" s="3" t="inlineStr">
        <is>
          <t>Sort &amp; frequency map doubled match</t>
        </is>
      </c>
      <c r="H796" s="2" t="n">
        <v>60</v>
      </c>
      <c r="I796" s="2" t="n">
        <v>55</v>
      </c>
      <c r="J796" s="5" t="inlineStr">
        <is>
          <t>https://www.codechef.com/problems/MC104</t>
        </is>
      </c>
      <c r="K796" s="3" t="inlineStr"/>
      <c r="L796" s="2" t="inlineStr">
        <is>
          <t>codechef</t>
        </is>
      </c>
    </row>
    <row r="797" ht="20" customHeight="1">
      <c r="A797" s="6" t="inlineStr">
        <is>
          <t>Unsolved</t>
        </is>
      </c>
      <c r="B797" s="7" t="inlineStr">
        <is>
          <t>KINGDOM 24 — THE KINGDOM OF CONSTRUCTIVE ALGORITHMS</t>
        </is>
      </c>
      <c r="C797" s="7" t="inlineStr">
        <is>
          <t>Pattern 24.3 — Constructive Mathematics</t>
        </is>
      </c>
      <c r="D797" s="6" t="inlineStr">
        <is>
          <t>MC105</t>
        </is>
      </c>
      <c r="E797" s="7" t="inlineStr">
        <is>
          <t>Minimum Number of Operations to Reinitialize a Permutation</t>
        </is>
      </c>
      <c r="F797" s="9" t="inlineStr">
        <is>
          <t>Medium</t>
        </is>
      </c>
      <c r="G797" s="7" t="inlineStr">
        <is>
          <t>Even odd index formula simulation</t>
        </is>
      </c>
      <c r="H797" s="6" t="n">
        <v>60</v>
      </c>
      <c r="I797" s="6" t="n">
        <v>55</v>
      </c>
      <c r="J797" s="8" t="inlineStr">
        <is>
          <t>https://www.codechef.com/problems/MC105</t>
        </is>
      </c>
      <c r="K797" s="7" t="inlineStr"/>
      <c r="L797" s="6" t="inlineStr">
        <is>
          <t>codechef</t>
        </is>
      </c>
    </row>
    <row r="798" ht="20" customHeight="1">
      <c r="A798" s="2" t="inlineStr">
        <is>
          <t>Unsolved</t>
        </is>
      </c>
      <c r="B798" s="3" t="inlineStr">
        <is>
          <t>KINGDOM 24 — THE KINGDOM OF CONSTRUCTIVE ALGORITHMS</t>
        </is>
      </c>
      <c r="C798" s="3" t="inlineStr">
        <is>
          <t>Pattern 24.3 — Constructive Mathematics</t>
        </is>
      </c>
      <c r="D798" s="2" t="inlineStr">
        <is>
          <t>MC106</t>
        </is>
      </c>
      <c r="E798" s="3" t="inlineStr">
        <is>
          <t>Construct Matrix With Row Column Sum Constraints</t>
        </is>
      </c>
      <c r="F798" s="10" t="inlineStr">
        <is>
          <t>Medium-Hard</t>
        </is>
      </c>
      <c r="G798" s="3" t="inlineStr">
        <is>
          <t>Greedy row col allocation</t>
        </is>
      </c>
      <c r="H798" s="2" t="n">
        <v>90</v>
      </c>
      <c r="I798" s="2" t="n">
        <v>80</v>
      </c>
      <c r="J798" s="5" t="inlineStr">
        <is>
          <t>https://www.codechef.com/problems/MC106</t>
        </is>
      </c>
      <c r="K798" s="3" t="inlineStr"/>
      <c r="L798" s="2" t="inlineStr">
        <is>
          <t>codechef</t>
        </is>
      </c>
    </row>
    <row r="799" ht="20" customHeight="1">
      <c r="A799" s="6" t="inlineStr">
        <is>
          <t>Unsolved</t>
        </is>
      </c>
      <c r="B799" s="7" t="inlineStr">
        <is>
          <t>KINGDOM 24 — THE KINGDOM OF CONSTRUCTIVE ALGORITHMS</t>
        </is>
      </c>
      <c r="C799" s="7" t="inlineStr">
        <is>
          <t>Pattern 24.3 — Constructive Mathematics</t>
        </is>
      </c>
      <c r="D799" s="6" t="inlineStr">
        <is>
          <t>MC107</t>
        </is>
      </c>
      <c r="E799" s="7" t="inlineStr">
        <is>
          <t>Construct Binary Grid With Maximum Black Cells</t>
        </is>
      </c>
      <c r="F799" s="9" t="inlineStr">
        <is>
          <t>Medium</t>
        </is>
      </c>
      <c r="G799" s="7" t="inlineStr">
        <is>
          <t>Mathematical checkerboard construction</t>
        </is>
      </c>
      <c r="H799" s="6" t="n">
        <v>60</v>
      </c>
      <c r="I799" s="6" t="n">
        <v>55</v>
      </c>
      <c r="J799" s="8" t="inlineStr">
        <is>
          <t>https://www.codechef.com/problems/MC107</t>
        </is>
      </c>
      <c r="K799" s="7" t="inlineStr"/>
      <c r="L799" s="6" t="inlineStr">
        <is>
          <t>codechef</t>
        </is>
      </c>
    </row>
    <row r="800" ht="20" customHeight="1">
      <c r="A800" s="2" t="inlineStr">
        <is>
          <t>Unsolved</t>
        </is>
      </c>
      <c r="B800" s="3" t="inlineStr">
        <is>
          <t>KINGDOM 24 — THE KINGDOM OF CONSTRUCTIVE ALGORITHMS</t>
        </is>
      </c>
      <c r="C800" s="3" t="inlineStr">
        <is>
          <t>Pattern 24.3 — Constructive Mathematics</t>
        </is>
      </c>
      <c r="D800" s="2" t="inlineStr">
        <is>
          <t>MC108</t>
        </is>
      </c>
      <c r="E800" s="3" t="inlineStr">
        <is>
          <t>Construct Divisible Array Sequence</t>
        </is>
      </c>
      <c r="F800" s="9" t="inlineStr">
        <is>
          <t>Medium</t>
        </is>
      </c>
      <c r="G800" s="3" t="inlineStr">
        <is>
          <t>Modular arithmetic construction</t>
        </is>
      </c>
      <c r="H800" s="2" t="n">
        <v>60</v>
      </c>
      <c r="I800" s="2" t="n">
        <v>55</v>
      </c>
      <c r="J800" s="5" t="inlineStr">
        <is>
          <t>https://www.codechef.com/problems/MC108</t>
        </is>
      </c>
      <c r="K800" s="3" t="inlineStr"/>
      <c r="L800" s="2" t="inlineStr">
        <is>
          <t>codechef</t>
        </is>
      </c>
    </row>
    <row r="801" ht="20" customHeight="1">
      <c r="A801" s="6" t="inlineStr">
        <is>
          <t>Unsolved</t>
        </is>
      </c>
      <c r="B801" s="7" t="inlineStr">
        <is>
          <t>KINGDOM 24 — THE KINGDOM OF CONSTRUCTIVE ALGORITHMS</t>
        </is>
      </c>
      <c r="C801" s="7" t="inlineStr">
        <is>
          <t>Pattern 24.4 — Permutation Construction</t>
        </is>
      </c>
      <c r="D801" s="6" t="inlineStr">
        <is>
          <t>PERMCONST</t>
        </is>
      </c>
      <c r="E801" s="7" t="inlineStr">
        <is>
          <t>Build Array from Permutation Mapping</t>
        </is>
      </c>
      <c r="F801" s="4" t="inlineStr">
        <is>
          <t>Beginner</t>
        </is>
      </c>
      <c r="G801" s="7" t="inlineStr">
        <is>
          <t>nums[nums[i]] direct mapping</t>
        </is>
      </c>
      <c r="H801" s="6" t="n">
        <v>15</v>
      </c>
      <c r="I801" s="6" t="n">
        <v>10</v>
      </c>
      <c r="J801" s="8" t="inlineStr">
        <is>
          <t>https://www.codechef.com/problems/PERMCONST</t>
        </is>
      </c>
      <c r="K801" s="7" t="inlineStr"/>
      <c r="L801" s="6" t="inlineStr">
        <is>
          <t>codechef</t>
        </is>
      </c>
    </row>
    <row r="802" ht="20" customHeight="1">
      <c r="A802" s="2" t="inlineStr">
        <is>
          <t>Unsolved</t>
        </is>
      </c>
      <c r="B802" s="3" t="inlineStr">
        <is>
          <t>KINGDOM 24 — THE KINGDOM OF CONSTRUCTIVE ALGORITHMS</t>
        </is>
      </c>
      <c r="C802" s="3" t="inlineStr">
        <is>
          <t>Pattern 24.4 — Permutation Construction</t>
        </is>
      </c>
      <c r="D802" s="2" t="inlineStr">
        <is>
          <t>SWAPPERM</t>
        </is>
      </c>
      <c r="E802" s="3" t="inlineStr">
        <is>
          <t>Find Permutation Given DI Pattern</t>
        </is>
      </c>
      <c r="F802" s="9" t="inlineStr">
        <is>
          <t>Medium</t>
        </is>
      </c>
      <c r="G802" s="3" t="inlineStr">
        <is>
          <t>Stack pattern reversal 1 to N+1</t>
        </is>
      </c>
      <c r="H802" s="2" t="n">
        <v>60</v>
      </c>
      <c r="I802" s="2" t="n">
        <v>55</v>
      </c>
      <c r="J802" s="5" t="inlineStr">
        <is>
          <t>https://www.codechef.com/problems/SWAPPERM</t>
        </is>
      </c>
      <c r="K802" s="3" t="inlineStr"/>
      <c r="L802" s="2" t="inlineStr">
        <is>
          <t>codechef</t>
        </is>
      </c>
    </row>
    <row r="803" ht="20" customHeight="1">
      <c r="A803" s="6" t="inlineStr">
        <is>
          <t>Unsolved</t>
        </is>
      </c>
      <c r="B803" s="7" t="inlineStr">
        <is>
          <t>KINGDOM 24 — THE KINGDOM OF CONSTRUCTIVE ALGORITHMS</t>
        </is>
      </c>
      <c r="C803" s="7" t="inlineStr">
        <is>
          <t>Pattern 24.4 — Permutation Construction</t>
        </is>
      </c>
      <c r="D803" s="6" t="inlineStr">
        <is>
          <t>PC101</t>
        </is>
      </c>
      <c r="E803" s="7" t="inlineStr">
        <is>
          <t>Construct Beautiful Permutation Absolute Diff K</t>
        </is>
      </c>
      <c r="F803" s="9" t="inlineStr">
        <is>
          <t>Medium</t>
        </is>
      </c>
      <c r="G803" s="7" t="inlineStr">
        <is>
          <t>Alternating high low pick construction</t>
        </is>
      </c>
      <c r="H803" s="6" t="n">
        <v>60</v>
      </c>
      <c r="I803" s="6" t="n">
        <v>55</v>
      </c>
      <c r="J803" s="8" t="inlineStr">
        <is>
          <t>https://www.codechef.com/problems/PC101</t>
        </is>
      </c>
      <c r="K803" s="7" t="inlineStr"/>
      <c r="L803" s="6" t="inlineStr">
        <is>
          <t>codechef</t>
        </is>
      </c>
    </row>
    <row r="804" ht="20" customHeight="1">
      <c r="A804" s="2" t="inlineStr">
        <is>
          <t>Unsolved</t>
        </is>
      </c>
      <c r="B804" s="3" t="inlineStr">
        <is>
          <t>KINGDOM 24 — THE KINGDOM OF CONSTRUCTIVE ALGORITHMS</t>
        </is>
      </c>
      <c r="C804" s="3" t="inlineStr">
        <is>
          <t>Pattern 24.4 — Permutation Construction</t>
        </is>
      </c>
      <c r="D804" s="2" t="inlineStr">
        <is>
          <t>PC102</t>
        </is>
      </c>
      <c r="E804" s="3" t="inlineStr">
        <is>
          <t>Construct Circular Permutation in Binary Code (Gray Code)</t>
        </is>
      </c>
      <c r="F804" s="9" t="inlineStr">
        <is>
          <t>Medium</t>
        </is>
      </c>
      <c r="G804" s="3" t="inlineStr">
        <is>
          <t>Gray code formula i ^ (i &gt;&gt; 1) XOR start</t>
        </is>
      </c>
      <c r="H804" s="2" t="n">
        <v>60</v>
      </c>
      <c r="I804" s="2" t="n">
        <v>55</v>
      </c>
      <c r="J804" s="5" t="inlineStr">
        <is>
          <t>https://www.codechef.com/problems/PC102</t>
        </is>
      </c>
      <c r="K804" s="3" t="inlineStr"/>
      <c r="L804" s="2" t="inlineStr">
        <is>
          <t>codechef</t>
        </is>
      </c>
    </row>
    <row r="805" ht="20" customHeight="1">
      <c r="A805" s="6" t="inlineStr">
        <is>
          <t>Unsolved</t>
        </is>
      </c>
      <c r="B805" s="7" t="inlineStr">
        <is>
          <t>KINGDOM 24 — THE KINGDOM OF CONSTRUCTIVE ALGORITHMS</t>
        </is>
      </c>
      <c r="C805" s="7" t="inlineStr">
        <is>
          <t>Pattern 24.4 — Permutation Construction</t>
        </is>
      </c>
      <c r="D805" s="6" t="inlineStr">
        <is>
          <t>PC103</t>
        </is>
      </c>
      <c r="E805" s="7" t="inlineStr">
        <is>
          <t>Construct Array With Same Difference Permutation</t>
        </is>
      </c>
      <c r="F805" s="9" t="inlineStr">
        <is>
          <t>Medium</t>
        </is>
      </c>
      <c r="G805" s="7" t="inlineStr">
        <is>
          <t>Zigzag construction</t>
        </is>
      </c>
      <c r="H805" s="6" t="n">
        <v>60</v>
      </c>
      <c r="I805" s="6" t="n">
        <v>55</v>
      </c>
      <c r="J805" s="8" t="inlineStr">
        <is>
          <t>https://www.codechef.com/problems/PC103</t>
        </is>
      </c>
      <c r="K805" s="7" t="inlineStr"/>
      <c r="L805" s="6" t="inlineStr">
        <is>
          <t>codechef</t>
        </is>
      </c>
    </row>
    <row r="806" ht="20" customHeight="1">
      <c r="A806" s="2" t="inlineStr">
        <is>
          <t>Unsolved</t>
        </is>
      </c>
      <c r="B806" s="3" t="inlineStr">
        <is>
          <t>KINGDOM 24 — THE KINGDOM OF CONSTRUCTIVE ALGORITHMS</t>
        </is>
      </c>
      <c r="C806" s="3" t="inlineStr">
        <is>
          <t>Pattern 24.4 — Permutation Construction</t>
        </is>
      </c>
      <c r="D806" s="2" t="inlineStr">
        <is>
          <t>PC104</t>
        </is>
      </c>
      <c r="E806" s="3" t="inlineStr">
        <is>
          <t>Construct Minimum Swaps to Sort Permutation</t>
        </is>
      </c>
      <c r="F806" s="9" t="inlineStr">
        <is>
          <t>Medium</t>
        </is>
      </c>
      <c r="G806" s="3" t="inlineStr">
        <is>
          <t>Cycle decomposition N - num_cycles</t>
        </is>
      </c>
      <c r="H806" s="2" t="n">
        <v>60</v>
      </c>
      <c r="I806" s="2" t="n">
        <v>55</v>
      </c>
      <c r="J806" s="5" t="inlineStr">
        <is>
          <t>https://www.codechef.com/problems/PC104</t>
        </is>
      </c>
      <c r="K806" s="3" t="inlineStr"/>
      <c r="L806" s="2" t="inlineStr">
        <is>
          <t>codechef</t>
        </is>
      </c>
    </row>
    <row r="807" ht="20" customHeight="1">
      <c r="A807" s="6" t="inlineStr">
        <is>
          <t>Unsolved</t>
        </is>
      </c>
      <c r="B807" s="7" t="inlineStr">
        <is>
          <t>KINGDOM 24 — THE KINGDOM OF CONSTRUCTIVE ALGORITHMS</t>
        </is>
      </c>
      <c r="C807" s="7" t="inlineStr">
        <is>
          <t>Pattern 24.4 — Permutation Construction</t>
        </is>
      </c>
      <c r="D807" s="6" t="inlineStr">
        <is>
          <t>PC105</t>
        </is>
      </c>
      <c r="E807" s="7" t="inlineStr">
        <is>
          <t>Construct Permutation With Target Inversion Count</t>
        </is>
      </c>
      <c r="F807" s="10" t="inlineStr">
        <is>
          <t>Hard</t>
        </is>
      </c>
      <c r="G807" s="7" t="inlineStr">
        <is>
          <t>DP / Greedy inversion fill</t>
        </is>
      </c>
      <c r="H807" s="6" t="n">
        <v>120</v>
      </c>
      <c r="I807" s="6" t="n">
        <v>120</v>
      </c>
      <c r="J807" s="8" t="inlineStr">
        <is>
          <t>https://www.codechef.com/problems/PC105</t>
        </is>
      </c>
      <c r="K807" s="7" t="inlineStr"/>
      <c r="L807" s="6" t="inlineStr">
        <is>
          <t>codechef</t>
        </is>
      </c>
    </row>
    <row r="808" ht="20" customHeight="1">
      <c r="A808" s="2" t="inlineStr">
        <is>
          <t>Unsolved</t>
        </is>
      </c>
      <c r="B808" s="3" t="inlineStr">
        <is>
          <t>KINGDOM 24 — THE KINGDOM OF CONSTRUCTIVE ALGORITHMS</t>
        </is>
      </c>
      <c r="C808" s="3" t="inlineStr">
        <is>
          <t>Pattern 24.4 — Permutation Construction</t>
        </is>
      </c>
      <c r="D808" s="2" t="inlineStr">
        <is>
          <t>PC106</t>
        </is>
      </c>
      <c r="E808" s="3" t="inlineStr">
        <is>
          <t>Construct Lexicographically Next Permutation</t>
        </is>
      </c>
      <c r="F808" s="9" t="inlineStr">
        <is>
          <t>Medium</t>
        </is>
      </c>
      <c r="G808" s="3" t="inlineStr">
        <is>
          <t>Next permutation 3-step algorithm</t>
        </is>
      </c>
      <c r="H808" s="2" t="n">
        <v>60</v>
      </c>
      <c r="I808" s="2" t="n">
        <v>55</v>
      </c>
      <c r="J808" s="5" t="inlineStr">
        <is>
          <t>https://www.codechef.com/problems/PC106</t>
        </is>
      </c>
      <c r="K808" s="3" t="inlineStr"/>
      <c r="L808" s="2" t="inlineStr">
        <is>
          <t>codechef</t>
        </is>
      </c>
    </row>
    <row r="809" ht="20" customHeight="1">
      <c r="A809" s="6" t="inlineStr">
        <is>
          <t>Unsolved</t>
        </is>
      </c>
      <c r="B809" s="7" t="inlineStr">
        <is>
          <t>KINGDOM 24 — THE KINGDOM OF CONSTRUCTIVE ALGORITHMS</t>
        </is>
      </c>
      <c r="C809" s="7" t="inlineStr">
        <is>
          <t>Pattern 24.4 — Permutation Construction</t>
        </is>
      </c>
      <c r="D809" s="6" t="inlineStr">
        <is>
          <t>PC107</t>
        </is>
      </c>
      <c r="E809" s="7" t="inlineStr">
        <is>
          <t>Construct Lexicographically Kth Smallest Permutation</t>
        </is>
      </c>
      <c r="F809" s="10" t="inlineStr">
        <is>
          <t>Medium-Hard</t>
        </is>
      </c>
      <c r="G809" s="7" t="inlineStr">
        <is>
          <t>Factoric radix permutation search</t>
        </is>
      </c>
      <c r="H809" s="6" t="n">
        <v>90</v>
      </c>
      <c r="I809" s="6" t="n">
        <v>80</v>
      </c>
      <c r="J809" s="8" t="inlineStr">
        <is>
          <t>https://www.codechef.com/problems/PC107</t>
        </is>
      </c>
      <c r="K809" s="7" t="inlineStr"/>
      <c r="L809" s="6" t="inlineStr">
        <is>
          <t>codechef</t>
        </is>
      </c>
    </row>
    <row r="810" ht="20" customHeight="1">
      <c r="A810" s="2" t="inlineStr">
        <is>
          <t>Unsolved</t>
        </is>
      </c>
      <c r="B810" s="3" t="inlineStr">
        <is>
          <t>KINGDOM 24 — THE KINGDOM OF CONSTRUCTIVE ALGORITHMS</t>
        </is>
      </c>
      <c r="C810" s="3" t="inlineStr">
        <is>
          <t>Pattern 24.4 — Permutation Construction</t>
        </is>
      </c>
      <c r="D810" s="2" t="inlineStr">
        <is>
          <t>PC108</t>
        </is>
      </c>
      <c r="E810" s="3" t="inlineStr">
        <is>
          <t>Construct Adjacent Difference Monotonic Permutation</t>
        </is>
      </c>
      <c r="F810" s="9" t="inlineStr">
        <is>
          <t>Medium</t>
        </is>
      </c>
      <c r="G810" s="3" t="inlineStr">
        <is>
          <t>Interleaved sorting construction</t>
        </is>
      </c>
      <c r="H810" s="2" t="n">
        <v>60</v>
      </c>
      <c r="I810" s="2" t="n">
        <v>55</v>
      </c>
      <c r="J810" s="5" t="inlineStr">
        <is>
          <t>https://www.codechef.com/problems/PC108</t>
        </is>
      </c>
      <c r="K810" s="3" t="inlineStr"/>
      <c r="L810" s="2" t="inlineStr">
        <is>
          <t>codechef</t>
        </is>
      </c>
    </row>
    <row r="811" ht="20" customHeight="1">
      <c r="A811" s="6" t="inlineStr">
        <is>
          <t>Unsolved</t>
        </is>
      </c>
      <c r="B811" s="7" t="inlineStr">
        <is>
          <t>KINGDOM 25 — THE KINGDOM OF GEOMETRY, INTERACTIVE &amp; MISCELLANEOUS</t>
        </is>
      </c>
      <c r="C811" s="7" t="inlineStr">
        <is>
          <t>Pattern 25.1 — Computational Geometry</t>
        </is>
      </c>
      <c r="D811" s="6" t="inlineStr">
        <is>
          <t>GEOMADV1</t>
        </is>
      </c>
      <c r="E811" s="7" t="inlineStr">
        <is>
          <t>Convex Hull Graham Scan Extreme Points</t>
        </is>
      </c>
      <c r="F811" s="10" t="inlineStr">
        <is>
          <t>Hard</t>
        </is>
      </c>
      <c r="G811" s="7" t="inlineStr">
        <is>
          <t>Graham scan orientation test</t>
        </is>
      </c>
      <c r="H811" s="6" t="n">
        <v>120</v>
      </c>
      <c r="I811" s="6" t="n">
        <v>120</v>
      </c>
      <c r="J811" s="8" t="inlineStr">
        <is>
          <t>https://www.codechef.com/problems/GEOMADV1</t>
        </is>
      </c>
      <c r="K811" s="7" t="inlineStr"/>
      <c r="L811" s="6" t="inlineStr">
        <is>
          <t>codechef</t>
        </is>
      </c>
    </row>
    <row r="812" ht="20" customHeight="1">
      <c r="A812" s="2" t="inlineStr">
        <is>
          <t>Unsolved</t>
        </is>
      </c>
      <c r="B812" s="3" t="inlineStr">
        <is>
          <t>KINGDOM 25 — THE KINGDOM OF GEOMETRY, INTERACTIVE &amp; MISCELLANEOUS</t>
        </is>
      </c>
      <c r="C812" s="3" t="inlineStr">
        <is>
          <t>Pattern 25.1 — Computational Geometry</t>
        </is>
      </c>
      <c r="D812" s="2" t="inlineStr">
        <is>
          <t>GEOMADV2</t>
        </is>
      </c>
      <c r="E812" s="3" t="inlineStr">
        <is>
          <t>Polygon Triangulation Minimum Weight DP</t>
        </is>
      </c>
      <c r="F812" s="10" t="inlineStr">
        <is>
          <t>Hard</t>
        </is>
      </c>
      <c r="G812" s="3" t="inlineStr">
        <is>
          <t>Interval DP matrix polygon triangulation</t>
        </is>
      </c>
      <c r="H812" s="2" t="n">
        <v>120</v>
      </c>
      <c r="I812" s="2" t="n">
        <v>120</v>
      </c>
      <c r="J812" s="5" t="inlineStr">
        <is>
          <t>https://www.codechef.com/problems/GEOMADV2</t>
        </is>
      </c>
      <c r="K812" s="3" t="inlineStr"/>
      <c r="L812" s="2" t="inlineStr">
        <is>
          <t>codechef</t>
        </is>
      </c>
    </row>
    <row r="813" ht="20" customHeight="1">
      <c r="A813" s="6" t="inlineStr">
        <is>
          <t>Unsolved</t>
        </is>
      </c>
      <c r="B813" s="7" t="inlineStr">
        <is>
          <t>KINGDOM 25 — THE KINGDOM OF GEOMETRY, INTERACTIVE &amp; MISCELLANEOUS</t>
        </is>
      </c>
      <c r="C813" s="7" t="inlineStr">
        <is>
          <t>Pattern 25.1 — Computational Geometry</t>
        </is>
      </c>
      <c r="D813" s="6" t="inlineStr">
        <is>
          <t>MISC101</t>
        </is>
      </c>
      <c r="E813" s="7" t="inlineStr">
        <is>
          <t>Maximal Square in 2D Binary Matrix DP</t>
        </is>
      </c>
      <c r="F813" s="9" t="inlineStr">
        <is>
          <t>Medium</t>
        </is>
      </c>
      <c r="G813" s="7" t="inlineStr">
        <is>
          <t>2D DP min(left, top, diag) + 1</t>
        </is>
      </c>
      <c r="H813" s="6" t="n">
        <v>60</v>
      </c>
      <c r="I813" s="6" t="n">
        <v>55</v>
      </c>
      <c r="J813" s="8" t="inlineStr">
        <is>
          <t>https://www.codechef.com/problems/MISC101</t>
        </is>
      </c>
      <c r="K813" s="7" t="inlineStr"/>
      <c r="L813" s="6" t="inlineStr">
        <is>
          <t>codechef</t>
        </is>
      </c>
    </row>
    <row r="814" ht="20" customHeight="1">
      <c r="A814" s="2" t="inlineStr">
        <is>
          <t>Unsolved</t>
        </is>
      </c>
      <c r="B814" s="3" t="inlineStr">
        <is>
          <t>KINGDOM 25 — THE KINGDOM OF GEOMETRY, INTERACTIVE &amp; MISCELLANEOUS</t>
        </is>
      </c>
      <c r="C814" s="3" t="inlineStr">
        <is>
          <t>Pattern 25.1 — Computational Geometry</t>
        </is>
      </c>
      <c r="D814" s="2" t="inlineStr">
        <is>
          <t>MISC102</t>
        </is>
      </c>
      <c r="E814" s="3" t="inlineStr">
        <is>
          <t>Trapping Rain Water 2D 3D Min-Heap Grid</t>
        </is>
      </c>
      <c r="F814" s="10" t="inlineStr">
        <is>
          <t>Hard</t>
        </is>
      </c>
      <c r="G814" s="3" t="inlineStr">
        <is>
          <t>Min-heap boundary 3D water trap BFS</t>
        </is>
      </c>
      <c r="H814" s="2" t="n">
        <v>120</v>
      </c>
      <c r="I814" s="2" t="n">
        <v>120</v>
      </c>
      <c r="J814" s="5" t="inlineStr">
        <is>
          <t>https://www.codechef.com/problems/MISC102</t>
        </is>
      </c>
      <c r="K814" s="3" t="inlineStr"/>
      <c r="L814" s="2" t="inlineStr">
        <is>
          <t>codechef</t>
        </is>
      </c>
    </row>
    <row r="815" ht="20" customHeight="1">
      <c r="A815" s="6" t="inlineStr">
        <is>
          <t>Unsolved</t>
        </is>
      </c>
      <c r="B815" s="7" t="inlineStr">
        <is>
          <t>KINGDOM 25 — THE KINGDOM OF GEOMETRY, INTERACTIVE &amp; MISCELLANEOUS</t>
        </is>
      </c>
      <c r="C815" s="7" t="inlineStr">
        <is>
          <t>Pattern 25.1 — Computational Geometry</t>
        </is>
      </c>
      <c r="D815" s="6" t="inlineStr">
        <is>
          <t>MISC103</t>
        </is>
      </c>
      <c r="E815" s="7" t="inlineStr">
        <is>
          <t>Sudoku Solver Backtracking Pruning</t>
        </is>
      </c>
      <c r="F815" s="10" t="inlineStr">
        <is>
          <t>Hard</t>
        </is>
      </c>
      <c r="G815" s="7" t="inlineStr">
        <is>
          <t>9x9 Bitmask backtracking Sudoku solver</t>
        </is>
      </c>
      <c r="H815" s="6" t="n">
        <v>120</v>
      </c>
      <c r="I815" s="6" t="n">
        <v>120</v>
      </c>
      <c r="J815" s="8" t="inlineStr">
        <is>
          <t>https://www.codechef.com/problems/MISC103</t>
        </is>
      </c>
      <c r="K815" s="7" t="inlineStr"/>
      <c r="L815" s="6" t="inlineStr">
        <is>
          <t>codechef</t>
        </is>
      </c>
    </row>
    <row r="816" ht="20" customHeight="1">
      <c r="A816" s="2" t="inlineStr">
        <is>
          <t>Unsolved</t>
        </is>
      </c>
      <c r="B816" s="3" t="inlineStr">
        <is>
          <t>KINGDOM 25 — THE KINGDOM OF GEOMETRY, INTERACTIVE &amp; MISCELLANEOUS</t>
        </is>
      </c>
      <c r="C816" s="3" t="inlineStr">
        <is>
          <t>Pattern 25.1 — Computational Geometry</t>
        </is>
      </c>
      <c r="D816" s="2" t="inlineStr">
        <is>
          <t>MISC104</t>
        </is>
      </c>
      <c r="E816" s="3" t="inlineStr">
        <is>
          <t>N-Queens II Total Solutions Backtracking</t>
        </is>
      </c>
      <c r="F816" s="10" t="inlineStr">
        <is>
          <t>Hard</t>
        </is>
      </c>
      <c r="G816" s="3" t="inlineStr">
        <is>
          <t>Bitmask diagonal col constraint count</t>
        </is>
      </c>
      <c r="H816" s="2" t="n">
        <v>120</v>
      </c>
      <c r="I816" s="2" t="n">
        <v>120</v>
      </c>
      <c r="J816" s="5" t="inlineStr">
        <is>
          <t>https://www.codechef.com/problems/MISC104</t>
        </is>
      </c>
      <c r="K816" s="3" t="inlineStr"/>
      <c r="L816" s="2" t="inlineStr">
        <is>
          <t>codechef</t>
        </is>
      </c>
    </row>
    <row r="817" ht="20" customHeight="1">
      <c r="A817" s="6" t="inlineStr">
        <is>
          <t>Unsolved</t>
        </is>
      </c>
      <c r="B817" s="7" t="inlineStr">
        <is>
          <t>KINGDOM 25 — THE KINGDOM OF GEOMETRY, INTERACTIVE &amp; MISCELLANEOUS</t>
        </is>
      </c>
      <c r="C817" s="7" t="inlineStr">
        <is>
          <t>Pattern 25.2 — Coordinate Geometry</t>
        </is>
      </c>
      <c r="D817" s="6" t="inlineStr">
        <is>
          <t>GEOMADV3</t>
        </is>
      </c>
      <c r="E817" s="7" t="inlineStr">
        <is>
          <t>Line Sweep Algorithm Interval Intersection Count</t>
        </is>
      </c>
      <c r="F817" s="10" t="inlineStr">
        <is>
          <t>Hard</t>
        </is>
      </c>
      <c r="G817" s="7" t="inlineStr">
        <is>
          <t>Sweep line event sorting BIT / Segment Tree</t>
        </is>
      </c>
      <c r="H817" s="6" t="n">
        <v>120</v>
      </c>
      <c r="I817" s="6" t="n">
        <v>120</v>
      </c>
      <c r="J817" s="8" t="inlineStr">
        <is>
          <t>https://www.codechef.com/problems/GEOMADV3</t>
        </is>
      </c>
      <c r="K817" s="7" t="inlineStr"/>
      <c r="L817" s="6" t="inlineStr">
        <is>
          <t>codechef</t>
        </is>
      </c>
    </row>
    <row r="818" ht="20" customHeight="1">
      <c r="A818" s="2" t="inlineStr">
        <is>
          <t>Unsolved</t>
        </is>
      </c>
      <c r="B818" s="3" t="inlineStr">
        <is>
          <t>KINGDOM 25 — THE KINGDOM OF GEOMETRY, INTERACTIVE &amp; MISCELLANEOUS</t>
        </is>
      </c>
      <c r="C818" s="3" t="inlineStr">
        <is>
          <t>Pattern 25.2 — Coordinate Geometry</t>
        </is>
      </c>
      <c r="D818" s="2" t="inlineStr">
        <is>
          <t>GEOMADV4</t>
        </is>
      </c>
      <c r="E818" s="3" t="inlineStr">
        <is>
          <t>Circle Intersection Points Geometry</t>
        </is>
      </c>
      <c r="F818" s="10" t="inlineStr">
        <is>
          <t>Hard</t>
        </is>
      </c>
      <c r="G818" s="3" t="inlineStr">
        <is>
          <t>Trigonometric circle intersection formulas</t>
        </is>
      </c>
      <c r="H818" s="2" t="n">
        <v>120</v>
      </c>
      <c r="I818" s="2" t="n">
        <v>120</v>
      </c>
      <c r="J818" s="5" t="inlineStr">
        <is>
          <t>https://www.codechef.com/problems/GEOMADV4</t>
        </is>
      </c>
      <c r="K818" s="3" t="inlineStr"/>
      <c r="L818" s="2" t="inlineStr">
        <is>
          <t>codechef</t>
        </is>
      </c>
    </row>
    <row r="819" ht="20" customHeight="1">
      <c r="A819" s="6" t="inlineStr">
        <is>
          <t>Unsolved</t>
        </is>
      </c>
      <c r="B819" s="7" t="inlineStr">
        <is>
          <t>KINGDOM 25 — THE KINGDOM OF GEOMETRY, INTERACTIVE &amp; MISCELLANEOUS</t>
        </is>
      </c>
      <c r="C819" s="7" t="inlineStr">
        <is>
          <t>Pattern 25.2 — Coordinate Geometry</t>
        </is>
      </c>
      <c r="D819" s="6" t="inlineStr">
        <is>
          <t>MISC105</t>
        </is>
      </c>
      <c r="E819" s="7" t="inlineStr">
        <is>
          <t>Word Ladder II Shortest Paths BFS + DFS Backtracking</t>
        </is>
      </c>
      <c r="F819" s="10" t="inlineStr">
        <is>
          <t>Hard</t>
        </is>
      </c>
      <c r="G819" s="7" t="inlineStr">
        <is>
          <t>BFS level map + DFS path reconstruction</t>
        </is>
      </c>
      <c r="H819" s="6" t="n">
        <v>120</v>
      </c>
      <c r="I819" s="6" t="n">
        <v>120</v>
      </c>
      <c r="J819" s="8" t="inlineStr">
        <is>
          <t>https://www.codechef.com/problems/MISC105</t>
        </is>
      </c>
      <c r="K819" s="7" t="inlineStr"/>
      <c r="L819" s="6" t="inlineStr">
        <is>
          <t>codechef</t>
        </is>
      </c>
    </row>
    <row r="820" ht="20" customHeight="1">
      <c r="A820" s="2" t="inlineStr">
        <is>
          <t>Unsolved</t>
        </is>
      </c>
      <c r="B820" s="3" t="inlineStr">
        <is>
          <t>KINGDOM 25 — THE KINGDOM OF GEOMETRY, INTERACTIVE &amp; MISCELLANEOUS</t>
        </is>
      </c>
      <c r="C820" s="3" t="inlineStr">
        <is>
          <t>Pattern 25.2 — Coordinate Geometry</t>
        </is>
      </c>
      <c r="D820" s="2" t="inlineStr">
        <is>
          <t>MISC106</t>
        </is>
      </c>
      <c r="E820" s="3" t="inlineStr">
        <is>
          <t>Sliding Puzzle 2x3 Grid BFS Minimum Swaps</t>
        </is>
      </c>
      <c r="F820" s="10" t="inlineStr">
        <is>
          <t>Hard</t>
        </is>
      </c>
      <c r="G820" s="3" t="inlineStr">
        <is>
          <t>State BFS string hash matrix 2x3</t>
        </is>
      </c>
      <c r="H820" s="2" t="n">
        <v>120</v>
      </c>
      <c r="I820" s="2" t="n">
        <v>120</v>
      </c>
      <c r="J820" s="5" t="inlineStr">
        <is>
          <t>https://www.codechef.com/problems/MISC106</t>
        </is>
      </c>
      <c r="K820" s="3" t="inlineStr"/>
      <c r="L820" s="2" t="inlineStr">
        <is>
          <t>codechef</t>
        </is>
      </c>
    </row>
    <row r="821" ht="20" customHeight="1">
      <c r="A821" s="6" t="inlineStr">
        <is>
          <t>Unsolved</t>
        </is>
      </c>
      <c r="B821" s="7" t="inlineStr">
        <is>
          <t>KINGDOM 25 — THE KINGDOM OF GEOMETRY, INTERACTIVE &amp; MISCELLANEOUS</t>
        </is>
      </c>
      <c r="C821" s="7" t="inlineStr">
        <is>
          <t>Pattern 25.2 — Coordinate Geometry</t>
        </is>
      </c>
      <c r="D821" s="6" t="inlineStr">
        <is>
          <t>MISC107</t>
        </is>
      </c>
      <c r="E821" s="7" t="inlineStr">
        <is>
          <t>Minimum Window Subsequence String Hard DP</t>
        </is>
      </c>
      <c r="F821" s="10" t="inlineStr">
        <is>
          <t>Hard</t>
        </is>
      </c>
      <c r="G821" s="7" t="inlineStr">
        <is>
          <t>2D Suffix DP window match</t>
        </is>
      </c>
      <c r="H821" s="6" t="n">
        <v>120</v>
      </c>
      <c r="I821" s="6" t="n">
        <v>120</v>
      </c>
      <c r="J821" s="8" t="inlineStr">
        <is>
          <t>https://www.codechef.com/problems/MISC107</t>
        </is>
      </c>
      <c r="K821" s="7" t="inlineStr"/>
      <c r="L821" s="6" t="inlineStr">
        <is>
          <t>codechef</t>
        </is>
      </c>
    </row>
    <row r="822" ht="20" customHeight="1">
      <c r="A822" s="2" t="inlineStr">
        <is>
          <t>Unsolved</t>
        </is>
      </c>
      <c r="B822" s="3" t="inlineStr">
        <is>
          <t>KINGDOM 25 — THE KINGDOM OF GEOMETRY, INTERACTIVE &amp; MISCELLANEOUS</t>
        </is>
      </c>
      <c r="C822" s="3" t="inlineStr">
        <is>
          <t>Pattern 25.2 — Coordinate Geometry</t>
        </is>
      </c>
      <c r="D822" s="2" t="inlineStr">
        <is>
          <t>MISC108</t>
        </is>
      </c>
      <c r="E822" s="3" t="inlineStr">
        <is>
          <t>Text Justification String Formatting</t>
        </is>
      </c>
      <c r="F822" s="10" t="inlineStr">
        <is>
          <t>Hard</t>
        </is>
      </c>
      <c r="G822" s="3" t="inlineStr">
        <is>
          <t>Greedy word line packing space distribution</t>
        </is>
      </c>
      <c r="H822" s="2" t="n">
        <v>120</v>
      </c>
      <c r="I822" s="2" t="n">
        <v>120</v>
      </c>
      <c r="J822" s="5" t="inlineStr">
        <is>
          <t>https://www.codechef.com/problems/MISC108</t>
        </is>
      </c>
      <c r="K822" s="3" t="inlineStr"/>
      <c r="L822" s="2" t="inlineStr">
        <is>
          <t>codechef</t>
        </is>
      </c>
    </row>
    <row r="823" ht="20" customHeight="1">
      <c r="A823" s="6" t="inlineStr">
        <is>
          <t>Unsolved</t>
        </is>
      </c>
      <c r="B823" s="7" t="inlineStr">
        <is>
          <t>KINGDOM 25 — THE KINGDOM OF GEOMETRY, INTERACTIVE &amp; MISCELLANEOUS</t>
        </is>
      </c>
      <c r="C823" s="7" t="inlineStr">
        <is>
          <t>Pattern 25.3 — Interactive Problems</t>
        </is>
      </c>
      <c r="D823" s="6" t="inlineStr">
        <is>
          <t>INTERACT1</t>
        </is>
      </c>
      <c r="E823" s="7" t="inlineStr">
        <is>
          <t>Guess Number Higher or Lower Interactive Binary Search</t>
        </is>
      </c>
      <c r="F823" s="4" t="inlineStr">
        <is>
          <t>Easy</t>
        </is>
      </c>
      <c r="G823" s="7" t="inlineStr">
        <is>
          <t>Interactive binary search query response</t>
        </is>
      </c>
      <c r="H823" s="6" t="n">
        <v>25</v>
      </c>
      <c r="I823" s="6" t="n">
        <v>20</v>
      </c>
      <c r="J823" s="8" t="inlineStr">
        <is>
          <t>https://www.codechef.com/problems/INTERACT1</t>
        </is>
      </c>
      <c r="K823" s="7" t="inlineStr"/>
      <c r="L823" s="6" t="inlineStr">
        <is>
          <t>codechef</t>
        </is>
      </c>
    </row>
    <row r="824" ht="20" customHeight="1">
      <c r="A824" s="2" t="inlineStr">
        <is>
          <t>Unsolved</t>
        </is>
      </c>
      <c r="B824" s="3" t="inlineStr">
        <is>
          <t>KINGDOM 25 — THE KINGDOM OF GEOMETRY, INTERACTIVE &amp; MISCELLANEOUS</t>
        </is>
      </c>
      <c r="C824" s="3" t="inlineStr">
        <is>
          <t>Pattern 25.3 — Interactive Problems</t>
        </is>
      </c>
      <c r="D824" s="2" t="inlineStr">
        <is>
          <t>INTERACT2</t>
        </is>
      </c>
      <c r="E824" s="3" t="inlineStr">
        <is>
          <t>Find Secret Word Interactive Mastermind Strategy</t>
        </is>
      </c>
      <c r="F824" s="10" t="inlineStr">
        <is>
          <t>Hard</t>
        </is>
      </c>
      <c r="G824" s="3" t="inlineStr">
        <is>
          <t>Interactive min-max candidate elimination</t>
        </is>
      </c>
      <c r="H824" s="2" t="n">
        <v>120</v>
      </c>
      <c r="I824" s="2" t="n">
        <v>120</v>
      </c>
      <c r="J824" s="5" t="inlineStr">
        <is>
          <t>https://www.codechef.com/problems/INTERACT2</t>
        </is>
      </c>
      <c r="K824" s="3" t="inlineStr"/>
      <c r="L824" s="2" t="inlineStr">
        <is>
          <t>codechef</t>
        </is>
      </c>
    </row>
    <row r="825" ht="20" customHeight="1">
      <c r="A825" s="6" t="inlineStr">
        <is>
          <t>Unsolved</t>
        </is>
      </c>
      <c r="B825" s="7" t="inlineStr">
        <is>
          <t>KINGDOM 25 — THE KINGDOM OF GEOMETRY, INTERACTIVE &amp; MISCELLANEOUS</t>
        </is>
      </c>
      <c r="C825" s="7" t="inlineStr">
        <is>
          <t>Pattern 25.3 — Interactive Problems</t>
        </is>
      </c>
      <c r="D825" s="6" t="inlineStr">
        <is>
          <t>INTER101</t>
        </is>
      </c>
      <c r="E825" s="7" t="inlineStr">
        <is>
          <t>First Bad Version Interactive Binary Search</t>
        </is>
      </c>
      <c r="F825" s="4" t="inlineStr">
        <is>
          <t>Easy</t>
        </is>
      </c>
      <c r="G825" s="7" t="inlineStr">
        <is>
          <t>Interactive bisect_left API call</t>
        </is>
      </c>
      <c r="H825" s="6" t="n">
        <v>25</v>
      </c>
      <c r="I825" s="6" t="n">
        <v>20</v>
      </c>
      <c r="J825" s="8" t="inlineStr">
        <is>
          <t>https://www.codechef.com/problems/INTER101</t>
        </is>
      </c>
      <c r="K825" s="7" t="inlineStr"/>
      <c r="L825" s="6" t="inlineStr">
        <is>
          <t>codechef</t>
        </is>
      </c>
    </row>
    <row r="826" ht="20" customHeight="1">
      <c r="A826" s="2" t="inlineStr">
        <is>
          <t>Unsolved</t>
        </is>
      </c>
      <c r="B826" s="3" t="inlineStr">
        <is>
          <t>KINGDOM 25 — THE KINGDOM OF GEOMETRY, INTERACTIVE &amp; MISCELLANEOUS</t>
        </is>
      </c>
      <c r="C826" s="3" t="inlineStr">
        <is>
          <t>Pattern 25.3 — Interactive Problems</t>
        </is>
      </c>
      <c r="D826" s="2" t="inlineStr">
        <is>
          <t>INTER102</t>
        </is>
      </c>
      <c r="E826" s="3" t="inlineStr">
        <is>
          <t>Find Mountain Array Peak Interactive Binary Search</t>
        </is>
      </c>
      <c r="F826" s="10" t="inlineStr">
        <is>
          <t>Medium-Hard</t>
        </is>
      </c>
      <c r="G826" s="3" t="inlineStr">
        <is>
          <t>Interactive ternary / binary search limit 100 calls</t>
        </is>
      </c>
      <c r="H826" s="2" t="n">
        <v>90</v>
      </c>
      <c r="I826" s="2" t="n">
        <v>80</v>
      </c>
      <c r="J826" s="5" t="inlineStr">
        <is>
          <t>https://www.codechef.com/problems/INTER102</t>
        </is>
      </c>
      <c r="K826" s="3" t="inlineStr"/>
      <c r="L826" s="2" t="inlineStr">
        <is>
          <t>codechef</t>
        </is>
      </c>
    </row>
    <row r="827" ht="20" customHeight="1">
      <c r="A827" s="6" t="inlineStr">
        <is>
          <t>Unsolved</t>
        </is>
      </c>
      <c r="B827" s="7" t="inlineStr">
        <is>
          <t>KINGDOM 25 — THE KINGDOM OF GEOMETRY, INTERACTIVE &amp; MISCELLANEOUS</t>
        </is>
      </c>
      <c r="C827" s="7" t="inlineStr">
        <is>
          <t>Pattern 25.3 — Interactive Problems</t>
        </is>
      </c>
      <c r="D827" s="6" t="inlineStr">
        <is>
          <t>INTER103</t>
        </is>
      </c>
      <c r="E827" s="7" t="inlineStr">
        <is>
          <t>Find Element in Unknown Size Array Interactive</t>
        </is>
      </c>
      <c r="F827" s="9" t="inlineStr">
        <is>
          <t>Medium</t>
        </is>
      </c>
      <c r="G827" s="7" t="inlineStr">
        <is>
          <t>Interactive exponential search 2^k bound</t>
        </is>
      </c>
      <c r="H827" s="6" t="n">
        <v>60</v>
      </c>
      <c r="I827" s="6" t="n">
        <v>55</v>
      </c>
      <c r="J827" s="8" t="inlineStr">
        <is>
          <t>https://www.codechef.com/problems/INTER103</t>
        </is>
      </c>
      <c r="K827" s="7" t="inlineStr"/>
      <c r="L827" s="6" t="inlineStr">
        <is>
          <t>codechef</t>
        </is>
      </c>
    </row>
    <row r="828" ht="20" customHeight="1">
      <c r="A828" s="2" t="inlineStr">
        <is>
          <t>Unsolved</t>
        </is>
      </c>
      <c r="B828" s="3" t="inlineStr">
        <is>
          <t>KINGDOM 25 — THE KINGDOM OF GEOMETRY, INTERACTIVE &amp; MISCELLANEOUS</t>
        </is>
      </c>
      <c r="C828" s="3" t="inlineStr">
        <is>
          <t>Pattern 25.3 — Interactive Problems</t>
        </is>
      </c>
      <c r="D828" s="2" t="inlineStr">
        <is>
          <t>INTER104</t>
        </is>
      </c>
      <c r="E828" s="3" t="inlineStr">
        <is>
          <t>Interactive Tree Path Query Root Search</t>
        </is>
      </c>
      <c r="F828" s="10" t="inlineStr">
        <is>
          <t>Hard</t>
        </is>
      </c>
      <c r="G828" s="3" t="inlineStr">
        <is>
          <t>Interactive centroid query tree search</t>
        </is>
      </c>
      <c r="H828" s="2" t="n">
        <v>120</v>
      </c>
      <c r="I828" s="2" t="n">
        <v>120</v>
      </c>
      <c r="J828" s="5" t="inlineStr">
        <is>
          <t>https://www.codechef.com/problems/INTER104</t>
        </is>
      </c>
      <c r="K828" s="3" t="inlineStr"/>
      <c r="L828" s="2" t="inlineStr">
        <is>
          <t>codechef</t>
        </is>
      </c>
    </row>
    <row r="829" ht="20" customHeight="1">
      <c r="A829" s="6" t="inlineStr">
        <is>
          <t>Unsolved</t>
        </is>
      </c>
      <c r="B829" s="7" t="inlineStr">
        <is>
          <t>KINGDOM 25 — THE KINGDOM OF GEOMETRY, INTERACTIVE &amp; MISCELLANEOUS</t>
        </is>
      </c>
      <c r="C829" s="7" t="inlineStr">
        <is>
          <t>Pattern 25.4 — Ad-hoc / Observation</t>
        </is>
      </c>
      <c r="D829" s="6" t="inlineStr">
        <is>
          <t>ADHOC1</t>
        </is>
      </c>
      <c r="E829" s="7" t="inlineStr">
        <is>
          <t>Pascal's Triangle Row N Math Formula</t>
        </is>
      </c>
      <c r="F829" s="4" t="inlineStr">
        <is>
          <t>Beginner</t>
        </is>
      </c>
      <c r="G829" s="7" t="inlineStr">
        <is>
          <t>Combinatorics nCr iteration</t>
        </is>
      </c>
      <c r="H829" s="6" t="n">
        <v>15</v>
      </c>
      <c r="I829" s="6" t="n">
        <v>10</v>
      </c>
      <c r="J829" s="8" t="inlineStr">
        <is>
          <t>https://www.codechef.com/problems/ADHOC1</t>
        </is>
      </c>
      <c r="K829" s="7" t="inlineStr"/>
      <c r="L829" s="6" t="inlineStr">
        <is>
          <t>codechef</t>
        </is>
      </c>
    </row>
    <row r="830" ht="20" customHeight="1">
      <c r="A830" s="2" t="inlineStr">
        <is>
          <t>Unsolved</t>
        </is>
      </c>
      <c r="B830" s="3" t="inlineStr">
        <is>
          <t>KINGDOM 25 — THE KINGDOM OF GEOMETRY, INTERACTIVE &amp; MISCELLANEOUS</t>
        </is>
      </c>
      <c r="C830" s="3" t="inlineStr">
        <is>
          <t>Pattern 25.4 — Ad-hoc / Observation</t>
        </is>
      </c>
      <c r="D830" s="2" t="inlineStr">
        <is>
          <t>ADHOC2</t>
        </is>
      </c>
      <c r="E830" s="3" t="inlineStr">
        <is>
          <t>Zigzag Conversion String Formatting</t>
        </is>
      </c>
      <c r="F830" s="9" t="inlineStr">
        <is>
          <t>Medium</t>
        </is>
      </c>
      <c r="G830" s="3" t="inlineStr">
        <is>
          <t>Row direction flip simulation</t>
        </is>
      </c>
      <c r="H830" s="2" t="n">
        <v>60</v>
      </c>
      <c r="I830" s="2" t="n">
        <v>55</v>
      </c>
      <c r="J830" s="5" t="inlineStr">
        <is>
          <t>https://www.codechef.com/problems/ADHOC2</t>
        </is>
      </c>
      <c r="K830" s="3" t="inlineStr"/>
      <c r="L830" s="2" t="inlineStr">
        <is>
          <t>codechef</t>
        </is>
      </c>
    </row>
    <row r="831" ht="20" customHeight="1">
      <c r="A831" s="6" t="inlineStr">
        <is>
          <t>Unsolved</t>
        </is>
      </c>
      <c r="B831" s="7" t="inlineStr">
        <is>
          <t>KINGDOM 25 — THE KINGDOM OF GEOMETRY, INTERACTIVE &amp; MISCELLANEOUS</t>
        </is>
      </c>
      <c r="C831" s="7" t="inlineStr">
        <is>
          <t>Pattern 25.4 — Ad-hoc / Observation</t>
        </is>
      </c>
      <c r="D831" s="6" t="inlineStr">
        <is>
          <t>ADHOC101</t>
        </is>
      </c>
      <c r="E831" s="7" t="inlineStr">
        <is>
          <t>Spiral Matrix I Traversal Bounds Walk</t>
        </is>
      </c>
      <c r="F831" s="9" t="inlineStr">
        <is>
          <t>Medium</t>
        </is>
      </c>
      <c r="G831" s="7" t="inlineStr">
        <is>
          <t>4 boundary pointers traversal</t>
        </is>
      </c>
      <c r="H831" s="6" t="n">
        <v>60</v>
      </c>
      <c r="I831" s="6" t="n">
        <v>55</v>
      </c>
      <c r="J831" s="8" t="inlineStr">
        <is>
          <t>https://www.codechef.com/problems/ADHOC101</t>
        </is>
      </c>
      <c r="K831" s="7" t="inlineStr"/>
      <c r="L831" s="6" t="inlineStr">
        <is>
          <t>codechef</t>
        </is>
      </c>
    </row>
    <row r="832" ht="20" customHeight="1">
      <c r="A832" s="2" t="inlineStr">
        <is>
          <t>Unsolved</t>
        </is>
      </c>
      <c r="B832" s="3" t="inlineStr">
        <is>
          <t>KINGDOM 25 — THE KINGDOM OF GEOMETRY, INTERACTIVE &amp; MISCELLANEOUS</t>
        </is>
      </c>
      <c r="C832" s="3" t="inlineStr">
        <is>
          <t>Pattern 25.4 — Ad-hoc / Observation</t>
        </is>
      </c>
      <c r="D832" s="2" t="inlineStr">
        <is>
          <t>ADHOC102</t>
        </is>
      </c>
      <c r="E832" s="3" t="inlineStr">
        <is>
          <t>Rotate Image 90 Degrees In-Place Matrix</t>
        </is>
      </c>
      <c r="F832" s="9" t="inlineStr">
        <is>
          <t>Medium</t>
        </is>
      </c>
      <c r="G832" s="3" t="inlineStr">
        <is>
          <t>Transpose + Reverse rows matrix</t>
        </is>
      </c>
      <c r="H832" s="2" t="n">
        <v>60</v>
      </c>
      <c r="I832" s="2" t="n">
        <v>55</v>
      </c>
      <c r="J832" s="5" t="inlineStr">
        <is>
          <t>https://www.codechef.com/problems/ADHOC102</t>
        </is>
      </c>
      <c r="K832" s="3" t="inlineStr"/>
      <c r="L832" s="2" t="inlineStr">
        <is>
          <t>codechef</t>
        </is>
      </c>
    </row>
    <row r="833" ht="20" customHeight="1">
      <c r="A833" s="6" t="inlineStr">
        <is>
          <t>Unsolved</t>
        </is>
      </c>
      <c r="B833" s="7" t="inlineStr">
        <is>
          <t>KINGDOM 25 — THE KINGDOM OF GEOMETRY, INTERACTIVE &amp; MISCELLANEOUS</t>
        </is>
      </c>
      <c r="C833" s="7" t="inlineStr">
        <is>
          <t>Pattern 25.4 — Ad-hoc / Observation</t>
        </is>
      </c>
      <c r="D833" s="6" t="inlineStr">
        <is>
          <t>ADHOC103</t>
        </is>
      </c>
      <c r="E833" s="7" t="inlineStr">
        <is>
          <t>Set Matrix Zeroes In-Place Marker Row Col</t>
        </is>
      </c>
      <c r="F833" s="9" t="inlineStr">
        <is>
          <t>Medium</t>
        </is>
      </c>
      <c r="G833" s="7" t="inlineStr">
        <is>
          <t>Row 0 Col 0 status flags</t>
        </is>
      </c>
      <c r="H833" s="6" t="n">
        <v>60</v>
      </c>
      <c r="I833" s="6" t="n">
        <v>55</v>
      </c>
      <c r="J833" s="8" t="inlineStr">
        <is>
          <t>https://www.codechef.com/problems/ADHOC103</t>
        </is>
      </c>
      <c r="K833" s="7" t="inlineStr"/>
      <c r="L833" s="6" t="inlineStr">
        <is>
          <t>codechef</t>
        </is>
      </c>
    </row>
    <row r="834" ht="20" customHeight="1">
      <c r="A834" s="2" t="inlineStr">
        <is>
          <t>Unsolved</t>
        </is>
      </c>
      <c r="B834" s="3" t="inlineStr">
        <is>
          <t>KINGDOM 25 — THE KINGDOM OF GEOMETRY, INTERACTIVE &amp; MISCELLANEOUS</t>
        </is>
      </c>
      <c r="C834" s="3" t="inlineStr">
        <is>
          <t>Pattern 25.4 — Ad-hoc / Observation</t>
        </is>
      </c>
      <c r="D834" s="2" t="inlineStr">
        <is>
          <t>ADHOC104</t>
        </is>
      </c>
      <c r="E834" s="3" t="inlineStr">
        <is>
          <t>Game of Life 2D Grid In-Place Bit State</t>
        </is>
      </c>
      <c r="F834" s="9" t="inlineStr">
        <is>
          <t>Medium</t>
        </is>
      </c>
      <c r="G834" s="3" t="inlineStr">
        <is>
          <t>In-place bit manipulation 2-bit state</t>
        </is>
      </c>
      <c r="H834" s="2" t="n">
        <v>60</v>
      </c>
      <c r="I834" s="2" t="n">
        <v>55</v>
      </c>
      <c r="J834" s="5" t="inlineStr">
        <is>
          <t>https://www.codechef.com/problems/ADHOC104</t>
        </is>
      </c>
      <c r="K834" s="3" t="inlineStr"/>
      <c r="L834" s="2" t="inlineStr">
        <is>
          <t>codechef</t>
        </is>
      </c>
    </row>
    <row r="835" ht="20" customHeight="1">
      <c r="A835" s="6" t="inlineStr">
        <is>
          <t>Unsolved</t>
        </is>
      </c>
      <c r="B835" s="7" t="inlineStr">
        <is>
          <t>KINGDOM 25 — THE KINGDOM OF GEOMETRY, INTERACTIVE &amp; MISCELLANEOUS</t>
        </is>
      </c>
      <c r="C835" s="7" t="inlineStr">
        <is>
          <t>Pattern 25.5 — Mixed Expert Problems</t>
        </is>
      </c>
      <c r="D835" s="6" t="inlineStr">
        <is>
          <t>EXPERT1</t>
        </is>
      </c>
      <c r="E835" s="7" t="inlineStr">
        <is>
          <t>Heavy-Light Decomposition HLD Path Query Segment Tree</t>
        </is>
      </c>
      <c r="F835" s="11" t="inlineStr">
        <is>
          <t>Expert</t>
        </is>
      </c>
      <c r="G835" s="7" t="inlineStr">
        <is>
          <t>HLD tree decomposition segment tree</t>
        </is>
      </c>
      <c r="H835" s="6" t="n">
        <v>180</v>
      </c>
      <c r="I835" s="6" t="n">
        <v>180</v>
      </c>
      <c r="J835" s="8" t="inlineStr">
        <is>
          <t>https://www.codechef.com/problems/EXPERT1</t>
        </is>
      </c>
      <c r="K835" s="7" t="inlineStr"/>
      <c r="L835" s="6" t="inlineStr">
        <is>
          <t>codechef</t>
        </is>
      </c>
    </row>
    <row r="836" ht="20" customHeight="1">
      <c r="A836" s="2" t="inlineStr">
        <is>
          <t>Unsolved</t>
        </is>
      </c>
      <c r="B836" s="3" t="inlineStr">
        <is>
          <t>KINGDOM 25 — THE KINGDOM OF GEOMETRY, INTERACTIVE &amp; MISCELLANEOUS</t>
        </is>
      </c>
      <c r="C836" s="3" t="inlineStr">
        <is>
          <t>Pattern 25.5 — Mixed Expert Problems</t>
        </is>
      </c>
      <c r="D836" s="2" t="inlineStr">
        <is>
          <t>EXPERT2</t>
        </is>
      </c>
      <c r="E836" s="3" t="inlineStr">
        <is>
          <t>Centroid Decomposition Tree Path Distance Counting</t>
        </is>
      </c>
      <c r="F836" s="11" t="inlineStr">
        <is>
          <t>Expert</t>
        </is>
      </c>
      <c r="G836" s="3" t="inlineStr">
        <is>
          <t>Tree centroid tree recursive divide conquer</t>
        </is>
      </c>
      <c r="H836" s="2" t="n">
        <v>180</v>
      </c>
      <c r="I836" s="2" t="n">
        <v>180</v>
      </c>
      <c r="J836" s="5" t="inlineStr">
        <is>
          <t>https://www.codechef.com/problems/EXPERT2</t>
        </is>
      </c>
      <c r="K836" s="3" t="inlineStr"/>
      <c r="L836" s="2" t="inlineStr">
        <is>
          <t>codechef</t>
        </is>
      </c>
    </row>
    <row r="837" ht="20" customHeight="1">
      <c r="A837" s="6" t="inlineStr">
        <is>
          <t>Unsolved</t>
        </is>
      </c>
      <c r="B837" s="7" t="inlineStr">
        <is>
          <t>KINGDOM 25 — THE KINGDOM OF GEOMETRY, INTERACTIVE &amp; MISCELLANEOUS</t>
        </is>
      </c>
      <c r="C837" s="7" t="inlineStr">
        <is>
          <t>Pattern 25.5 — Mixed Expert Problems</t>
        </is>
      </c>
      <c r="D837" s="6" t="inlineStr">
        <is>
          <t>EXPERT3</t>
        </is>
      </c>
      <c r="E837" s="7" t="inlineStr">
        <is>
          <t>Dinic's Algorithm Maximum Flow BFS DFS Level Graph</t>
        </is>
      </c>
      <c r="F837" s="11" t="inlineStr">
        <is>
          <t>Expert</t>
        </is>
      </c>
      <c r="G837" s="7" t="inlineStr">
        <is>
          <t>Dinic Max Flow blocking flow BFS DFS</t>
        </is>
      </c>
      <c r="H837" s="6" t="n">
        <v>180</v>
      </c>
      <c r="I837" s="6" t="n">
        <v>180</v>
      </c>
      <c r="J837" s="8" t="inlineStr">
        <is>
          <t>https://www.codechef.com/problems/EXPERT3</t>
        </is>
      </c>
      <c r="K837" s="7" t="inlineStr"/>
      <c r="L837" s="6" t="inlineStr">
        <is>
          <t>codechef</t>
        </is>
      </c>
    </row>
    <row r="838" ht="20" customHeight="1">
      <c r="A838" s="2" t="inlineStr">
        <is>
          <t>Unsolved</t>
        </is>
      </c>
      <c r="B838" s="3" t="inlineStr">
        <is>
          <t>KINGDOM 25 — THE KINGDOM OF GEOMETRY, INTERACTIVE &amp; MISCELLANEOUS</t>
        </is>
      </c>
      <c r="C838" s="3" t="inlineStr">
        <is>
          <t>Pattern 25.5 — Mixed Expert Problems</t>
        </is>
      </c>
      <c r="D838" s="2" t="inlineStr">
        <is>
          <t>EXPERT4</t>
        </is>
      </c>
      <c r="E838" s="3" t="inlineStr">
        <is>
          <t>Suffix Automaton SAM Distinct Substrings Count</t>
        </is>
      </c>
      <c r="F838" s="11" t="inlineStr">
        <is>
          <t>Expert</t>
        </is>
      </c>
      <c r="G838" s="3" t="inlineStr">
        <is>
          <t>Suffix Automaton SAM states transitions</t>
        </is>
      </c>
      <c r="H838" s="2" t="n">
        <v>180</v>
      </c>
      <c r="I838" s="2" t="n">
        <v>180</v>
      </c>
      <c r="J838" s="5" t="inlineStr">
        <is>
          <t>https://www.codechef.com/problems/EXPERT4</t>
        </is>
      </c>
      <c r="K838" s="3" t="inlineStr"/>
      <c r="L838" s="2" t="inlineStr">
        <is>
          <t>codechef</t>
        </is>
      </c>
    </row>
    <row r="839" ht="20" customHeight="1">
      <c r="A839" s="6" t="inlineStr">
        <is>
          <t>Unsolved</t>
        </is>
      </c>
      <c r="B839" s="7" t="inlineStr">
        <is>
          <t>KINGDOM 25 — THE KINGDOM OF GEOMETRY, INTERACTIVE &amp; MISCELLANEOUS</t>
        </is>
      </c>
      <c r="C839" s="7" t="inlineStr">
        <is>
          <t>Pattern 25.5 — Mixed Expert Problems</t>
        </is>
      </c>
      <c r="D839" s="6" t="inlineStr">
        <is>
          <t>EXPERT5</t>
        </is>
      </c>
      <c r="E839" s="7" t="inlineStr">
        <is>
          <t>Link-Cut Tree LCT Dynamic Forest Path Query</t>
        </is>
      </c>
      <c r="F839" s="11" t="inlineStr">
        <is>
          <t>Expert</t>
        </is>
      </c>
      <c r="G839" s="7" t="inlineStr">
        <is>
          <t>Splay tree Link-Cut Tree preferred paths</t>
        </is>
      </c>
      <c r="H839" s="6" t="n">
        <v>180</v>
      </c>
      <c r="I839" s="6" t="n">
        <v>180</v>
      </c>
      <c r="J839" s="8" t="inlineStr">
        <is>
          <t>https://www.codechef.com/problems/EXPERT5</t>
        </is>
      </c>
      <c r="K839" s="7" t="inlineStr"/>
      <c r="L839" s="6" t="inlineStr">
        <is>
          <t>codechef</t>
        </is>
      </c>
    </row>
    <row r="840" ht="20" customHeight="1">
      <c r="A840" s="2" t="inlineStr">
        <is>
          <t>Unsolved</t>
        </is>
      </c>
      <c r="B840" s="3" t="inlineStr">
        <is>
          <t>KINGDOM 25 — THE KINGDOM OF GEOMETRY, INTERACTIVE &amp; MISCELLANEOUS</t>
        </is>
      </c>
      <c r="C840" s="3" t="inlineStr">
        <is>
          <t>Pattern 25.5 — Mixed Expert Problems</t>
        </is>
      </c>
      <c r="D840" s="2" t="inlineStr">
        <is>
          <t>EXPERT6</t>
        </is>
      </c>
      <c r="E840" s="3" t="inlineStr">
        <is>
          <t>Fast Fourier Transform FFT Polynomial Multiplication</t>
        </is>
      </c>
      <c r="F840" s="11" t="inlineStr">
        <is>
          <t>Expert</t>
        </is>
      </c>
      <c r="G840" s="3" t="inlineStr">
        <is>
          <t>Cooley-Tukey FFT complex roots unity</t>
        </is>
      </c>
      <c r="H840" s="2" t="n">
        <v>180</v>
      </c>
      <c r="I840" s="2" t="n">
        <v>180</v>
      </c>
      <c r="J840" s="5" t="inlineStr">
        <is>
          <t>https://www.codechef.com/problems/EXPERT6</t>
        </is>
      </c>
      <c r="K840" s="3" t="inlineStr"/>
      <c r="L840" s="2" t="inlineStr">
        <is>
          <t>codechef</t>
        </is>
      </c>
    </row>
  </sheetData>
  <autoFilter ref="A1:L8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8" customWidth="1" min="2" max="2"/>
    <col width="33" customWidth="1" min="3" max="3"/>
    <col width="63" customWidth="1" min="4" max="4"/>
    <col width="60" customWidth="1" min="5" max="5"/>
    <col width="26" customWidth="1" min="6" max="6"/>
    <col width="47" customWidth="1" min="7" max="7"/>
    <col width="51" customWidth="1" min="8" max="8"/>
  </cols>
  <sheetData>
    <row r="1" ht="25" customHeight="1">
      <c r="A1" s="1" t="inlineStr">
        <is>
          <t>Kingdom</t>
        </is>
      </c>
      <c r="B1" s="1" t="inlineStr">
        <is>
          <t>Patterns</t>
        </is>
      </c>
      <c r="C1" s="1" t="inlineStr">
        <is>
          <t>Total Problems</t>
        </is>
      </c>
      <c r="D1" s="1" t="inlineStr">
        <is>
          <t>Verified Problems</t>
        </is>
      </c>
      <c r="E1" s="1" t="inlineStr">
        <is>
          <t>Solved</t>
        </is>
      </c>
      <c r="F1" s="1" t="inlineStr">
        <is>
          <t>Completion %</t>
        </is>
      </c>
      <c r="G1" s="1" t="inlineStr">
        <is>
          <t>Total XP</t>
        </is>
      </c>
      <c r="H1" s="1" t="inlineStr">
        <is>
          <t>Average Estimated Time (mins)</t>
        </is>
      </c>
    </row>
    <row r="2" ht="20" customHeight="1">
      <c r="A2" s="3" t="inlineStr">
        <is>
          <t>KINGDOM 1 — THE KINGDOM OF ARRAYS</t>
        </is>
      </c>
      <c r="B2" s="2" t="n">
        <v>6</v>
      </c>
      <c r="C2" s="2">
        <f>COUNTIF(Problems!$B:$B, A2)</f>
        <v/>
      </c>
      <c r="D2" s="2">
        <f>COUNTIFS(Problems!$B:$B, A2, Problems!$D:$D, "&lt;&gt;UNKNOWN")</f>
        <v/>
      </c>
      <c r="E2" s="2">
        <f>COUNTIFS(Problems!$B:$B, A2, Problems!$A:$A, "Solved")</f>
        <v/>
      </c>
      <c r="F2" s="12">
        <f>IF(C2&gt;0, E2/C2, 0)</f>
        <v/>
      </c>
      <c r="G2" s="2">
        <f>SUMIF(Problems!$B:$B, A2, Problems!$I:$I)</f>
        <v/>
      </c>
      <c r="H2" s="13">
        <f>AVERAGEIF(Problems!$B:$B, A2, Problems!$H:$H)</f>
        <v/>
      </c>
    </row>
    <row r="3" ht="20" customHeight="1">
      <c r="A3" s="7" t="inlineStr">
        <is>
          <t>KINGDOM 2 — THE KINGDOM OF PREFIX SUM &amp; DIFFERENCE ARRAY</t>
        </is>
      </c>
      <c r="B3" s="6" t="n">
        <v>4</v>
      </c>
      <c r="C3" s="6">
        <f>COUNTIF(Problems!$B:$B, A3)</f>
        <v/>
      </c>
      <c r="D3" s="6">
        <f>COUNTIFS(Problems!$B:$B, A3, Problems!$D:$D, "&lt;&gt;UNKNOWN")</f>
        <v/>
      </c>
      <c r="E3" s="6">
        <f>COUNTIFS(Problems!$B:$B, A3, Problems!$A:$A, "Solved")</f>
        <v/>
      </c>
      <c r="F3" s="14">
        <f>IF(C3&gt;0, E3/C3, 0)</f>
        <v/>
      </c>
      <c r="G3" s="6">
        <f>SUMIF(Problems!$B:$B, A3, Problems!$I:$I)</f>
        <v/>
      </c>
      <c r="H3" s="15">
        <f>AVERAGEIF(Problems!$B:$B, A3, Problems!$H:$H)</f>
        <v/>
      </c>
    </row>
    <row r="4" ht="20" customHeight="1">
      <c r="A4" s="3" t="inlineStr">
        <is>
          <t>KINGDOM 3 — THE KINGDOM OF TWO POINTERS &amp; SLIDING WINDOW</t>
        </is>
      </c>
      <c r="B4" s="2" t="n">
        <v>4</v>
      </c>
      <c r="C4" s="2">
        <f>COUNTIF(Problems!$B:$B, A4)</f>
        <v/>
      </c>
      <c r="D4" s="2">
        <f>COUNTIFS(Problems!$B:$B, A4, Problems!$D:$D, "&lt;&gt;UNKNOWN")</f>
        <v/>
      </c>
      <c r="E4" s="2">
        <f>COUNTIFS(Problems!$B:$B, A4, Problems!$A:$A, "Solved")</f>
        <v/>
      </c>
      <c r="F4" s="12">
        <f>IF(C4&gt;0, E4/C4, 0)</f>
        <v/>
      </c>
      <c r="G4" s="2">
        <f>SUMIF(Problems!$B:$B, A4, Problems!$I:$I)</f>
        <v/>
      </c>
      <c r="H4" s="13">
        <f>AVERAGEIF(Problems!$B:$B, A4, Problems!$H:$H)</f>
        <v/>
      </c>
    </row>
    <row r="5" ht="20" customHeight="1">
      <c r="A5" s="7" t="inlineStr">
        <is>
          <t>KINGDOM 4 — THE KINGDOM OF BINARY SEARCH</t>
        </is>
      </c>
      <c r="B5" s="6" t="n">
        <v>4</v>
      </c>
      <c r="C5" s="6">
        <f>COUNTIF(Problems!$B:$B, A5)</f>
        <v/>
      </c>
      <c r="D5" s="6">
        <f>COUNTIFS(Problems!$B:$B, A5, Problems!$D:$D, "&lt;&gt;UNKNOWN")</f>
        <v/>
      </c>
      <c r="E5" s="6">
        <f>COUNTIFS(Problems!$B:$B, A5, Problems!$A:$A, "Solved")</f>
        <v/>
      </c>
      <c r="F5" s="14">
        <f>IF(C5&gt;0, E5/C5, 0)</f>
        <v/>
      </c>
      <c r="G5" s="6">
        <f>SUMIF(Problems!$B:$B, A5, Problems!$I:$I)</f>
        <v/>
      </c>
      <c r="H5" s="15">
        <f>AVERAGEIF(Problems!$B:$B, A5, Problems!$H:$H)</f>
        <v/>
      </c>
    </row>
    <row r="6" ht="20" customHeight="1">
      <c r="A6" s="3" t="inlineStr">
        <is>
          <t>KINGDOM 5 — THE KINGDOM OF SORTING &amp; GREEDY</t>
        </is>
      </c>
      <c r="B6" s="2" t="n">
        <v>5</v>
      </c>
      <c r="C6" s="2">
        <f>COUNTIF(Problems!$B:$B, A6)</f>
        <v/>
      </c>
      <c r="D6" s="2">
        <f>COUNTIFS(Problems!$B:$B, A6, Problems!$D:$D, "&lt;&gt;UNKNOWN")</f>
        <v/>
      </c>
      <c r="E6" s="2">
        <f>COUNTIFS(Problems!$B:$B, A6, Problems!$A:$A, "Solved")</f>
        <v/>
      </c>
      <c r="F6" s="12">
        <f>IF(C6&gt;0, E6/C6, 0)</f>
        <v/>
      </c>
      <c r="G6" s="2">
        <f>SUMIF(Problems!$B:$B, A6, Problems!$I:$I)</f>
        <v/>
      </c>
      <c r="H6" s="13">
        <f>AVERAGEIF(Problems!$B:$B, A6, Problems!$H:$H)</f>
        <v/>
      </c>
    </row>
    <row r="7" ht="20" customHeight="1">
      <c r="A7" s="7" t="inlineStr">
        <is>
          <t>KINGDOM 6 — THE KINGDOM OF STRINGS</t>
        </is>
      </c>
      <c r="B7" s="6" t="n">
        <v>6</v>
      </c>
      <c r="C7" s="6">
        <f>COUNTIF(Problems!$B:$B, A7)</f>
        <v/>
      </c>
      <c r="D7" s="6">
        <f>COUNTIFS(Problems!$B:$B, A7, Problems!$D:$D, "&lt;&gt;UNKNOWN")</f>
        <v/>
      </c>
      <c r="E7" s="6">
        <f>COUNTIFS(Problems!$B:$B, A7, Problems!$A:$A, "Solved")</f>
        <v/>
      </c>
      <c r="F7" s="14">
        <f>IF(C7&gt;0, E7/C7, 0)</f>
        <v/>
      </c>
      <c r="G7" s="6">
        <f>SUMIF(Problems!$B:$B, A7, Problems!$I:$I)</f>
        <v/>
      </c>
      <c r="H7" s="15">
        <f>AVERAGEIF(Problems!$B:$B, A7, Problems!$H:$H)</f>
        <v/>
      </c>
    </row>
    <row r="8" ht="20" customHeight="1">
      <c r="A8" s="3" t="inlineStr">
        <is>
          <t>KINGDOM 7 — THE KINGDOM OF BIT MANIPULATION</t>
        </is>
      </c>
      <c r="B8" s="2" t="n">
        <v>4</v>
      </c>
      <c r="C8" s="2">
        <f>COUNTIF(Problems!$B:$B, A8)</f>
        <v/>
      </c>
      <c r="D8" s="2">
        <f>COUNTIFS(Problems!$B:$B, A8, Problems!$D:$D, "&lt;&gt;UNKNOWN")</f>
        <v/>
      </c>
      <c r="E8" s="2">
        <f>COUNTIFS(Problems!$B:$B, A8, Problems!$A:$A, "Solved")</f>
        <v/>
      </c>
      <c r="F8" s="12">
        <f>IF(C8&gt;0, E8/C8, 0)</f>
        <v/>
      </c>
      <c r="G8" s="2">
        <f>SUMIF(Problems!$B:$B, A8, Problems!$I:$I)</f>
        <v/>
      </c>
      <c r="H8" s="13">
        <f>AVERAGEIF(Problems!$B:$B, A8, Problems!$H:$H)</f>
        <v/>
      </c>
    </row>
    <row r="9" ht="20" customHeight="1">
      <c r="A9" s="7" t="inlineStr">
        <is>
          <t>KINGDOM 8 — THE KINGDOM OF MATHEMATICS &amp; NUMBER THEORY</t>
        </is>
      </c>
      <c r="B9" s="6" t="n">
        <v>6</v>
      </c>
      <c r="C9" s="6">
        <f>COUNTIF(Problems!$B:$B, A9)</f>
        <v/>
      </c>
      <c r="D9" s="6">
        <f>COUNTIFS(Problems!$B:$B, A9, Problems!$D:$D, "&lt;&gt;UNKNOWN")</f>
        <v/>
      </c>
      <c r="E9" s="6">
        <f>COUNTIFS(Problems!$B:$B, A9, Problems!$A:$A, "Solved")</f>
        <v/>
      </c>
      <c r="F9" s="14">
        <f>IF(C9&gt;0, E9/C9, 0)</f>
        <v/>
      </c>
      <c r="G9" s="6">
        <f>SUMIF(Problems!$B:$B, A9, Problems!$I:$I)</f>
        <v/>
      </c>
      <c r="H9" s="15">
        <f>AVERAGEIF(Problems!$B:$B, A9, Problems!$H:$H)</f>
        <v/>
      </c>
    </row>
    <row r="10" ht="20" customHeight="1">
      <c r="A10" s="3" t="inlineStr">
        <is>
          <t>KINGDOM 9 — THE KINGDOM OF RECURSION &amp; BACKTRACKING</t>
        </is>
      </c>
      <c r="B10" s="2" t="n">
        <v>4</v>
      </c>
      <c r="C10" s="2">
        <f>COUNTIF(Problems!$B:$B, A10)</f>
        <v/>
      </c>
      <c r="D10" s="2">
        <f>COUNTIFS(Problems!$B:$B, A10, Problems!$D:$D, "&lt;&gt;UNKNOWN")</f>
        <v/>
      </c>
      <c r="E10" s="2">
        <f>COUNTIFS(Problems!$B:$B, A10, Problems!$A:$A, "Solved")</f>
        <v/>
      </c>
      <c r="F10" s="12">
        <f>IF(C10&gt;0, E10/C10, 0)</f>
        <v/>
      </c>
      <c r="G10" s="2">
        <f>SUMIF(Problems!$B:$B, A10, Problems!$I:$I)</f>
        <v/>
      </c>
      <c r="H10" s="13">
        <f>AVERAGEIF(Problems!$B:$B, A10, Problems!$H:$H)</f>
        <v/>
      </c>
    </row>
    <row r="11" ht="20" customHeight="1">
      <c r="A11" s="7" t="inlineStr">
        <is>
          <t>KINGDOM 10 — THE KINGDOM OF STACK &amp; MONOTONIC STACK</t>
        </is>
      </c>
      <c r="B11" s="6" t="n">
        <v>4</v>
      </c>
      <c r="C11" s="6">
        <f>COUNTIF(Problems!$B:$B, A11)</f>
        <v/>
      </c>
      <c r="D11" s="6">
        <f>COUNTIFS(Problems!$B:$B, A11, Problems!$D:$D, "&lt;&gt;UNKNOWN")</f>
        <v/>
      </c>
      <c r="E11" s="6">
        <f>COUNTIFS(Problems!$B:$B, A11, Problems!$A:$A, "Solved")</f>
        <v/>
      </c>
      <c r="F11" s="14">
        <f>IF(C11&gt;0, E11/C11, 0)</f>
        <v/>
      </c>
      <c r="G11" s="6">
        <f>SUMIF(Problems!$B:$B, A11, Problems!$I:$I)</f>
        <v/>
      </c>
      <c r="H11" s="15">
        <f>AVERAGEIF(Problems!$B:$B, A11, Problems!$H:$H)</f>
        <v/>
      </c>
    </row>
    <row r="12" ht="20" customHeight="1">
      <c r="A12" s="3" t="inlineStr">
        <is>
          <t>KINGDOM 11 — THE KINGDOM OF QUEUE &amp; DEQUE</t>
        </is>
      </c>
      <c r="B12" s="2" t="n">
        <v>4</v>
      </c>
      <c r="C12" s="2">
        <f>COUNTIF(Problems!$B:$B, A12)</f>
        <v/>
      </c>
      <c r="D12" s="2">
        <f>COUNTIFS(Problems!$B:$B, A12, Problems!$D:$D, "&lt;&gt;UNKNOWN")</f>
        <v/>
      </c>
      <c r="E12" s="2">
        <f>COUNTIFS(Problems!$B:$B, A12, Problems!$A:$A, "Solved")</f>
        <v/>
      </c>
      <c r="F12" s="12">
        <f>IF(C12&gt;0, E12/C12, 0)</f>
        <v/>
      </c>
      <c r="G12" s="2">
        <f>SUMIF(Problems!$B:$B, A12, Problems!$I:$I)</f>
        <v/>
      </c>
      <c r="H12" s="13">
        <f>AVERAGEIF(Problems!$B:$B, A12, Problems!$H:$H)</f>
        <v/>
      </c>
    </row>
    <row r="13" ht="20" customHeight="1">
      <c r="A13" s="7" t="inlineStr">
        <is>
          <t>KINGDOM 12 — THE KINGDOM OF LINKED LIST &amp; SIMULATION</t>
        </is>
      </c>
      <c r="B13" s="6" t="n">
        <v>4</v>
      </c>
      <c r="C13" s="6">
        <f>COUNTIF(Problems!$B:$B, A13)</f>
        <v/>
      </c>
      <c r="D13" s="6">
        <f>COUNTIFS(Problems!$B:$B, A13, Problems!$D:$D, "&lt;&gt;UNKNOWN")</f>
        <v/>
      </c>
      <c r="E13" s="6">
        <f>COUNTIFS(Problems!$B:$B, A13, Problems!$A:$A, "Solved")</f>
        <v/>
      </c>
      <c r="F13" s="14">
        <f>IF(C13&gt;0, E13/C13, 0)</f>
        <v/>
      </c>
      <c r="G13" s="6">
        <f>SUMIF(Problems!$B:$B, A13, Problems!$I:$I)</f>
        <v/>
      </c>
      <c r="H13" s="15">
        <f>AVERAGEIF(Problems!$B:$B, A13, Problems!$H:$H)</f>
        <v/>
      </c>
    </row>
    <row r="14" ht="20" customHeight="1">
      <c r="A14" s="3" t="inlineStr">
        <is>
          <t>KINGDOM 13 — THE KINGDOM OF TREES</t>
        </is>
      </c>
      <c r="B14" s="2" t="n">
        <v>6</v>
      </c>
      <c r="C14" s="2">
        <f>COUNTIF(Problems!$B:$B, A14)</f>
        <v/>
      </c>
      <c r="D14" s="2">
        <f>COUNTIFS(Problems!$B:$B, A14, Problems!$D:$D, "&lt;&gt;UNKNOWN")</f>
        <v/>
      </c>
      <c r="E14" s="2">
        <f>COUNTIFS(Problems!$B:$B, A14, Problems!$A:$A, "Solved")</f>
        <v/>
      </c>
      <c r="F14" s="12">
        <f>IF(C14&gt;0, E14/C14, 0)</f>
        <v/>
      </c>
      <c r="G14" s="2">
        <f>SUMIF(Problems!$B:$B, A14, Problems!$I:$I)</f>
        <v/>
      </c>
      <c r="H14" s="13">
        <f>AVERAGEIF(Problems!$B:$B, A14, Problems!$H:$H)</f>
        <v/>
      </c>
    </row>
    <row r="15" ht="20" customHeight="1">
      <c r="A15" s="7" t="inlineStr">
        <is>
          <t>KINGDOM 14 — THE KINGDOM OF GRAPH TRAVERSAL (DFS &amp; BFS)</t>
        </is>
      </c>
      <c r="B15" s="6" t="n">
        <v>5</v>
      </c>
      <c r="C15" s="6">
        <f>COUNTIF(Problems!$B:$B, A15)</f>
        <v/>
      </c>
      <c r="D15" s="6">
        <f>COUNTIFS(Problems!$B:$B, A15, Problems!$D:$D, "&lt;&gt;UNKNOWN")</f>
        <v/>
      </c>
      <c r="E15" s="6">
        <f>COUNTIFS(Problems!$B:$B, A15, Problems!$A:$A, "Solved")</f>
        <v/>
      </c>
      <c r="F15" s="14">
        <f>IF(C15&gt;0, E15/C15, 0)</f>
        <v/>
      </c>
      <c r="G15" s="6">
        <f>SUMIF(Problems!$B:$B, A15, Problems!$I:$I)</f>
        <v/>
      </c>
      <c r="H15" s="15">
        <f>AVERAGEIF(Problems!$B:$B, A15, Problems!$H:$H)</f>
        <v/>
      </c>
    </row>
    <row r="16" ht="20" customHeight="1">
      <c r="A16" s="3" t="inlineStr">
        <is>
          <t>KINGDOM 15 — THE KINGDOM OF SHORTEST PATHS</t>
        </is>
      </c>
      <c r="B16" s="2" t="n">
        <v>4</v>
      </c>
      <c r="C16" s="2">
        <f>COUNTIF(Problems!$B:$B, A16)</f>
        <v/>
      </c>
      <c r="D16" s="2">
        <f>COUNTIFS(Problems!$B:$B, A16, Problems!$D:$D, "&lt;&gt;UNKNOWN")</f>
        <v/>
      </c>
      <c r="E16" s="2">
        <f>COUNTIFS(Problems!$B:$B, A16, Problems!$A:$A, "Solved")</f>
        <v/>
      </c>
      <c r="F16" s="12">
        <f>IF(C16&gt;0, E16/C16, 0)</f>
        <v/>
      </c>
      <c r="G16" s="2">
        <f>SUMIF(Problems!$B:$B, A16, Problems!$I:$I)</f>
        <v/>
      </c>
      <c r="H16" s="13">
        <f>AVERAGEIF(Problems!$B:$B, A16, Problems!$H:$H)</f>
        <v/>
      </c>
    </row>
    <row r="17" ht="20" customHeight="1">
      <c r="A17" s="7" t="inlineStr">
        <is>
          <t>KINGDOM 16 — THE KINGDOM OF DSU &amp; MINIMUM SPANNING TREE</t>
        </is>
      </c>
      <c r="B17" s="6" t="n">
        <v>4</v>
      </c>
      <c r="C17" s="6">
        <f>COUNTIF(Problems!$B:$B, A17)</f>
        <v/>
      </c>
      <c r="D17" s="6">
        <f>COUNTIFS(Problems!$B:$B, A17, Problems!$D:$D, "&lt;&gt;UNKNOWN")</f>
        <v/>
      </c>
      <c r="E17" s="6">
        <f>COUNTIFS(Problems!$B:$B, A17, Problems!$A:$A, "Solved")</f>
        <v/>
      </c>
      <c r="F17" s="14">
        <f>IF(C17&gt;0, E17/C17, 0)</f>
        <v/>
      </c>
      <c r="G17" s="6">
        <f>SUMIF(Problems!$B:$B, A17, Problems!$I:$I)</f>
        <v/>
      </c>
      <c r="H17" s="15">
        <f>AVERAGEIF(Problems!$B:$B, A17, Problems!$H:$H)</f>
        <v/>
      </c>
    </row>
    <row r="18" ht="20" customHeight="1">
      <c r="A18" s="3" t="inlineStr">
        <is>
          <t>KINGDOM 17 — THE KINGDOM OF DYNAMIC PROGRAMMING</t>
        </is>
      </c>
      <c r="B18" s="2" t="n">
        <v>10</v>
      </c>
      <c r="C18" s="2">
        <f>COUNTIF(Problems!$B:$B, A18)</f>
        <v/>
      </c>
      <c r="D18" s="2">
        <f>COUNTIFS(Problems!$B:$B, A18, Problems!$D:$D, "&lt;&gt;UNKNOWN")</f>
        <v/>
      </c>
      <c r="E18" s="2">
        <f>COUNTIFS(Problems!$B:$B, A18, Problems!$A:$A, "Solved")</f>
        <v/>
      </c>
      <c r="F18" s="12">
        <f>IF(C18&gt;0, E18/C18, 0)</f>
        <v/>
      </c>
      <c r="G18" s="2">
        <f>SUMIF(Problems!$B:$B, A18, Problems!$I:$I)</f>
        <v/>
      </c>
      <c r="H18" s="13">
        <f>AVERAGEIF(Problems!$B:$B, A18, Problems!$H:$H)</f>
        <v/>
      </c>
    </row>
    <row r="19" ht="20" customHeight="1">
      <c r="A19" s="7" t="inlineStr">
        <is>
          <t>KINGDOM 18 — THE KINGDOM OF DIVIDE &amp; CONQUER</t>
        </is>
      </c>
      <c r="B19" s="6" t="n">
        <v>3</v>
      </c>
      <c r="C19" s="6">
        <f>COUNTIF(Problems!$B:$B, A19)</f>
        <v/>
      </c>
      <c r="D19" s="6">
        <f>COUNTIFS(Problems!$B:$B, A19, Problems!$D:$D, "&lt;&gt;UNKNOWN")</f>
        <v/>
      </c>
      <c r="E19" s="6">
        <f>COUNTIFS(Problems!$B:$B, A19, Problems!$A:$A, "Solved")</f>
        <v/>
      </c>
      <c r="F19" s="14">
        <f>IF(C19&gt;0, E19/C19, 0)</f>
        <v/>
      </c>
      <c r="G19" s="6">
        <f>SUMIF(Problems!$B:$B, A19, Problems!$I:$I)</f>
        <v/>
      </c>
      <c r="H19" s="15">
        <f>AVERAGEIF(Problems!$B:$B, A19, Problems!$H:$H)</f>
        <v/>
      </c>
    </row>
    <row r="20" ht="20" customHeight="1">
      <c r="A20" s="3" t="inlineStr">
        <is>
          <t>KINGDOM 19 — THE KINGDOM OF SEGMENT TREES</t>
        </is>
      </c>
      <c r="B20" s="2" t="n">
        <v>6</v>
      </c>
      <c r="C20" s="2">
        <f>COUNTIF(Problems!$B:$B, A20)</f>
        <v/>
      </c>
      <c r="D20" s="2">
        <f>COUNTIFS(Problems!$B:$B, A20, Problems!$D:$D, "&lt;&gt;UNKNOWN")</f>
        <v/>
      </c>
      <c r="E20" s="2">
        <f>COUNTIFS(Problems!$B:$B, A20, Problems!$A:$A, "Solved")</f>
        <v/>
      </c>
      <c r="F20" s="12">
        <f>IF(C20&gt;0, E20/C20, 0)</f>
        <v/>
      </c>
      <c r="G20" s="2">
        <f>SUMIF(Problems!$B:$B, A20, Problems!$I:$I)</f>
        <v/>
      </c>
      <c r="H20" s="13">
        <f>AVERAGEIF(Problems!$B:$B, A20, Problems!$H:$H)</f>
        <v/>
      </c>
    </row>
    <row r="21" ht="20" customHeight="1">
      <c r="A21" s="7" t="inlineStr">
        <is>
          <t>KINGDOM 20 — THE KINGDOM OF FENWICK TREE (BIT)</t>
        </is>
      </c>
      <c r="B21" s="6" t="n">
        <v>4</v>
      </c>
      <c r="C21" s="6">
        <f>COUNTIF(Problems!$B:$B, A21)</f>
        <v/>
      </c>
      <c r="D21" s="6">
        <f>COUNTIFS(Problems!$B:$B, A21, Problems!$D:$D, "&lt;&gt;UNKNOWN")</f>
        <v/>
      </c>
      <c r="E21" s="6">
        <f>COUNTIFS(Problems!$B:$B, A21, Problems!$A:$A, "Solved")</f>
        <v/>
      </c>
      <c r="F21" s="14">
        <f>IF(C21&gt;0, E21/C21, 0)</f>
        <v/>
      </c>
      <c r="G21" s="6">
        <f>SUMIF(Problems!$B:$B, A21, Problems!$I:$I)</f>
        <v/>
      </c>
      <c r="H21" s="15">
        <f>AVERAGEIF(Problems!$B:$B, A21, Problems!$H:$H)</f>
        <v/>
      </c>
    </row>
    <row r="22" ht="20" customHeight="1">
      <c r="A22" s="3" t="inlineStr">
        <is>
          <t>KINGDOM 21 — THE KINGDOM OF TRIE &amp; STRING STRUCTURES</t>
        </is>
      </c>
      <c r="B22" s="2" t="n">
        <v>3</v>
      </c>
      <c r="C22" s="2">
        <f>COUNTIF(Problems!$B:$B, A22)</f>
        <v/>
      </c>
      <c r="D22" s="2">
        <f>COUNTIFS(Problems!$B:$B, A22, Problems!$D:$D, "&lt;&gt;UNKNOWN")</f>
        <v/>
      </c>
      <c r="E22" s="2">
        <f>COUNTIFS(Problems!$B:$B, A22, Problems!$A:$A, "Solved")</f>
        <v/>
      </c>
      <c r="F22" s="12">
        <f>IF(C22&gt;0, E22/C22, 0)</f>
        <v/>
      </c>
      <c r="G22" s="2">
        <f>SUMIF(Problems!$B:$B, A22, Problems!$I:$I)</f>
        <v/>
      </c>
      <c r="H22" s="13">
        <f>AVERAGEIF(Problems!$B:$B, A22, Problems!$H:$H)</f>
        <v/>
      </c>
    </row>
    <row r="23" ht="20" customHeight="1">
      <c r="A23" s="7" t="inlineStr">
        <is>
          <t>KINGDOM 22 — THE KINGDOM OF GEOMETRY &amp; COMPUTATIONAL GEOMETRY</t>
        </is>
      </c>
      <c r="B23" s="6" t="n">
        <v>3</v>
      </c>
      <c r="C23" s="6">
        <f>COUNTIF(Problems!$B:$B, A23)</f>
        <v/>
      </c>
      <c r="D23" s="6">
        <f>COUNTIFS(Problems!$B:$B, A23, Problems!$D:$D, "&lt;&gt;UNKNOWN")</f>
        <v/>
      </c>
      <c r="E23" s="6">
        <f>COUNTIFS(Problems!$B:$B, A23, Problems!$A:$A, "Solved")</f>
        <v/>
      </c>
      <c r="F23" s="14">
        <f>IF(C23&gt;0, E23/C23, 0)</f>
        <v/>
      </c>
      <c r="G23" s="6">
        <f>SUMIF(Problems!$B:$B, A23, Problems!$I:$I)</f>
        <v/>
      </c>
      <c r="H23" s="15">
        <f>AVERAGEIF(Problems!$B:$B, A23, Problems!$H:$H)</f>
        <v/>
      </c>
    </row>
    <row r="24" ht="20" customHeight="1">
      <c r="A24" s="3" t="inlineStr">
        <is>
          <t>KINGDOM 23 — THE KINGDOM OF GAME THEORY &amp; NIM</t>
        </is>
      </c>
      <c r="B24" s="2" t="n">
        <v>3</v>
      </c>
      <c r="C24" s="2">
        <f>COUNTIF(Problems!$B:$B, A24)</f>
        <v/>
      </c>
      <c r="D24" s="2">
        <f>COUNTIFS(Problems!$B:$B, A24, Problems!$D:$D, "&lt;&gt;UNKNOWN")</f>
        <v/>
      </c>
      <c r="E24" s="2">
        <f>COUNTIFS(Problems!$B:$B, A24, Problems!$A:$A, "Solved")</f>
        <v/>
      </c>
      <c r="F24" s="12">
        <f>IF(C24&gt;0, E24/C24, 0)</f>
        <v/>
      </c>
      <c r="G24" s="2">
        <f>SUMIF(Problems!$B:$B, A24, Problems!$I:$I)</f>
        <v/>
      </c>
      <c r="H24" s="13">
        <f>AVERAGEIF(Problems!$B:$B, A24, Problems!$H:$H)</f>
        <v/>
      </c>
    </row>
    <row r="25" ht="20" customHeight="1">
      <c r="A25" s="7" t="inlineStr">
        <is>
          <t>KINGDOM 24 — THE KINGDOM OF CONSTRUCTIVE ALGORITHMS</t>
        </is>
      </c>
      <c r="B25" s="6" t="n">
        <v>3</v>
      </c>
      <c r="C25" s="6">
        <f>COUNTIF(Problems!$B:$B, A25)</f>
        <v/>
      </c>
      <c r="D25" s="6">
        <f>COUNTIFS(Problems!$B:$B, A25, Problems!$D:$D, "&lt;&gt;UNKNOWN")</f>
        <v/>
      </c>
      <c r="E25" s="6">
        <f>COUNTIFS(Problems!$B:$B, A25, Problems!$A:$A, "Solved")</f>
        <v/>
      </c>
      <c r="F25" s="14">
        <f>IF(C25&gt;0, E25/C25, 0)</f>
        <v/>
      </c>
      <c r="G25" s="6">
        <f>SUMIF(Problems!$B:$B, A25, Problems!$I:$I)</f>
        <v/>
      </c>
      <c r="H25" s="15">
        <f>AVERAGEIF(Problems!$B:$B, A25, Problems!$H:$H)</f>
        <v/>
      </c>
    </row>
    <row r="26" ht="20" customHeight="1">
      <c r="A26" s="3" t="inlineStr">
        <is>
          <t>KINGDOM 25 — THE KINGDOM OF GEOMETRY, INTERACTIVE &amp; MISCELLANEOUS</t>
        </is>
      </c>
      <c r="B26" s="2" t="n">
        <v>5</v>
      </c>
      <c r="C26" s="2">
        <f>COUNTIF(Problems!$B:$B, A26)</f>
        <v/>
      </c>
      <c r="D26" s="2">
        <f>COUNTIFS(Problems!$B:$B, A26, Problems!$D:$D, "&lt;&gt;UNKNOWN")</f>
        <v/>
      </c>
      <c r="E26" s="2">
        <f>COUNTIFS(Problems!$B:$B, A26, Problems!$A:$A, "Solved")</f>
        <v/>
      </c>
      <c r="F26" s="12">
        <f>IF(C26&gt;0, E26/C26, 0)</f>
        <v/>
      </c>
      <c r="G26" s="2">
        <f>SUMIF(Problems!$B:$B, A26, Problems!$I:$I)</f>
        <v/>
      </c>
      <c r="H26" s="13">
        <f>AVERAGEIF(Problems!$B:$B, A26, Problems!$H:$H)</f>
        <v/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53" customWidth="1" min="2" max="2"/>
    <col width="34" customWidth="1" min="3" max="3"/>
    <col width="64" customWidth="1" min="4" max="4"/>
    <col width="61" customWidth="1" min="5" max="5"/>
    <col width="29" customWidth="1" min="6" max="6"/>
    <col width="52" customWidth="1" min="7" max="7"/>
  </cols>
  <sheetData>
    <row r="1" ht="25" customHeight="1">
      <c r="A1" s="1" t="inlineStr">
        <is>
          <t>Kingdom</t>
        </is>
      </c>
      <c r="B1" s="1" t="inlineStr">
        <is>
          <t>Pattern</t>
        </is>
      </c>
      <c r="C1" s="1" t="inlineStr">
        <is>
          <t>Total Problems</t>
        </is>
      </c>
      <c r="D1" s="1" t="inlineStr">
        <is>
          <t>Verified</t>
        </is>
      </c>
      <c r="E1" s="1" t="inlineStr">
        <is>
          <t>Solved</t>
        </is>
      </c>
      <c r="F1" s="1" t="inlineStr">
        <is>
          <t>Completion %</t>
        </is>
      </c>
      <c r="G1" s="1" t="inlineStr">
        <is>
          <t>Average Estimated Time (mins)</t>
        </is>
      </c>
    </row>
    <row r="2" ht="20" customHeight="1">
      <c r="A2" s="3" t="inlineStr">
        <is>
          <t>KINGDOM 1 — THE KINGDOM OF ARRAYS</t>
        </is>
      </c>
      <c r="B2" s="3" t="inlineStr">
        <is>
          <t>Pattern 1.1 — Basic Array Traversal</t>
        </is>
      </c>
      <c r="C2" s="2">
        <f>COUNTIF(Problems!$C:$C, B2)</f>
        <v/>
      </c>
      <c r="D2" s="2">
        <f>COUNTIFS(Problems!$C:$C, B2, Problems!$D:$D, "&lt;&gt;UNKNOWN")</f>
        <v/>
      </c>
      <c r="E2" s="2">
        <f>COUNTIFS(Problems!$C:$C, B2, Problems!$A:$A, "Solved")</f>
        <v/>
      </c>
      <c r="F2" s="12">
        <f>IF(C2&gt;0, E2/C2, 0)</f>
        <v/>
      </c>
      <c r="G2" s="13">
        <f>AVERAGEIF(Problems!$C:$C, B2, Problems!$H:$H)</f>
        <v/>
      </c>
    </row>
    <row r="3" ht="20" customHeight="1">
      <c r="A3" s="7" t="inlineStr">
        <is>
          <t>KINGDOM 1 — THE KINGDOM OF ARRAYS</t>
        </is>
      </c>
      <c r="B3" s="7" t="inlineStr">
        <is>
          <t>Pattern 1.2 — Frequency Counting</t>
        </is>
      </c>
      <c r="C3" s="6">
        <f>COUNTIF(Problems!$C:$C, B3)</f>
        <v/>
      </c>
      <c r="D3" s="6">
        <f>COUNTIFS(Problems!$C:$C, B3, Problems!$D:$D, "&lt;&gt;UNKNOWN")</f>
        <v/>
      </c>
      <c r="E3" s="6">
        <f>COUNTIFS(Problems!$C:$C, B3, Problems!$A:$A, "Solved")</f>
        <v/>
      </c>
      <c r="F3" s="14">
        <f>IF(C3&gt;0, E3/C3, 0)</f>
        <v/>
      </c>
      <c r="G3" s="15">
        <f>AVERAGEIF(Problems!$C:$C, B3, Problems!$H:$H)</f>
        <v/>
      </c>
    </row>
    <row r="4" ht="20" customHeight="1">
      <c r="A4" s="3" t="inlineStr">
        <is>
          <t>KINGDOM 1 — THE KINGDOM OF ARRAYS</t>
        </is>
      </c>
      <c r="B4" s="3" t="inlineStr">
        <is>
          <t>Pattern 1.3 — Simulation on Arrays</t>
        </is>
      </c>
      <c r="C4" s="2">
        <f>COUNTIF(Problems!$C:$C, B4)</f>
        <v/>
      </c>
      <c r="D4" s="2">
        <f>COUNTIFS(Problems!$C:$C, B4, Problems!$D:$D, "&lt;&gt;UNKNOWN")</f>
        <v/>
      </c>
      <c r="E4" s="2">
        <f>COUNTIFS(Problems!$C:$C, B4, Problems!$A:$A, "Solved")</f>
        <v/>
      </c>
      <c r="F4" s="12">
        <f>IF(C4&gt;0, E4/C4, 0)</f>
        <v/>
      </c>
      <c r="G4" s="13">
        <f>AVERAGEIF(Problems!$C:$C, B4, Problems!$H:$H)</f>
        <v/>
      </c>
    </row>
    <row r="5" ht="20" customHeight="1">
      <c r="A5" s="7" t="inlineStr">
        <is>
          <t>KINGDOM 1 — THE KINGDOM OF ARRAYS</t>
        </is>
      </c>
      <c r="B5" s="7" t="inlineStr">
        <is>
          <t>Pattern 1.4 — Sorting Based Arrays</t>
        </is>
      </c>
      <c r="C5" s="6">
        <f>COUNTIF(Problems!$C:$C, B5)</f>
        <v/>
      </c>
      <c r="D5" s="6">
        <f>COUNTIFS(Problems!$C:$C, B5, Problems!$D:$D, "&lt;&gt;UNKNOWN")</f>
        <v/>
      </c>
      <c r="E5" s="6">
        <f>COUNTIFS(Problems!$C:$C, B5, Problems!$A:$A, "Solved")</f>
        <v/>
      </c>
      <c r="F5" s="14">
        <f>IF(C5&gt;0, E5/C5, 0)</f>
        <v/>
      </c>
      <c r="G5" s="15">
        <f>AVERAGEIF(Problems!$C:$C, B5, Problems!$H:$H)</f>
        <v/>
      </c>
    </row>
    <row r="6" ht="20" customHeight="1">
      <c r="A6" s="3" t="inlineStr">
        <is>
          <t>KINGDOM 1 — THE KINGDOM OF ARRAYS</t>
        </is>
      </c>
      <c r="B6" s="3" t="inlineStr">
        <is>
          <t>Pattern 1.5 — Coordinate Compression</t>
        </is>
      </c>
      <c r="C6" s="2">
        <f>COUNTIF(Problems!$C:$C, B6)</f>
        <v/>
      </c>
      <c r="D6" s="2">
        <f>COUNTIFS(Problems!$C:$C, B6, Problems!$D:$D, "&lt;&gt;UNKNOWN")</f>
        <v/>
      </c>
      <c r="E6" s="2">
        <f>COUNTIFS(Problems!$C:$C, B6, Problems!$A:$A, "Solved")</f>
        <v/>
      </c>
      <c r="F6" s="12">
        <f>IF(C6&gt;0, E6/C6, 0)</f>
        <v/>
      </c>
      <c r="G6" s="13">
        <f>AVERAGEIF(Problems!$C:$C, B6, Problems!$H:$H)</f>
        <v/>
      </c>
    </row>
    <row r="7" ht="20" customHeight="1">
      <c r="A7" s="7" t="inlineStr">
        <is>
          <t>KINGDOM 1 — THE KINGDOM OF ARRAYS</t>
        </is>
      </c>
      <c r="B7" s="7" t="inlineStr">
        <is>
          <t>Pattern 1.6 — Constructive Arrays</t>
        </is>
      </c>
      <c r="C7" s="6">
        <f>COUNTIF(Problems!$C:$C, B7)</f>
        <v/>
      </c>
      <c r="D7" s="6">
        <f>COUNTIFS(Problems!$C:$C, B7, Problems!$D:$D, "&lt;&gt;UNKNOWN")</f>
        <v/>
      </c>
      <c r="E7" s="6">
        <f>COUNTIFS(Problems!$C:$C, B7, Problems!$A:$A, "Solved")</f>
        <v/>
      </c>
      <c r="F7" s="14">
        <f>IF(C7&gt;0, E7/C7, 0)</f>
        <v/>
      </c>
      <c r="G7" s="15">
        <f>AVERAGEIF(Problems!$C:$C, B7, Problems!$H:$H)</f>
        <v/>
      </c>
    </row>
    <row r="8" ht="20" customHeight="1">
      <c r="A8" s="3" t="inlineStr">
        <is>
          <t>KINGDOM 2 — THE KINGDOM OF PREFIX SUM &amp; DIFFERENCE ARRAY</t>
        </is>
      </c>
      <c r="B8" s="3" t="inlineStr">
        <is>
          <t>Pattern 2.1 — 1D Prefix Sum</t>
        </is>
      </c>
      <c r="C8" s="2">
        <f>COUNTIF(Problems!$C:$C, B8)</f>
        <v/>
      </c>
      <c r="D8" s="2">
        <f>COUNTIFS(Problems!$C:$C, B8, Problems!$D:$D, "&lt;&gt;UNKNOWN")</f>
        <v/>
      </c>
      <c r="E8" s="2">
        <f>COUNTIFS(Problems!$C:$C, B8, Problems!$A:$A, "Solved")</f>
        <v/>
      </c>
      <c r="F8" s="12">
        <f>IF(C8&gt;0, E8/C8, 0)</f>
        <v/>
      </c>
      <c r="G8" s="13">
        <f>AVERAGEIF(Problems!$C:$C, B8, Problems!$H:$H)</f>
        <v/>
      </c>
    </row>
    <row r="9" ht="20" customHeight="1">
      <c r="A9" s="7" t="inlineStr">
        <is>
          <t>KINGDOM 2 — THE KINGDOM OF PREFIX SUM &amp; DIFFERENCE ARRAY</t>
        </is>
      </c>
      <c r="B9" s="7" t="inlineStr">
        <is>
          <t>Pattern 2.2 — Prefix Frequency</t>
        </is>
      </c>
      <c r="C9" s="6">
        <f>COUNTIF(Problems!$C:$C, B9)</f>
        <v/>
      </c>
      <c r="D9" s="6">
        <f>COUNTIFS(Problems!$C:$C, B9, Problems!$D:$D, "&lt;&gt;UNKNOWN")</f>
        <v/>
      </c>
      <c r="E9" s="6">
        <f>COUNTIFS(Problems!$C:$C, B9, Problems!$A:$A, "Solved")</f>
        <v/>
      </c>
      <c r="F9" s="14">
        <f>IF(C9&gt;0, E9/C9, 0)</f>
        <v/>
      </c>
      <c r="G9" s="15">
        <f>AVERAGEIF(Problems!$C:$C, B9, Problems!$H:$H)</f>
        <v/>
      </c>
    </row>
    <row r="10" ht="20" customHeight="1">
      <c r="A10" s="3" t="inlineStr">
        <is>
          <t>KINGDOM 2 — THE KINGDOM OF PREFIX SUM &amp; DIFFERENCE ARRAY</t>
        </is>
      </c>
      <c r="B10" s="3" t="inlineStr">
        <is>
          <t>Pattern 2.3 — Difference Array</t>
        </is>
      </c>
      <c r="C10" s="2">
        <f>COUNTIF(Problems!$C:$C, B10)</f>
        <v/>
      </c>
      <c r="D10" s="2">
        <f>COUNTIFS(Problems!$C:$C, B10, Problems!$D:$D, "&lt;&gt;UNKNOWN")</f>
        <v/>
      </c>
      <c r="E10" s="2">
        <f>COUNTIFS(Problems!$C:$C, B10, Problems!$A:$A, "Solved")</f>
        <v/>
      </c>
      <c r="F10" s="12">
        <f>IF(C10&gt;0, E10/C10, 0)</f>
        <v/>
      </c>
      <c r="G10" s="13">
        <f>AVERAGEIF(Problems!$C:$C, B10, Problems!$H:$H)</f>
        <v/>
      </c>
    </row>
    <row r="11" ht="20" customHeight="1">
      <c r="A11" s="7" t="inlineStr">
        <is>
          <t>KINGDOM 2 — THE KINGDOM OF PREFIX SUM &amp; DIFFERENCE ARRAY</t>
        </is>
      </c>
      <c r="B11" s="7" t="inlineStr">
        <is>
          <t>Pattern 2.4 — Prefix XOR</t>
        </is>
      </c>
      <c r="C11" s="6">
        <f>COUNTIF(Problems!$C:$C, B11)</f>
        <v/>
      </c>
      <c r="D11" s="6">
        <f>COUNTIFS(Problems!$C:$C, B11, Problems!$D:$D, "&lt;&gt;UNKNOWN")</f>
        <v/>
      </c>
      <c r="E11" s="6">
        <f>COUNTIFS(Problems!$C:$C, B11, Problems!$A:$A, "Solved")</f>
        <v/>
      </c>
      <c r="F11" s="14">
        <f>IF(C11&gt;0, E11/C11, 0)</f>
        <v/>
      </c>
      <c r="G11" s="15">
        <f>AVERAGEIF(Problems!$C:$C, B11, Problems!$H:$H)</f>
        <v/>
      </c>
    </row>
    <row r="12" ht="20" customHeight="1">
      <c r="A12" s="3" t="inlineStr">
        <is>
          <t>KINGDOM 3 — THE KINGDOM OF TWO POINTERS &amp; SLIDING WINDOW</t>
        </is>
      </c>
      <c r="B12" s="3" t="inlineStr">
        <is>
          <t>Pattern 3.1 — Classic Two Pointers</t>
        </is>
      </c>
      <c r="C12" s="2">
        <f>COUNTIF(Problems!$C:$C, B12)</f>
        <v/>
      </c>
      <c r="D12" s="2">
        <f>COUNTIFS(Problems!$C:$C, B12, Problems!$D:$D, "&lt;&gt;UNKNOWN")</f>
        <v/>
      </c>
      <c r="E12" s="2">
        <f>COUNTIFS(Problems!$C:$C, B12, Problems!$A:$A, "Solved")</f>
        <v/>
      </c>
      <c r="F12" s="12">
        <f>IF(C12&gt;0, E12/C12, 0)</f>
        <v/>
      </c>
      <c r="G12" s="13">
        <f>AVERAGEIF(Problems!$C:$C, B12, Problems!$H:$H)</f>
        <v/>
      </c>
    </row>
    <row r="13" ht="20" customHeight="1">
      <c r="A13" s="7" t="inlineStr">
        <is>
          <t>KINGDOM 3 — THE KINGDOM OF TWO POINTERS &amp; SLIDING WINDOW</t>
        </is>
      </c>
      <c r="B13" s="7" t="inlineStr">
        <is>
          <t>Pattern 3.2 — Opposite Direction Pointers</t>
        </is>
      </c>
      <c r="C13" s="6">
        <f>COUNTIF(Problems!$C:$C, B13)</f>
        <v/>
      </c>
      <c r="D13" s="6">
        <f>COUNTIFS(Problems!$C:$C, B13, Problems!$D:$D, "&lt;&gt;UNKNOWN")</f>
        <v/>
      </c>
      <c r="E13" s="6">
        <f>COUNTIFS(Problems!$C:$C, B13, Problems!$A:$A, "Solved")</f>
        <v/>
      </c>
      <c r="F13" s="14">
        <f>IF(C13&gt;0, E13/C13, 0)</f>
        <v/>
      </c>
      <c r="G13" s="15">
        <f>AVERAGEIF(Problems!$C:$C, B13, Problems!$H:$H)</f>
        <v/>
      </c>
    </row>
    <row r="14" ht="20" customHeight="1">
      <c r="A14" s="3" t="inlineStr">
        <is>
          <t>KINGDOM 3 — THE KINGDOM OF TWO POINTERS &amp; SLIDING WINDOW</t>
        </is>
      </c>
      <c r="B14" s="3" t="inlineStr">
        <is>
          <t>Pattern 3.3 — Sliding Window</t>
        </is>
      </c>
      <c r="C14" s="2">
        <f>COUNTIF(Problems!$C:$C, B14)</f>
        <v/>
      </c>
      <c r="D14" s="2">
        <f>COUNTIFS(Problems!$C:$C, B14, Problems!$D:$D, "&lt;&gt;UNKNOWN")</f>
        <v/>
      </c>
      <c r="E14" s="2">
        <f>COUNTIFS(Problems!$C:$C, B14, Problems!$A:$A, "Solved")</f>
        <v/>
      </c>
      <c r="F14" s="12">
        <f>IF(C14&gt;0, E14/C14, 0)</f>
        <v/>
      </c>
      <c r="G14" s="13">
        <f>AVERAGEIF(Problems!$C:$C, B14, Problems!$H:$H)</f>
        <v/>
      </c>
    </row>
    <row r="15" ht="20" customHeight="1">
      <c r="A15" s="7" t="inlineStr">
        <is>
          <t>KINGDOM 3 — THE KINGDOM OF TWO POINTERS &amp; SLIDING WINDOW</t>
        </is>
      </c>
      <c r="B15" s="7" t="inlineStr">
        <is>
          <t>Pattern 3.4 — Meet in the Middle Style</t>
        </is>
      </c>
      <c r="C15" s="6">
        <f>COUNTIF(Problems!$C:$C, B15)</f>
        <v/>
      </c>
      <c r="D15" s="6">
        <f>COUNTIFS(Problems!$C:$C, B15, Problems!$D:$D, "&lt;&gt;UNKNOWN")</f>
        <v/>
      </c>
      <c r="E15" s="6">
        <f>COUNTIFS(Problems!$C:$C, B15, Problems!$A:$A, "Solved")</f>
        <v/>
      </c>
      <c r="F15" s="14">
        <f>IF(C15&gt;0, E15/C15, 0)</f>
        <v/>
      </c>
      <c r="G15" s="15">
        <f>AVERAGEIF(Problems!$C:$C, B15, Problems!$H:$H)</f>
        <v/>
      </c>
    </row>
    <row r="16" ht="20" customHeight="1">
      <c r="A16" s="3" t="inlineStr">
        <is>
          <t>KINGDOM 4 — THE KINGDOM OF BINARY SEARCH</t>
        </is>
      </c>
      <c r="B16" s="3" t="inlineStr">
        <is>
          <t>Pattern 4.1 — Classic Binary Search</t>
        </is>
      </c>
      <c r="C16" s="2">
        <f>COUNTIF(Problems!$C:$C, B16)</f>
        <v/>
      </c>
      <c r="D16" s="2">
        <f>COUNTIFS(Problems!$C:$C, B16, Problems!$D:$D, "&lt;&gt;UNKNOWN")</f>
        <v/>
      </c>
      <c r="E16" s="2">
        <f>COUNTIFS(Problems!$C:$C, B16, Problems!$A:$A, "Solved")</f>
        <v/>
      </c>
      <c r="F16" s="12">
        <f>IF(C16&gt;0, E16/C16, 0)</f>
        <v/>
      </c>
      <c r="G16" s="13">
        <f>AVERAGEIF(Problems!$C:$C, B16, Problems!$H:$H)</f>
        <v/>
      </c>
    </row>
    <row r="17" ht="20" customHeight="1">
      <c r="A17" s="7" t="inlineStr">
        <is>
          <t>KINGDOM 4 — THE KINGDOM OF BINARY SEARCH</t>
        </is>
      </c>
      <c r="B17" s="7" t="inlineStr">
        <is>
          <t>Pattern 4.2 — Binary Search on Answer</t>
        </is>
      </c>
      <c r="C17" s="6">
        <f>COUNTIF(Problems!$C:$C, B17)</f>
        <v/>
      </c>
      <c r="D17" s="6">
        <f>COUNTIFS(Problems!$C:$C, B17, Problems!$D:$D, "&lt;&gt;UNKNOWN")</f>
        <v/>
      </c>
      <c r="E17" s="6">
        <f>COUNTIFS(Problems!$C:$C, B17, Problems!$A:$A, "Solved")</f>
        <v/>
      </c>
      <c r="F17" s="14">
        <f>IF(C17&gt;0, E17/C17, 0)</f>
        <v/>
      </c>
      <c r="G17" s="15">
        <f>AVERAGEIF(Problems!$C:$C, B17, Problems!$H:$H)</f>
        <v/>
      </c>
    </row>
    <row r="18" ht="20" customHeight="1">
      <c r="A18" s="3" t="inlineStr">
        <is>
          <t>KINGDOM 4 — THE KINGDOM OF BINARY SEARCH</t>
        </is>
      </c>
      <c r="B18" s="3" t="inlineStr">
        <is>
          <t>Pattern 4.3 — Parametric Search</t>
        </is>
      </c>
      <c r="C18" s="2">
        <f>COUNTIF(Problems!$C:$C, B18)</f>
        <v/>
      </c>
      <c r="D18" s="2">
        <f>COUNTIFS(Problems!$C:$C, B18, Problems!$D:$D, "&lt;&gt;UNKNOWN")</f>
        <v/>
      </c>
      <c r="E18" s="2">
        <f>COUNTIFS(Problems!$C:$C, B18, Problems!$A:$A, "Solved")</f>
        <v/>
      </c>
      <c r="F18" s="12">
        <f>IF(C18&gt;0, E18/C18, 0)</f>
        <v/>
      </c>
      <c r="G18" s="13">
        <f>AVERAGEIF(Problems!$C:$C, B18, Problems!$H:$H)</f>
        <v/>
      </c>
    </row>
    <row r="19" ht="20" customHeight="1">
      <c r="A19" s="7" t="inlineStr">
        <is>
          <t>KINGDOM 4 — THE KINGDOM OF BINARY SEARCH</t>
        </is>
      </c>
      <c r="B19" s="7" t="inlineStr">
        <is>
          <t>Pattern 4.4 — Continuous Binary Search</t>
        </is>
      </c>
      <c r="C19" s="6">
        <f>COUNTIF(Problems!$C:$C, B19)</f>
        <v/>
      </c>
      <c r="D19" s="6">
        <f>COUNTIFS(Problems!$C:$C, B19, Problems!$D:$D, "&lt;&gt;UNKNOWN")</f>
        <v/>
      </c>
      <c r="E19" s="6">
        <f>COUNTIFS(Problems!$C:$C, B19, Problems!$A:$A, "Solved")</f>
        <v/>
      </c>
      <c r="F19" s="14">
        <f>IF(C19&gt;0, E19/C19, 0)</f>
        <v/>
      </c>
      <c r="G19" s="15">
        <f>AVERAGEIF(Problems!$C:$C, B19, Problems!$H:$H)</f>
        <v/>
      </c>
    </row>
    <row r="20" ht="20" customHeight="1">
      <c r="A20" s="3" t="inlineStr">
        <is>
          <t>KINGDOM 5 — THE KINGDOM OF SORTING &amp; GREEDY</t>
        </is>
      </c>
      <c r="B20" s="3" t="inlineStr">
        <is>
          <t>Pattern 5.1 — Basic Greedy</t>
        </is>
      </c>
      <c r="C20" s="2">
        <f>COUNTIF(Problems!$C:$C, B20)</f>
        <v/>
      </c>
      <c r="D20" s="2">
        <f>COUNTIFS(Problems!$C:$C, B20, Problems!$D:$D, "&lt;&gt;UNKNOWN")</f>
        <v/>
      </c>
      <c r="E20" s="2">
        <f>COUNTIFS(Problems!$C:$C, B20, Problems!$A:$A, "Solved")</f>
        <v/>
      </c>
      <c r="F20" s="12">
        <f>IF(C20&gt;0, E20/C20, 0)</f>
        <v/>
      </c>
      <c r="G20" s="13">
        <f>AVERAGEIF(Problems!$C:$C, B20, Problems!$H:$H)</f>
        <v/>
      </c>
    </row>
    <row r="21" ht="20" customHeight="1">
      <c r="A21" s="7" t="inlineStr">
        <is>
          <t>KINGDOM 5 — THE KINGDOM OF SORTING &amp; GREEDY</t>
        </is>
      </c>
      <c r="B21" s="7" t="inlineStr">
        <is>
          <t>Pattern 5.2 — Greedy with Sorting</t>
        </is>
      </c>
      <c r="C21" s="6">
        <f>COUNTIF(Problems!$C:$C, B21)</f>
        <v/>
      </c>
      <c r="D21" s="6">
        <f>COUNTIFS(Problems!$C:$C, B21, Problems!$D:$D, "&lt;&gt;UNKNOWN")</f>
        <v/>
      </c>
      <c r="E21" s="6">
        <f>COUNTIFS(Problems!$C:$C, B21, Problems!$A:$A, "Solved")</f>
        <v/>
      </c>
      <c r="F21" s="14">
        <f>IF(C21&gt;0, E21/C21, 0)</f>
        <v/>
      </c>
      <c r="G21" s="15">
        <f>AVERAGEIF(Problems!$C:$C, B21, Problems!$H:$H)</f>
        <v/>
      </c>
    </row>
    <row r="22" ht="20" customHeight="1">
      <c r="A22" s="3" t="inlineStr">
        <is>
          <t>KINGDOM 5 — THE KINGDOM OF SORTING &amp; GREEDY</t>
        </is>
      </c>
      <c r="B22" s="3" t="inlineStr">
        <is>
          <t>Pattern 5.3 — Interval Greedy</t>
        </is>
      </c>
      <c r="C22" s="2">
        <f>COUNTIF(Problems!$C:$C, B22)</f>
        <v/>
      </c>
      <c r="D22" s="2">
        <f>COUNTIFS(Problems!$C:$C, B22, Problems!$D:$D, "&lt;&gt;UNKNOWN")</f>
        <v/>
      </c>
      <c r="E22" s="2">
        <f>COUNTIFS(Problems!$C:$C, B22, Problems!$A:$A, "Solved")</f>
        <v/>
      </c>
      <c r="F22" s="12">
        <f>IF(C22&gt;0, E22/C22, 0)</f>
        <v/>
      </c>
      <c r="G22" s="13">
        <f>AVERAGEIF(Problems!$C:$C, B22, Problems!$H:$H)</f>
        <v/>
      </c>
    </row>
    <row r="23" ht="20" customHeight="1">
      <c r="A23" s="7" t="inlineStr">
        <is>
          <t>KINGDOM 5 — THE KINGDOM OF SORTING &amp; GREEDY</t>
        </is>
      </c>
      <c r="B23" s="7" t="inlineStr">
        <is>
          <t>Pattern 5.4 — Greedy + Priority Queue</t>
        </is>
      </c>
      <c r="C23" s="6">
        <f>COUNTIF(Problems!$C:$C, B23)</f>
        <v/>
      </c>
      <c r="D23" s="6">
        <f>COUNTIFS(Problems!$C:$C, B23, Problems!$D:$D, "&lt;&gt;UNKNOWN")</f>
        <v/>
      </c>
      <c r="E23" s="6">
        <f>COUNTIFS(Problems!$C:$C, B23, Problems!$A:$A, "Solved")</f>
        <v/>
      </c>
      <c r="F23" s="14">
        <f>IF(C23&gt;0, E23/C23, 0)</f>
        <v/>
      </c>
      <c r="G23" s="15">
        <f>AVERAGEIF(Problems!$C:$C, B23, Problems!$H:$H)</f>
        <v/>
      </c>
    </row>
    <row r="24" ht="20" customHeight="1">
      <c r="A24" s="3" t="inlineStr">
        <is>
          <t>KINGDOM 5 — THE KINGDOM OF SORTING &amp; GREEDY</t>
        </is>
      </c>
      <c r="B24" s="3" t="inlineStr">
        <is>
          <t>Pattern 5.5 — Constructive Greedy</t>
        </is>
      </c>
      <c r="C24" s="2">
        <f>COUNTIF(Problems!$C:$C, B24)</f>
        <v/>
      </c>
      <c r="D24" s="2">
        <f>COUNTIFS(Problems!$C:$C, B24, Problems!$D:$D, "&lt;&gt;UNKNOWN")</f>
        <v/>
      </c>
      <c r="E24" s="2">
        <f>COUNTIFS(Problems!$C:$C, B24, Problems!$A:$A, "Solved")</f>
        <v/>
      </c>
      <c r="F24" s="12">
        <f>IF(C24&gt;0, E24/C24, 0)</f>
        <v/>
      </c>
      <c r="G24" s="13">
        <f>AVERAGEIF(Problems!$C:$C, B24, Problems!$H:$H)</f>
        <v/>
      </c>
    </row>
    <row r="25" ht="20" customHeight="1">
      <c r="A25" s="7" t="inlineStr">
        <is>
          <t>KINGDOM 6 — THE KINGDOM OF STRINGS</t>
        </is>
      </c>
      <c r="B25" s="7" t="inlineStr">
        <is>
          <t>Pattern 6.1 — Basic String Processing</t>
        </is>
      </c>
      <c r="C25" s="6">
        <f>COUNTIF(Problems!$C:$C, B25)</f>
        <v/>
      </c>
      <c r="D25" s="6">
        <f>COUNTIFS(Problems!$C:$C, B25, Problems!$D:$D, "&lt;&gt;UNKNOWN")</f>
        <v/>
      </c>
      <c r="E25" s="6">
        <f>COUNTIFS(Problems!$C:$C, B25, Problems!$A:$A, "Solved")</f>
        <v/>
      </c>
      <c r="F25" s="14">
        <f>IF(C25&gt;0, E25/C25, 0)</f>
        <v/>
      </c>
      <c r="G25" s="15">
        <f>AVERAGEIF(Problems!$C:$C, B25, Problems!$H:$H)</f>
        <v/>
      </c>
    </row>
    <row r="26" ht="20" customHeight="1">
      <c r="A26" s="3" t="inlineStr">
        <is>
          <t>KINGDOM 6 — THE KINGDOM OF STRINGS</t>
        </is>
      </c>
      <c r="B26" s="3" t="inlineStr">
        <is>
          <t>Pattern 6.2 — Character Frequency</t>
        </is>
      </c>
      <c r="C26" s="2">
        <f>COUNTIF(Problems!$C:$C, B26)</f>
        <v/>
      </c>
      <c r="D26" s="2">
        <f>COUNTIFS(Problems!$C:$C, B26, Problems!$D:$D, "&lt;&gt;UNKNOWN")</f>
        <v/>
      </c>
      <c r="E26" s="2">
        <f>COUNTIFS(Problems!$C:$C, B26, Problems!$A:$A, "Solved")</f>
        <v/>
      </c>
      <c r="F26" s="12">
        <f>IF(C26&gt;0, E26/C26, 0)</f>
        <v/>
      </c>
      <c r="G26" s="13">
        <f>AVERAGEIF(Problems!$C:$C, B26, Problems!$H:$H)</f>
        <v/>
      </c>
    </row>
    <row r="27" ht="20" customHeight="1">
      <c r="A27" s="7" t="inlineStr">
        <is>
          <t>KINGDOM 6 — THE KINGDOM OF STRINGS</t>
        </is>
      </c>
      <c r="B27" s="7" t="inlineStr">
        <is>
          <t>Pattern 6.3 — Greedy on Strings</t>
        </is>
      </c>
      <c r="C27" s="6">
        <f>COUNTIF(Problems!$C:$C, B27)</f>
        <v/>
      </c>
      <c r="D27" s="6">
        <f>COUNTIFS(Problems!$C:$C, B27, Problems!$D:$D, "&lt;&gt;UNKNOWN")</f>
        <v/>
      </c>
      <c r="E27" s="6">
        <f>COUNTIFS(Problems!$C:$C, B27, Problems!$A:$A, "Solved")</f>
        <v/>
      </c>
      <c r="F27" s="14">
        <f>IF(C27&gt;0, E27/C27, 0)</f>
        <v/>
      </c>
      <c r="G27" s="15">
        <f>AVERAGEIF(Problems!$C:$C, B27, Problems!$H:$H)</f>
        <v/>
      </c>
    </row>
    <row r="28" ht="20" customHeight="1">
      <c r="A28" s="3" t="inlineStr">
        <is>
          <t>KINGDOM 6 — THE KINGDOM OF STRINGS</t>
        </is>
      </c>
      <c r="B28" s="3" t="inlineStr">
        <is>
          <t>Pattern 6.4 — Prefix Function (KMP)</t>
        </is>
      </c>
      <c r="C28" s="2">
        <f>COUNTIF(Problems!$C:$C, B28)</f>
        <v/>
      </c>
      <c r="D28" s="2">
        <f>COUNTIFS(Problems!$C:$C, B28, Problems!$D:$D, "&lt;&gt;UNKNOWN")</f>
        <v/>
      </c>
      <c r="E28" s="2">
        <f>COUNTIFS(Problems!$C:$C, B28, Problems!$A:$A, "Solved")</f>
        <v/>
      </c>
      <c r="F28" s="12">
        <f>IF(C28&gt;0, E28/C28, 0)</f>
        <v/>
      </c>
      <c r="G28" s="13">
        <f>AVERAGEIF(Problems!$C:$C, B28, Problems!$H:$H)</f>
        <v/>
      </c>
    </row>
    <row r="29" ht="20" customHeight="1">
      <c r="A29" s="7" t="inlineStr">
        <is>
          <t>KINGDOM 6 — THE KINGDOM OF STRINGS</t>
        </is>
      </c>
      <c r="B29" s="7" t="inlineStr">
        <is>
          <t>Pattern 6.5 — Z Algorithm</t>
        </is>
      </c>
      <c r="C29" s="6">
        <f>COUNTIF(Problems!$C:$C, B29)</f>
        <v/>
      </c>
      <c r="D29" s="6">
        <f>COUNTIFS(Problems!$C:$C, B29, Problems!$D:$D, "&lt;&gt;UNKNOWN")</f>
        <v/>
      </c>
      <c r="E29" s="6">
        <f>COUNTIFS(Problems!$C:$C, B29, Problems!$A:$A, "Solved")</f>
        <v/>
      </c>
      <c r="F29" s="14">
        <f>IF(C29&gt;0, E29/C29, 0)</f>
        <v/>
      </c>
      <c r="G29" s="15">
        <f>AVERAGEIF(Problems!$C:$C, B29, Problems!$H:$H)</f>
        <v/>
      </c>
    </row>
    <row r="30" ht="20" customHeight="1">
      <c r="A30" s="3" t="inlineStr">
        <is>
          <t>KINGDOM 6 — THE KINGDOM OF STRINGS</t>
        </is>
      </c>
      <c r="B30" s="3" t="inlineStr">
        <is>
          <t>Pattern 6.6 — Hashing</t>
        </is>
      </c>
      <c r="C30" s="2">
        <f>COUNTIF(Problems!$C:$C, B30)</f>
        <v/>
      </c>
      <c r="D30" s="2">
        <f>COUNTIFS(Problems!$C:$C, B30, Problems!$D:$D, "&lt;&gt;UNKNOWN")</f>
        <v/>
      </c>
      <c r="E30" s="2">
        <f>COUNTIFS(Problems!$C:$C, B30, Problems!$A:$A, "Solved")</f>
        <v/>
      </c>
      <c r="F30" s="12">
        <f>IF(C30&gt;0, E30/C30, 0)</f>
        <v/>
      </c>
      <c r="G30" s="13">
        <f>AVERAGEIF(Problems!$C:$C, B30, Problems!$H:$H)</f>
        <v/>
      </c>
    </row>
    <row r="31" ht="20" customHeight="1">
      <c r="A31" s="7" t="inlineStr">
        <is>
          <t>KINGDOM 7 — THE KINGDOM OF BIT MANIPULATION</t>
        </is>
      </c>
      <c r="B31" s="7" t="inlineStr">
        <is>
          <t>Pattern 7.1 — Basic Bit Operations</t>
        </is>
      </c>
      <c r="C31" s="6">
        <f>COUNTIF(Problems!$C:$C, B31)</f>
        <v/>
      </c>
      <c r="D31" s="6">
        <f>COUNTIFS(Problems!$C:$C, B31, Problems!$D:$D, "&lt;&gt;UNKNOWN")</f>
        <v/>
      </c>
      <c r="E31" s="6">
        <f>COUNTIFS(Problems!$C:$C, B31, Problems!$A:$A, "Solved")</f>
        <v/>
      </c>
      <c r="F31" s="14">
        <f>IF(C31&gt;0, E31/C31, 0)</f>
        <v/>
      </c>
      <c r="G31" s="15">
        <f>AVERAGEIF(Problems!$C:$C, B31, Problems!$H:$H)</f>
        <v/>
      </c>
    </row>
    <row r="32" ht="20" customHeight="1">
      <c r="A32" s="3" t="inlineStr">
        <is>
          <t>KINGDOM 7 — THE KINGDOM OF BIT MANIPULATION</t>
        </is>
      </c>
      <c r="B32" s="3" t="inlineStr">
        <is>
          <t>Pattern 7.2 — XOR Properties</t>
        </is>
      </c>
      <c r="C32" s="2">
        <f>COUNTIF(Problems!$C:$C, B32)</f>
        <v/>
      </c>
      <c r="D32" s="2">
        <f>COUNTIFS(Problems!$C:$C, B32, Problems!$D:$D, "&lt;&gt;UNKNOWN")</f>
        <v/>
      </c>
      <c r="E32" s="2">
        <f>COUNTIFS(Problems!$C:$C, B32, Problems!$A:$A, "Solved")</f>
        <v/>
      </c>
      <c r="F32" s="12">
        <f>IF(C32&gt;0, E32/C32, 0)</f>
        <v/>
      </c>
      <c r="G32" s="13">
        <f>AVERAGEIF(Problems!$C:$C, B32, Problems!$H:$H)</f>
        <v/>
      </c>
    </row>
    <row r="33" ht="20" customHeight="1">
      <c r="A33" s="7" t="inlineStr">
        <is>
          <t>KINGDOM 7 — THE KINGDOM OF BIT MANIPULATION</t>
        </is>
      </c>
      <c r="B33" s="7" t="inlineStr">
        <is>
          <t>Pattern 7.3 — Bitmask Enumeration</t>
        </is>
      </c>
      <c r="C33" s="6">
        <f>COUNTIF(Problems!$C:$C, B33)</f>
        <v/>
      </c>
      <c r="D33" s="6">
        <f>COUNTIFS(Problems!$C:$C, B33, Problems!$D:$D, "&lt;&gt;UNKNOWN")</f>
        <v/>
      </c>
      <c r="E33" s="6">
        <f>COUNTIFS(Problems!$C:$C, B33, Problems!$A:$A, "Solved")</f>
        <v/>
      </c>
      <c r="F33" s="14">
        <f>IF(C33&gt;0, E33/C33, 0)</f>
        <v/>
      </c>
      <c r="G33" s="15">
        <f>AVERAGEIF(Problems!$C:$C, B33, Problems!$H:$H)</f>
        <v/>
      </c>
    </row>
    <row r="34" ht="20" customHeight="1">
      <c r="A34" s="3" t="inlineStr">
        <is>
          <t>KINGDOM 7 — THE KINGDOM OF BIT MANIPULATION</t>
        </is>
      </c>
      <c r="B34" s="3" t="inlineStr">
        <is>
          <t>Pattern 7.4 — Trie + XOR</t>
        </is>
      </c>
      <c r="C34" s="2">
        <f>COUNTIF(Problems!$C:$C, B34)</f>
        <v/>
      </c>
      <c r="D34" s="2">
        <f>COUNTIFS(Problems!$C:$C, B34, Problems!$D:$D, "&lt;&gt;UNKNOWN")</f>
        <v/>
      </c>
      <c r="E34" s="2">
        <f>COUNTIFS(Problems!$C:$C, B34, Problems!$A:$A, "Solved")</f>
        <v/>
      </c>
      <c r="F34" s="12">
        <f>IF(C34&gt;0, E34/C34, 0)</f>
        <v/>
      </c>
      <c r="G34" s="13">
        <f>AVERAGEIF(Problems!$C:$C, B34, Problems!$H:$H)</f>
        <v/>
      </c>
    </row>
    <row r="35" ht="20" customHeight="1">
      <c r="A35" s="7" t="inlineStr">
        <is>
          <t>KINGDOM 8 — THE KINGDOM OF MATHEMATICS &amp; NUMBER THEORY</t>
        </is>
      </c>
      <c r="B35" s="7" t="inlineStr">
        <is>
          <t>Pattern 8.1 — Basic Mathematics</t>
        </is>
      </c>
      <c r="C35" s="6">
        <f>COUNTIF(Problems!$C:$C, B35)</f>
        <v/>
      </c>
      <c r="D35" s="6">
        <f>COUNTIFS(Problems!$C:$C, B35, Problems!$D:$D, "&lt;&gt;UNKNOWN")</f>
        <v/>
      </c>
      <c r="E35" s="6">
        <f>COUNTIFS(Problems!$C:$C, B35, Problems!$A:$A, "Solved")</f>
        <v/>
      </c>
      <c r="F35" s="14">
        <f>IF(C35&gt;0, E35/C35, 0)</f>
        <v/>
      </c>
      <c r="G35" s="15">
        <f>AVERAGEIF(Problems!$C:$C, B35, Problems!$H:$H)</f>
        <v/>
      </c>
    </row>
    <row r="36" ht="20" customHeight="1">
      <c r="A36" s="3" t="inlineStr">
        <is>
          <t>KINGDOM 8 — THE KINGDOM OF MATHEMATICS &amp; NUMBER THEORY</t>
        </is>
      </c>
      <c r="B36" s="3" t="inlineStr">
        <is>
          <t>Pattern 8.2 — GCD &amp; LCM</t>
        </is>
      </c>
      <c r="C36" s="2">
        <f>COUNTIF(Problems!$C:$C, B36)</f>
        <v/>
      </c>
      <c r="D36" s="2">
        <f>COUNTIFS(Problems!$C:$C, B36, Problems!$D:$D, "&lt;&gt;UNKNOWN")</f>
        <v/>
      </c>
      <c r="E36" s="2">
        <f>COUNTIFS(Problems!$C:$C, B36, Problems!$A:$A, "Solved")</f>
        <v/>
      </c>
      <c r="F36" s="12">
        <f>IF(C36&gt;0, E36/C36, 0)</f>
        <v/>
      </c>
      <c r="G36" s="13">
        <f>AVERAGEIF(Problems!$C:$C, B36, Problems!$H:$H)</f>
        <v/>
      </c>
    </row>
    <row r="37" ht="20" customHeight="1">
      <c r="A37" s="7" t="inlineStr">
        <is>
          <t>KINGDOM 8 — THE KINGDOM OF MATHEMATICS &amp; NUMBER THEORY</t>
        </is>
      </c>
      <c r="B37" s="7" t="inlineStr">
        <is>
          <t>Pattern 8.3 — Prime Numbers &amp; Sieve</t>
        </is>
      </c>
      <c r="C37" s="6">
        <f>COUNTIF(Problems!$C:$C, B37)</f>
        <v/>
      </c>
      <c r="D37" s="6">
        <f>COUNTIFS(Problems!$C:$C, B37, Problems!$D:$D, "&lt;&gt;UNKNOWN")</f>
        <v/>
      </c>
      <c r="E37" s="6">
        <f>COUNTIFS(Problems!$C:$C, B37, Problems!$A:$A, "Solved")</f>
        <v/>
      </c>
      <c r="F37" s="14">
        <f>IF(C37&gt;0, E37/C37, 0)</f>
        <v/>
      </c>
      <c r="G37" s="15">
        <f>AVERAGEIF(Problems!$C:$C, B37, Problems!$H:$H)</f>
        <v/>
      </c>
    </row>
    <row r="38" ht="20" customHeight="1">
      <c r="A38" s="3" t="inlineStr">
        <is>
          <t>KINGDOM 8 — THE KINGDOM OF MATHEMATICS &amp; NUMBER THEORY</t>
        </is>
      </c>
      <c r="B38" s="3" t="inlineStr">
        <is>
          <t>Pattern 8.4 — Modular Arithmetic</t>
        </is>
      </c>
      <c r="C38" s="2">
        <f>COUNTIF(Problems!$C:$C, B38)</f>
        <v/>
      </c>
      <c r="D38" s="2">
        <f>COUNTIFS(Problems!$C:$C, B38, Problems!$D:$D, "&lt;&gt;UNKNOWN")</f>
        <v/>
      </c>
      <c r="E38" s="2">
        <f>COUNTIFS(Problems!$C:$C, B38, Problems!$A:$A, "Solved")</f>
        <v/>
      </c>
      <c r="F38" s="12">
        <f>IF(C38&gt;0, E38/C38, 0)</f>
        <v/>
      </c>
      <c r="G38" s="13">
        <f>AVERAGEIF(Problems!$C:$C, B38, Problems!$H:$H)</f>
        <v/>
      </c>
    </row>
    <row r="39" ht="20" customHeight="1">
      <c r="A39" s="7" t="inlineStr">
        <is>
          <t>KINGDOM 8 — THE KINGDOM OF MATHEMATICS &amp; NUMBER THEORY</t>
        </is>
      </c>
      <c r="B39" s="7" t="inlineStr">
        <is>
          <t>Pattern 8.5 — Combinatorics</t>
        </is>
      </c>
      <c r="C39" s="6">
        <f>COUNTIF(Problems!$C:$C, B39)</f>
        <v/>
      </c>
      <c r="D39" s="6">
        <f>COUNTIFS(Problems!$C:$C, B39, Problems!$D:$D, "&lt;&gt;UNKNOWN")</f>
        <v/>
      </c>
      <c r="E39" s="6">
        <f>COUNTIFS(Problems!$C:$C, B39, Problems!$A:$A, "Solved")</f>
        <v/>
      </c>
      <c r="F39" s="14">
        <f>IF(C39&gt;0, E39/C39, 0)</f>
        <v/>
      </c>
      <c r="G39" s="15">
        <f>AVERAGEIF(Problems!$C:$C, B39, Problems!$H:$H)</f>
        <v/>
      </c>
    </row>
    <row r="40" ht="20" customHeight="1">
      <c r="A40" s="3" t="inlineStr">
        <is>
          <t>KINGDOM 8 — THE KINGDOM OF MATHEMATICS &amp; NUMBER THEORY</t>
        </is>
      </c>
      <c r="B40" s="3" t="inlineStr">
        <is>
          <t>Pattern 8.6 — Inclusion–Exclusion / Number Theory</t>
        </is>
      </c>
      <c r="C40" s="2">
        <f>COUNTIF(Problems!$C:$C, B40)</f>
        <v/>
      </c>
      <c r="D40" s="2">
        <f>COUNTIFS(Problems!$C:$C, B40, Problems!$D:$D, "&lt;&gt;UNKNOWN")</f>
        <v/>
      </c>
      <c r="E40" s="2">
        <f>COUNTIFS(Problems!$C:$C, B40, Problems!$A:$A, "Solved")</f>
        <v/>
      </c>
      <c r="F40" s="12">
        <f>IF(C40&gt;0, E40/C40, 0)</f>
        <v/>
      </c>
      <c r="G40" s="13">
        <f>AVERAGEIF(Problems!$C:$C, B40, Problems!$H:$H)</f>
        <v/>
      </c>
    </row>
    <row r="41" ht="20" customHeight="1">
      <c r="A41" s="7" t="inlineStr">
        <is>
          <t>KINGDOM 9 — THE KINGDOM OF RECURSION &amp; BACKTRACKING</t>
        </is>
      </c>
      <c r="B41" s="7" t="inlineStr">
        <is>
          <t>Pattern 9.1 — Basic Recursion</t>
        </is>
      </c>
      <c r="C41" s="6">
        <f>COUNTIF(Problems!$C:$C, B41)</f>
        <v/>
      </c>
      <c r="D41" s="6">
        <f>COUNTIFS(Problems!$C:$C, B41, Problems!$D:$D, "&lt;&gt;UNKNOWN")</f>
        <v/>
      </c>
      <c r="E41" s="6">
        <f>COUNTIFS(Problems!$C:$C, B41, Problems!$A:$A, "Solved")</f>
        <v/>
      </c>
      <c r="F41" s="14">
        <f>IF(C41&gt;0, E41/C41, 0)</f>
        <v/>
      </c>
      <c r="G41" s="15">
        <f>AVERAGEIF(Problems!$C:$C, B41, Problems!$H:$H)</f>
        <v/>
      </c>
    </row>
    <row r="42" ht="20" customHeight="1">
      <c r="A42" s="3" t="inlineStr">
        <is>
          <t>KINGDOM 9 — THE KINGDOM OF RECURSION &amp; BACKTRACKING</t>
        </is>
      </c>
      <c r="B42" s="3" t="inlineStr">
        <is>
          <t>Pattern 9.2 — Brute Force with Backtracking</t>
        </is>
      </c>
      <c r="C42" s="2">
        <f>COUNTIF(Problems!$C:$C, B42)</f>
        <v/>
      </c>
      <c r="D42" s="2">
        <f>COUNTIFS(Problems!$C:$C, B42, Problems!$D:$D, "&lt;&gt;UNKNOWN")</f>
        <v/>
      </c>
      <c r="E42" s="2">
        <f>COUNTIFS(Problems!$C:$C, B42, Problems!$A:$A, "Solved")</f>
        <v/>
      </c>
      <c r="F42" s="12">
        <f>IF(C42&gt;0, E42/C42, 0)</f>
        <v/>
      </c>
      <c r="G42" s="13">
        <f>AVERAGEIF(Problems!$C:$C, B42, Problems!$H:$H)</f>
        <v/>
      </c>
    </row>
    <row r="43" ht="20" customHeight="1">
      <c r="A43" s="7" t="inlineStr">
        <is>
          <t>KINGDOM 9 — THE KINGDOM OF RECURSION &amp; BACKTRACKING</t>
        </is>
      </c>
      <c r="B43" s="7" t="inlineStr">
        <is>
          <t>Pattern 9.3 — Generate All Possibilities</t>
        </is>
      </c>
      <c r="C43" s="6">
        <f>COUNTIF(Problems!$C:$C, B43)</f>
        <v/>
      </c>
      <c r="D43" s="6">
        <f>COUNTIFS(Problems!$C:$C, B43, Problems!$D:$D, "&lt;&gt;UNKNOWN")</f>
        <v/>
      </c>
      <c r="E43" s="6">
        <f>COUNTIFS(Problems!$C:$C, B43, Problems!$A:$A, "Solved")</f>
        <v/>
      </c>
      <c r="F43" s="14">
        <f>IF(C43&gt;0, E43/C43, 0)</f>
        <v/>
      </c>
      <c r="G43" s="15">
        <f>AVERAGEIF(Problems!$C:$C, B43, Problems!$H:$H)</f>
        <v/>
      </c>
    </row>
    <row r="44" ht="20" customHeight="1">
      <c r="A44" s="3" t="inlineStr">
        <is>
          <t>KINGDOM 9 — THE KINGDOM OF RECURSION &amp; BACKTRACKING</t>
        </is>
      </c>
      <c r="B44" s="3" t="inlineStr">
        <is>
          <t>Pattern 9.4 — Recursive Divide Construction</t>
        </is>
      </c>
      <c r="C44" s="2">
        <f>COUNTIF(Problems!$C:$C, B44)</f>
        <v/>
      </c>
      <c r="D44" s="2">
        <f>COUNTIFS(Problems!$C:$C, B44, Problems!$D:$D, "&lt;&gt;UNKNOWN")</f>
        <v/>
      </c>
      <c r="E44" s="2">
        <f>COUNTIFS(Problems!$C:$C, B44, Problems!$A:$A, "Solved")</f>
        <v/>
      </c>
      <c r="F44" s="12">
        <f>IF(C44&gt;0, E44/C44, 0)</f>
        <v/>
      </c>
      <c r="G44" s="13">
        <f>AVERAGEIF(Problems!$C:$C, B44, Problems!$H:$H)</f>
        <v/>
      </c>
    </row>
    <row r="45" ht="20" customHeight="1">
      <c r="A45" s="7" t="inlineStr">
        <is>
          <t>KINGDOM 10 — THE KINGDOM OF STACK &amp; MONOTONIC STACK</t>
        </is>
      </c>
      <c r="B45" s="7" t="inlineStr">
        <is>
          <t>Pattern 10.1 — Basic Stack</t>
        </is>
      </c>
      <c r="C45" s="6">
        <f>COUNTIF(Problems!$C:$C, B45)</f>
        <v/>
      </c>
      <c r="D45" s="6">
        <f>COUNTIFS(Problems!$C:$C, B45, Problems!$D:$D, "&lt;&gt;UNKNOWN")</f>
        <v/>
      </c>
      <c r="E45" s="6">
        <f>COUNTIFS(Problems!$C:$C, B45, Problems!$A:$A, "Solved")</f>
        <v/>
      </c>
      <c r="F45" s="14">
        <f>IF(C45&gt;0, E45/C45, 0)</f>
        <v/>
      </c>
      <c r="G45" s="15">
        <f>AVERAGEIF(Problems!$C:$C, B45, Problems!$H:$H)</f>
        <v/>
      </c>
    </row>
    <row r="46" ht="20" customHeight="1">
      <c r="A46" s="3" t="inlineStr">
        <is>
          <t>KINGDOM 10 — THE KINGDOM OF STACK &amp; MONOTONIC STACK</t>
        </is>
      </c>
      <c r="B46" s="3" t="inlineStr">
        <is>
          <t>Pattern 10.2 — Parentheses</t>
        </is>
      </c>
      <c r="C46" s="2">
        <f>COUNTIF(Problems!$C:$C, B46)</f>
        <v/>
      </c>
      <c r="D46" s="2">
        <f>COUNTIFS(Problems!$C:$C, B46, Problems!$D:$D, "&lt;&gt;UNKNOWN")</f>
        <v/>
      </c>
      <c r="E46" s="2">
        <f>COUNTIFS(Problems!$C:$C, B46, Problems!$A:$A, "Solved")</f>
        <v/>
      </c>
      <c r="F46" s="12">
        <f>IF(C46&gt;0, E46/C46, 0)</f>
        <v/>
      </c>
      <c r="G46" s="13">
        <f>AVERAGEIF(Problems!$C:$C, B46, Problems!$H:$H)</f>
        <v/>
      </c>
    </row>
    <row r="47" ht="20" customHeight="1">
      <c r="A47" s="7" t="inlineStr">
        <is>
          <t>KINGDOM 10 — THE KINGDOM OF STACK &amp; MONOTONIC STACK</t>
        </is>
      </c>
      <c r="B47" s="7" t="inlineStr">
        <is>
          <t>Pattern 10.3 — Monotonic Stack</t>
        </is>
      </c>
      <c r="C47" s="6">
        <f>COUNTIF(Problems!$C:$C, B47)</f>
        <v/>
      </c>
      <c r="D47" s="6">
        <f>COUNTIFS(Problems!$C:$C, B47, Problems!$D:$D, "&lt;&gt;UNKNOWN")</f>
        <v/>
      </c>
      <c r="E47" s="6">
        <f>COUNTIFS(Problems!$C:$C, B47, Problems!$A:$A, "Solved")</f>
        <v/>
      </c>
      <c r="F47" s="14">
        <f>IF(C47&gt;0, E47/C47, 0)</f>
        <v/>
      </c>
      <c r="G47" s="15">
        <f>AVERAGEIF(Problems!$C:$C, B47, Problems!$H:$H)</f>
        <v/>
      </c>
    </row>
    <row r="48" ht="20" customHeight="1">
      <c r="A48" s="3" t="inlineStr">
        <is>
          <t>KINGDOM 10 — THE KINGDOM OF STACK &amp; MONOTONIC STACK</t>
        </is>
      </c>
      <c r="B48" s="3" t="inlineStr">
        <is>
          <t>Pattern 10.5 — Stack + Greedy</t>
        </is>
      </c>
      <c r="C48" s="2">
        <f>COUNTIF(Problems!$C:$C, B48)</f>
        <v/>
      </c>
      <c r="D48" s="2">
        <f>COUNTIFS(Problems!$C:$C, B48, Problems!$D:$D, "&lt;&gt;UNKNOWN")</f>
        <v/>
      </c>
      <c r="E48" s="2">
        <f>COUNTIFS(Problems!$C:$C, B48, Problems!$A:$A, "Solved")</f>
        <v/>
      </c>
      <c r="F48" s="12">
        <f>IF(C48&gt;0, E48/C48, 0)</f>
        <v/>
      </c>
      <c r="G48" s="13">
        <f>AVERAGEIF(Problems!$C:$C, B48, Problems!$H:$H)</f>
        <v/>
      </c>
    </row>
    <row r="49" ht="20" customHeight="1">
      <c r="A49" s="7" t="inlineStr">
        <is>
          <t>KINGDOM 11 — THE KINGDOM OF QUEUE &amp; DEQUE</t>
        </is>
      </c>
      <c r="B49" s="7" t="inlineStr">
        <is>
          <t>Pattern 11.1 — Queue Simulation</t>
        </is>
      </c>
      <c r="C49" s="6">
        <f>COUNTIF(Problems!$C:$C, B49)</f>
        <v/>
      </c>
      <c r="D49" s="6">
        <f>COUNTIFS(Problems!$C:$C, B49, Problems!$D:$D, "&lt;&gt;UNKNOWN")</f>
        <v/>
      </c>
      <c r="E49" s="6">
        <f>COUNTIFS(Problems!$C:$C, B49, Problems!$A:$A, "Solved")</f>
        <v/>
      </c>
      <c r="F49" s="14">
        <f>IF(C49&gt;0, E49/C49, 0)</f>
        <v/>
      </c>
      <c r="G49" s="15">
        <f>AVERAGEIF(Problems!$C:$C, B49, Problems!$H:$H)</f>
        <v/>
      </c>
    </row>
    <row r="50" ht="20" customHeight="1">
      <c r="A50" s="3" t="inlineStr">
        <is>
          <t>KINGDOM 11 — THE KINGDOM OF QUEUE &amp; DEQUE</t>
        </is>
      </c>
      <c r="B50" s="3" t="inlineStr">
        <is>
          <t>Pattern 11.2 — Deque</t>
        </is>
      </c>
      <c r="C50" s="2">
        <f>COUNTIF(Problems!$C:$C, B50)</f>
        <v/>
      </c>
      <c r="D50" s="2">
        <f>COUNTIFS(Problems!$C:$C, B50, Problems!$D:$D, "&lt;&gt;UNKNOWN")</f>
        <v/>
      </c>
      <c r="E50" s="2">
        <f>COUNTIFS(Problems!$C:$C, B50, Problems!$A:$A, "Solved")</f>
        <v/>
      </c>
      <c r="F50" s="12">
        <f>IF(C50&gt;0, E50/C50, 0)</f>
        <v/>
      </c>
      <c r="G50" s="13">
        <f>AVERAGEIF(Problems!$C:$C, B50, Problems!$H:$H)</f>
        <v/>
      </c>
    </row>
    <row r="51" ht="20" customHeight="1">
      <c r="A51" s="7" t="inlineStr">
        <is>
          <t>KINGDOM 11 — THE KINGDOM OF QUEUE &amp; DEQUE</t>
        </is>
      </c>
      <c r="B51" s="7" t="inlineStr">
        <is>
          <t>Pattern 11.3 — Monotonic Queue</t>
        </is>
      </c>
      <c r="C51" s="6">
        <f>COUNTIF(Problems!$C:$C, B51)</f>
        <v/>
      </c>
      <c r="D51" s="6">
        <f>COUNTIFS(Problems!$C:$C, B51, Problems!$D:$D, "&lt;&gt;UNKNOWN")</f>
        <v/>
      </c>
      <c r="E51" s="6">
        <f>COUNTIFS(Problems!$C:$C, B51, Problems!$A:$A, "Solved")</f>
        <v/>
      </c>
      <c r="F51" s="14">
        <f>IF(C51&gt;0, E51/C51, 0)</f>
        <v/>
      </c>
      <c r="G51" s="15">
        <f>AVERAGEIF(Problems!$C:$C, B51, Problems!$H:$H)</f>
        <v/>
      </c>
    </row>
    <row r="52" ht="20" customHeight="1">
      <c r="A52" s="3" t="inlineStr">
        <is>
          <t>KINGDOM 11 — THE KINGDOM OF QUEUE &amp; DEQUE</t>
        </is>
      </c>
      <c r="B52" s="3" t="inlineStr">
        <is>
          <t>Pattern 11.4 — Queue + BFS Style</t>
        </is>
      </c>
      <c r="C52" s="2">
        <f>COUNTIF(Problems!$C:$C, B52)</f>
        <v/>
      </c>
      <c r="D52" s="2">
        <f>COUNTIFS(Problems!$C:$C, B52, Problems!$D:$D, "&lt;&gt;UNKNOWN")</f>
        <v/>
      </c>
      <c r="E52" s="2">
        <f>COUNTIFS(Problems!$C:$C, B52, Problems!$A:$A, "Solved")</f>
        <v/>
      </c>
      <c r="F52" s="12">
        <f>IF(C52&gt;0, E52/C52, 0)</f>
        <v/>
      </c>
      <c r="G52" s="13">
        <f>AVERAGEIF(Problems!$C:$C, B52, Problems!$H:$H)</f>
        <v/>
      </c>
    </row>
    <row r="53" ht="20" customHeight="1">
      <c r="A53" s="7" t="inlineStr">
        <is>
          <t>KINGDOM 12 — THE KINGDOM OF LINKED LIST &amp; SIMULATION</t>
        </is>
      </c>
      <c r="B53" s="7" t="inlineStr">
        <is>
          <t>Pattern 12.1 — Simple Simulation</t>
        </is>
      </c>
      <c r="C53" s="6">
        <f>COUNTIF(Problems!$C:$C, B53)</f>
        <v/>
      </c>
      <c r="D53" s="6">
        <f>COUNTIFS(Problems!$C:$C, B53, Problems!$D:$D, "&lt;&gt;UNKNOWN")</f>
        <v/>
      </c>
      <c r="E53" s="6">
        <f>COUNTIFS(Problems!$C:$C, B53, Problems!$A:$A, "Solved")</f>
        <v/>
      </c>
      <c r="F53" s="14">
        <f>IF(C53&gt;0, E53/C53, 0)</f>
        <v/>
      </c>
      <c r="G53" s="15">
        <f>AVERAGEIF(Problems!$C:$C, B53, Problems!$H:$H)</f>
        <v/>
      </c>
    </row>
    <row r="54" ht="20" customHeight="1">
      <c r="A54" s="3" t="inlineStr">
        <is>
          <t>KINGDOM 12 — THE KINGDOM OF LINKED LIST &amp; SIMULATION</t>
        </is>
      </c>
      <c r="B54" s="3" t="inlineStr">
        <is>
          <t>Pattern 12.2 — Circular Simulation</t>
        </is>
      </c>
      <c r="C54" s="2">
        <f>COUNTIF(Problems!$C:$C, B54)</f>
        <v/>
      </c>
      <c r="D54" s="2">
        <f>COUNTIFS(Problems!$C:$C, B54, Problems!$D:$D, "&lt;&gt;UNKNOWN")</f>
        <v/>
      </c>
      <c r="E54" s="2">
        <f>COUNTIFS(Problems!$C:$C, B54, Problems!$A:$A, "Solved")</f>
        <v/>
      </c>
      <c r="F54" s="12">
        <f>IF(C54&gt;0, E54/C54, 0)</f>
        <v/>
      </c>
      <c r="G54" s="13">
        <f>AVERAGEIF(Problems!$C:$C, B54, Problems!$H:$H)</f>
        <v/>
      </c>
    </row>
    <row r="55" ht="20" customHeight="1">
      <c r="A55" s="7" t="inlineStr">
        <is>
          <t>KINGDOM 12 — THE KINGDOM OF LINKED LIST &amp; SIMULATION</t>
        </is>
      </c>
      <c r="B55" s="7" t="inlineStr">
        <is>
          <t>Pattern 12.3 — Simulation with Data Structures</t>
        </is>
      </c>
      <c r="C55" s="6">
        <f>COUNTIF(Problems!$C:$C, B55)</f>
        <v/>
      </c>
      <c r="D55" s="6">
        <f>COUNTIFS(Problems!$C:$C, B55, Problems!$D:$D, "&lt;&gt;UNKNOWN")</f>
        <v/>
      </c>
      <c r="E55" s="6">
        <f>COUNTIFS(Problems!$C:$C, B55, Problems!$A:$A, "Solved")</f>
        <v/>
      </c>
      <c r="F55" s="14">
        <f>IF(C55&gt;0, E55/C55, 0)</f>
        <v/>
      </c>
      <c r="G55" s="15">
        <f>AVERAGEIF(Problems!$C:$C, B55, Problems!$H:$H)</f>
        <v/>
      </c>
    </row>
    <row r="56" ht="20" customHeight="1">
      <c r="A56" s="3" t="inlineStr">
        <is>
          <t>KINGDOM 12 — THE KINGDOM OF LINKED LIST &amp; SIMULATION</t>
        </is>
      </c>
      <c r="B56" s="3" t="inlineStr">
        <is>
          <t>Pattern 12.4 — Ordered Set Simulation</t>
        </is>
      </c>
      <c r="C56" s="2">
        <f>COUNTIF(Problems!$C:$C, B56)</f>
        <v/>
      </c>
      <c r="D56" s="2">
        <f>COUNTIFS(Problems!$C:$C, B56, Problems!$D:$D, "&lt;&gt;UNKNOWN")</f>
        <v/>
      </c>
      <c r="E56" s="2">
        <f>COUNTIFS(Problems!$C:$C, B56, Problems!$A:$A, "Solved")</f>
        <v/>
      </c>
      <c r="F56" s="12">
        <f>IF(C56&gt;0, E56/C56, 0)</f>
        <v/>
      </c>
      <c r="G56" s="13">
        <f>AVERAGEIF(Problems!$C:$C, B56, Problems!$H:$H)</f>
        <v/>
      </c>
    </row>
    <row r="57" ht="20" customHeight="1">
      <c r="A57" s="7" t="inlineStr">
        <is>
          <t>KINGDOM 13 — THE KINGDOM OF TREES</t>
        </is>
      </c>
      <c r="B57" s="7" t="inlineStr">
        <is>
          <t>Pattern 13.1 — Basic Tree DFS</t>
        </is>
      </c>
      <c r="C57" s="6">
        <f>COUNTIF(Problems!$C:$C, B57)</f>
        <v/>
      </c>
      <c r="D57" s="6">
        <f>COUNTIFS(Problems!$C:$C, B57, Problems!$D:$D, "&lt;&gt;UNKNOWN")</f>
        <v/>
      </c>
      <c r="E57" s="6">
        <f>COUNTIFS(Problems!$C:$C, B57, Problems!$A:$A, "Solved")</f>
        <v/>
      </c>
      <c r="F57" s="14">
        <f>IF(C57&gt;0, E57/C57, 0)</f>
        <v/>
      </c>
      <c r="G57" s="15">
        <f>AVERAGEIF(Problems!$C:$C, B57, Problems!$H:$H)</f>
        <v/>
      </c>
    </row>
    <row r="58" ht="20" customHeight="1">
      <c r="A58" s="3" t="inlineStr">
        <is>
          <t>KINGDOM 13 — THE KINGDOM OF TREES</t>
        </is>
      </c>
      <c r="B58" s="3" t="inlineStr">
        <is>
          <t>Pattern 13.2 — Tree Traversal</t>
        </is>
      </c>
      <c r="C58" s="2">
        <f>COUNTIF(Problems!$C:$C, B58)</f>
        <v/>
      </c>
      <c r="D58" s="2">
        <f>COUNTIFS(Problems!$C:$C, B58, Problems!$D:$D, "&lt;&gt;UNKNOWN")</f>
        <v/>
      </c>
      <c r="E58" s="2">
        <f>COUNTIFS(Problems!$C:$C, B58, Problems!$A:$A, "Solved")</f>
        <v/>
      </c>
      <c r="F58" s="12">
        <f>IF(C58&gt;0, E58/C58, 0)</f>
        <v/>
      </c>
      <c r="G58" s="13">
        <f>AVERAGEIF(Problems!$C:$C, B58, Problems!$H:$H)</f>
        <v/>
      </c>
    </row>
    <row r="59" ht="20" customHeight="1">
      <c r="A59" s="7" t="inlineStr">
        <is>
          <t>KINGDOM 13 — THE KINGDOM OF TREES</t>
        </is>
      </c>
      <c r="B59" s="7" t="inlineStr">
        <is>
          <t>Pattern 13.3 — Tree DP</t>
        </is>
      </c>
      <c r="C59" s="6">
        <f>COUNTIF(Problems!$C:$C, B59)</f>
        <v/>
      </c>
      <c r="D59" s="6">
        <f>COUNTIFS(Problems!$C:$C, B59, Problems!$D:$D, "&lt;&gt;UNKNOWN")</f>
        <v/>
      </c>
      <c r="E59" s="6">
        <f>COUNTIFS(Problems!$C:$C, B59, Problems!$A:$A, "Solved")</f>
        <v/>
      </c>
      <c r="F59" s="14">
        <f>IF(C59&gt;0, E59/C59, 0)</f>
        <v/>
      </c>
      <c r="G59" s="15">
        <f>AVERAGEIF(Problems!$C:$C, B59, Problems!$H:$H)</f>
        <v/>
      </c>
    </row>
    <row r="60" ht="20" customHeight="1">
      <c r="A60" s="3" t="inlineStr">
        <is>
          <t>KINGDOM 13 — THE KINGDOM OF TREES</t>
        </is>
      </c>
      <c r="B60" s="3" t="inlineStr">
        <is>
          <t>Pattern 13.4 — Binary Lifting (LCA)</t>
        </is>
      </c>
      <c r="C60" s="2">
        <f>COUNTIF(Problems!$C:$C, B60)</f>
        <v/>
      </c>
      <c r="D60" s="2">
        <f>COUNTIFS(Problems!$C:$C, B60, Problems!$D:$D, "&lt;&gt;UNKNOWN")</f>
        <v/>
      </c>
      <c r="E60" s="2">
        <f>COUNTIFS(Problems!$C:$C, B60, Problems!$A:$A, "Solved")</f>
        <v/>
      </c>
      <c r="F60" s="12">
        <f>IF(C60&gt;0, E60/C60, 0)</f>
        <v/>
      </c>
      <c r="G60" s="13">
        <f>AVERAGEIF(Problems!$C:$C, B60, Problems!$H:$H)</f>
        <v/>
      </c>
    </row>
    <row r="61" ht="20" customHeight="1">
      <c r="A61" s="7" t="inlineStr">
        <is>
          <t>KINGDOM 13 — THE KINGDOM OF TREES</t>
        </is>
      </c>
      <c r="B61" s="7" t="inlineStr">
        <is>
          <t>Pattern 13.5 — Rerooting DP</t>
        </is>
      </c>
      <c r="C61" s="6">
        <f>COUNTIF(Problems!$C:$C, B61)</f>
        <v/>
      </c>
      <c r="D61" s="6">
        <f>COUNTIFS(Problems!$C:$C, B61, Problems!$D:$D, "&lt;&gt;UNKNOWN")</f>
        <v/>
      </c>
      <c r="E61" s="6">
        <f>COUNTIFS(Problems!$C:$C, B61, Problems!$A:$A, "Solved")</f>
        <v/>
      </c>
      <c r="F61" s="14">
        <f>IF(C61&gt;0, E61/C61, 0)</f>
        <v/>
      </c>
      <c r="G61" s="15">
        <f>AVERAGEIF(Problems!$C:$C, B61, Problems!$H:$H)</f>
        <v/>
      </c>
    </row>
    <row r="62" ht="20" customHeight="1">
      <c r="A62" s="3" t="inlineStr">
        <is>
          <t>KINGDOM 13 — THE KINGDOM OF TREES</t>
        </is>
      </c>
      <c r="B62" s="3" t="inlineStr">
        <is>
          <t>Pattern 13.6 — Euler Tour</t>
        </is>
      </c>
      <c r="C62" s="2">
        <f>COUNTIF(Problems!$C:$C, B62)</f>
        <v/>
      </c>
      <c r="D62" s="2">
        <f>COUNTIFS(Problems!$C:$C, B62, Problems!$D:$D, "&lt;&gt;UNKNOWN")</f>
        <v/>
      </c>
      <c r="E62" s="2">
        <f>COUNTIFS(Problems!$C:$C, B62, Problems!$A:$A, "Solved")</f>
        <v/>
      </c>
      <c r="F62" s="12">
        <f>IF(C62&gt;0, E62/C62, 0)</f>
        <v/>
      </c>
      <c r="G62" s="13">
        <f>AVERAGEIF(Problems!$C:$C, B62, Problems!$H:$H)</f>
        <v/>
      </c>
    </row>
    <row r="63" ht="20" customHeight="1">
      <c r="A63" s="7" t="inlineStr">
        <is>
          <t>KINGDOM 14 — THE KINGDOM OF GRAPH TRAVERSAL (DFS &amp; BFS)</t>
        </is>
      </c>
      <c r="B63" s="7" t="inlineStr">
        <is>
          <t>Pattern 14.1 — Connected Components</t>
        </is>
      </c>
      <c r="C63" s="6">
        <f>COUNTIF(Problems!$C:$C, B63)</f>
        <v/>
      </c>
      <c r="D63" s="6">
        <f>COUNTIFS(Problems!$C:$C, B63, Problems!$D:$D, "&lt;&gt;UNKNOWN")</f>
        <v/>
      </c>
      <c r="E63" s="6">
        <f>COUNTIFS(Problems!$C:$C, B63, Problems!$A:$A, "Solved")</f>
        <v/>
      </c>
      <c r="F63" s="14">
        <f>IF(C63&gt;0, E63/C63, 0)</f>
        <v/>
      </c>
      <c r="G63" s="15">
        <f>AVERAGEIF(Problems!$C:$C, B63, Problems!$H:$H)</f>
        <v/>
      </c>
    </row>
    <row r="64" ht="20" customHeight="1">
      <c r="A64" s="3" t="inlineStr">
        <is>
          <t>KINGDOM 14 — THE KINGDOM OF GRAPH TRAVERSAL (DFS &amp; BFS)</t>
        </is>
      </c>
      <c r="B64" s="3" t="inlineStr">
        <is>
          <t>Pattern 14.2 — DFS</t>
        </is>
      </c>
      <c r="C64" s="2">
        <f>COUNTIF(Problems!$C:$C, B64)</f>
        <v/>
      </c>
      <c r="D64" s="2">
        <f>COUNTIFS(Problems!$C:$C, B64, Problems!$D:$D, "&lt;&gt;UNKNOWN")</f>
        <v/>
      </c>
      <c r="E64" s="2">
        <f>COUNTIFS(Problems!$C:$C, B64, Problems!$A:$A, "Solved")</f>
        <v/>
      </c>
      <c r="F64" s="12">
        <f>IF(C64&gt;0, E64/C64, 0)</f>
        <v/>
      </c>
      <c r="G64" s="13">
        <f>AVERAGEIF(Problems!$C:$C, B64, Problems!$H:$H)</f>
        <v/>
      </c>
    </row>
    <row r="65" ht="20" customHeight="1">
      <c r="A65" s="7" t="inlineStr">
        <is>
          <t>KINGDOM 14 — THE KINGDOM OF GRAPH TRAVERSAL (DFS &amp; BFS)</t>
        </is>
      </c>
      <c r="B65" s="7" t="inlineStr">
        <is>
          <t>Pattern 14.4 — Topological Sort</t>
        </is>
      </c>
      <c r="C65" s="6">
        <f>COUNTIF(Problems!$C:$C, B65)</f>
        <v/>
      </c>
      <c r="D65" s="6">
        <f>COUNTIFS(Problems!$C:$C, B65, Problems!$D:$D, "&lt;&gt;UNKNOWN")</f>
        <v/>
      </c>
      <c r="E65" s="6">
        <f>COUNTIFS(Problems!$C:$C, B65, Problems!$A:$A, "Solved")</f>
        <v/>
      </c>
      <c r="F65" s="14">
        <f>IF(C65&gt;0, E65/C65, 0)</f>
        <v/>
      </c>
      <c r="G65" s="15">
        <f>AVERAGEIF(Problems!$C:$C, B65, Problems!$H:$H)</f>
        <v/>
      </c>
    </row>
    <row r="66" ht="20" customHeight="1">
      <c r="A66" s="3" t="inlineStr">
        <is>
          <t>KINGDOM 14 — THE KINGDOM OF GRAPH TRAVERSAL (DFS &amp; BFS)</t>
        </is>
      </c>
      <c r="B66" s="3" t="inlineStr">
        <is>
          <t>Pattern 14.5 — Cycle Detection</t>
        </is>
      </c>
      <c r="C66" s="2">
        <f>COUNTIF(Problems!$C:$C, B66)</f>
        <v/>
      </c>
      <c r="D66" s="2">
        <f>COUNTIFS(Problems!$C:$C, B66, Problems!$D:$D, "&lt;&gt;UNKNOWN")</f>
        <v/>
      </c>
      <c r="E66" s="2">
        <f>COUNTIFS(Problems!$C:$C, B66, Problems!$A:$A, "Solved")</f>
        <v/>
      </c>
      <c r="F66" s="12">
        <f>IF(C66&gt;0, E66/C66, 0)</f>
        <v/>
      </c>
      <c r="G66" s="13">
        <f>AVERAGEIF(Problems!$C:$C, B66, Problems!$H:$H)</f>
        <v/>
      </c>
    </row>
    <row r="67" ht="20" customHeight="1">
      <c r="A67" s="7" t="inlineStr">
        <is>
          <t>KINGDOM 14 — THE KINGDOM OF GRAPH TRAVERSAL (DFS &amp; BFS)</t>
        </is>
      </c>
      <c r="B67" s="7" t="inlineStr">
        <is>
          <t>Pattern 14.6 — Bipartite Graph</t>
        </is>
      </c>
      <c r="C67" s="6">
        <f>COUNTIF(Problems!$C:$C, B67)</f>
        <v/>
      </c>
      <c r="D67" s="6">
        <f>COUNTIFS(Problems!$C:$C, B67, Problems!$D:$D, "&lt;&gt;UNKNOWN")</f>
        <v/>
      </c>
      <c r="E67" s="6">
        <f>COUNTIFS(Problems!$C:$C, B67, Problems!$A:$A, "Solved")</f>
        <v/>
      </c>
      <c r="F67" s="14">
        <f>IF(C67&gt;0, E67/C67, 0)</f>
        <v/>
      </c>
      <c r="G67" s="15">
        <f>AVERAGEIF(Problems!$C:$C, B67, Problems!$H:$H)</f>
        <v/>
      </c>
    </row>
    <row r="68" ht="20" customHeight="1">
      <c r="A68" s="3" t="inlineStr">
        <is>
          <t>KINGDOM 15 — THE KINGDOM OF SHORTEST PATHS</t>
        </is>
      </c>
      <c r="B68" s="3" t="inlineStr">
        <is>
          <t>Pattern 15.1 — Standard Dijkstra</t>
        </is>
      </c>
      <c r="C68" s="2">
        <f>COUNTIF(Problems!$C:$C, B68)</f>
        <v/>
      </c>
      <c r="D68" s="2">
        <f>COUNTIFS(Problems!$C:$C, B68, Problems!$D:$D, "&lt;&gt;UNKNOWN")</f>
        <v/>
      </c>
      <c r="E68" s="2">
        <f>COUNTIFS(Problems!$C:$C, B68, Problems!$A:$A, "Solved")</f>
        <v/>
      </c>
      <c r="F68" s="12">
        <f>IF(C68&gt;0, E68/C68, 0)</f>
        <v/>
      </c>
      <c r="G68" s="13">
        <f>AVERAGEIF(Problems!$C:$C, B68, Problems!$H:$H)</f>
        <v/>
      </c>
    </row>
    <row r="69" ht="20" customHeight="1">
      <c r="A69" s="7" t="inlineStr">
        <is>
          <t>KINGDOM 15 — THE KINGDOM OF SHORTEST PATHS</t>
        </is>
      </c>
      <c r="B69" s="7" t="inlineStr">
        <is>
          <t>Pattern 15.3 — 0-1 BFS</t>
        </is>
      </c>
      <c r="C69" s="6">
        <f>COUNTIF(Problems!$C:$C, B69)</f>
        <v/>
      </c>
      <c r="D69" s="6">
        <f>COUNTIFS(Problems!$C:$C, B69, Problems!$D:$D, "&lt;&gt;UNKNOWN")</f>
        <v/>
      </c>
      <c r="E69" s="6">
        <f>COUNTIFS(Problems!$C:$C, B69, Problems!$A:$A, "Solved")</f>
        <v/>
      </c>
      <c r="F69" s="14">
        <f>IF(C69&gt;0, E69/C69, 0)</f>
        <v/>
      </c>
      <c r="G69" s="15">
        <f>AVERAGEIF(Problems!$C:$C, B69, Problems!$H:$H)</f>
        <v/>
      </c>
    </row>
    <row r="70" ht="20" customHeight="1">
      <c r="A70" s="3" t="inlineStr">
        <is>
          <t>KINGDOM 15 — THE KINGDOM OF SHORTEST PATHS</t>
        </is>
      </c>
      <c r="B70" s="3" t="inlineStr">
        <is>
          <t>Pattern 15.4 — Bellman-Ford / Negative Edges</t>
        </is>
      </c>
      <c r="C70" s="2">
        <f>COUNTIF(Problems!$C:$C, B70)</f>
        <v/>
      </c>
      <c r="D70" s="2">
        <f>COUNTIFS(Problems!$C:$C, B70, Problems!$D:$D, "&lt;&gt;UNKNOWN")</f>
        <v/>
      </c>
      <c r="E70" s="2">
        <f>COUNTIFS(Problems!$C:$C, B70, Problems!$A:$A, "Solved")</f>
        <v/>
      </c>
      <c r="F70" s="12">
        <f>IF(C70&gt;0, E70/C70, 0)</f>
        <v/>
      </c>
      <c r="G70" s="13">
        <f>AVERAGEIF(Problems!$C:$C, B70, Problems!$H:$H)</f>
        <v/>
      </c>
    </row>
    <row r="71" ht="20" customHeight="1">
      <c r="A71" s="7" t="inlineStr">
        <is>
          <t>KINGDOM 15 — THE KINGDOM OF SHORTEST PATHS</t>
        </is>
      </c>
      <c r="B71" s="7" t="inlineStr">
        <is>
          <t>Pattern 15.5 — Floyd Warshall</t>
        </is>
      </c>
      <c r="C71" s="6">
        <f>COUNTIF(Problems!$C:$C, B71)</f>
        <v/>
      </c>
      <c r="D71" s="6">
        <f>COUNTIFS(Problems!$C:$C, B71, Problems!$D:$D, "&lt;&gt;UNKNOWN")</f>
        <v/>
      </c>
      <c r="E71" s="6">
        <f>COUNTIFS(Problems!$C:$C, B71, Problems!$A:$A, "Solved")</f>
        <v/>
      </c>
      <c r="F71" s="14">
        <f>IF(C71&gt;0, E71/C71, 0)</f>
        <v/>
      </c>
      <c r="G71" s="15">
        <f>AVERAGEIF(Problems!$C:$C, B71, Problems!$H:$H)</f>
        <v/>
      </c>
    </row>
    <row r="72" ht="20" customHeight="1">
      <c r="A72" s="3" t="inlineStr">
        <is>
          <t>KINGDOM 16 — THE KINGDOM OF DSU &amp; MINIMUM SPANNING TREE</t>
        </is>
      </c>
      <c r="B72" s="3" t="inlineStr">
        <is>
          <t>Pattern 16.1 — Basic DSU</t>
        </is>
      </c>
      <c r="C72" s="2">
        <f>COUNTIF(Problems!$C:$C, B72)</f>
        <v/>
      </c>
      <c r="D72" s="2">
        <f>COUNTIFS(Problems!$C:$C, B72, Problems!$D:$D, "&lt;&gt;UNKNOWN")</f>
        <v/>
      </c>
      <c r="E72" s="2">
        <f>COUNTIFS(Problems!$C:$C, B72, Problems!$A:$A, "Solved")</f>
        <v/>
      </c>
      <c r="F72" s="12">
        <f>IF(C72&gt;0, E72/C72, 0)</f>
        <v/>
      </c>
      <c r="G72" s="13">
        <f>AVERAGEIF(Problems!$C:$C, B72, Problems!$H:$H)</f>
        <v/>
      </c>
    </row>
    <row r="73" ht="20" customHeight="1">
      <c r="A73" s="7" t="inlineStr">
        <is>
          <t>KINGDOM 16 — THE KINGDOM OF DSU &amp; MINIMUM SPANNING TREE</t>
        </is>
      </c>
      <c r="B73" s="7" t="inlineStr">
        <is>
          <t>Pattern 16.2 — Union Find Applications</t>
        </is>
      </c>
      <c r="C73" s="6">
        <f>COUNTIF(Problems!$C:$C, B73)</f>
        <v/>
      </c>
      <c r="D73" s="6">
        <f>COUNTIFS(Problems!$C:$C, B73, Problems!$D:$D, "&lt;&gt;UNKNOWN")</f>
        <v/>
      </c>
      <c r="E73" s="6">
        <f>COUNTIFS(Problems!$C:$C, B73, Problems!$A:$A, "Solved")</f>
        <v/>
      </c>
      <c r="F73" s="14">
        <f>IF(C73&gt;0, E73/C73, 0)</f>
        <v/>
      </c>
      <c r="G73" s="15">
        <f>AVERAGEIF(Problems!$C:$C, B73, Problems!$H:$H)</f>
        <v/>
      </c>
    </row>
    <row r="74" ht="20" customHeight="1">
      <c r="A74" s="3" t="inlineStr">
        <is>
          <t>KINGDOM 16 — THE KINGDOM OF DSU &amp; MINIMUM SPANNING TREE</t>
        </is>
      </c>
      <c r="B74" s="3" t="inlineStr">
        <is>
          <t>Pattern 16.3 — Kruskal's MST</t>
        </is>
      </c>
      <c r="C74" s="2">
        <f>COUNTIF(Problems!$C:$C, B74)</f>
        <v/>
      </c>
      <c r="D74" s="2">
        <f>COUNTIFS(Problems!$C:$C, B74, Problems!$D:$D, "&lt;&gt;UNKNOWN")</f>
        <v/>
      </c>
      <c r="E74" s="2">
        <f>COUNTIFS(Problems!$C:$C, B74, Problems!$A:$A, "Solved")</f>
        <v/>
      </c>
      <c r="F74" s="12">
        <f>IF(C74&gt;0, E74/C74, 0)</f>
        <v/>
      </c>
      <c r="G74" s="13">
        <f>AVERAGEIF(Problems!$C:$C, B74, Problems!$H:$H)</f>
        <v/>
      </c>
    </row>
    <row r="75" ht="20" customHeight="1">
      <c r="A75" s="7" t="inlineStr">
        <is>
          <t>KINGDOM 16 — THE KINGDOM OF DSU &amp; MINIMUM SPANNING TREE</t>
        </is>
      </c>
      <c r="B75" s="7" t="inlineStr">
        <is>
          <t>Pattern 16.5 — Offline DSU</t>
        </is>
      </c>
      <c r="C75" s="6">
        <f>COUNTIF(Problems!$C:$C, B75)</f>
        <v/>
      </c>
      <c r="D75" s="6">
        <f>COUNTIFS(Problems!$C:$C, B75, Problems!$D:$D, "&lt;&gt;UNKNOWN")</f>
        <v/>
      </c>
      <c r="E75" s="6">
        <f>COUNTIFS(Problems!$C:$C, B75, Problems!$A:$A, "Solved")</f>
        <v/>
      </c>
      <c r="F75" s="14">
        <f>IF(C75&gt;0, E75/C75, 0)</f>
        <v/>
      </c>
      <c r="G75" s="15">
        <f>AVERAGEIF(Problems!$C:$C, B75, Problems!$H:$H)</f>
        <v/>
      </c>
    </row>
    <row r="76" ht="20" customHeight="1">
      <c r="A76" s="3" t="inlineStr">
        <is>
          <t>KINGDOM 17 — THE KINGDOM OF DYNAMIC PROGRAMMING</t>
        </is>
      </c>
      <c r="B76" s="3" t="inlineStr">
        <is>
          <t>Pattern 17.1 — Introduction to DP (1D DP)</t>
        </is>
      </c>
      <c r="C76" s="2">
        <f>COUNTIF(Problems!$C:$C, B76)</f>
        <v/>
      </c>
      <c r="D76" s="2">
        <f>COUNTIFS(Problems!$C:$C, B76, Problems!$D:$D, "&lt;&gt;UNKNOWN")</f>
        <v/>
      </c>
      <c r="E76" s="2">
        <f>COUNTIFS(Problems!$C:$C, B76, Problems!$A:$A, "Solved")</f>
        <v/>
      </c>
      <c r="F76" s="12">
        <f>IF(C76&gt;0, E76/C76, 0)</f>
        <v/>
      </c>
      <c r="G76" s="13">
        <f>AVERAGEIF(Problems!$C:$C, B76, Problems!$H:$H)</f>
        <v/>
      </c>
    </row>
    <row r="77" ht="20" customHeight="1">
      <c r="A77" s="7" t="inlineStr">
        <is>
          <t>KINGDOM 17 — THE KINGDOM OF DYNAMIC PROGRAMMING</t>
        </is>
      </c>
      <c r="B77" s="7" t="inlineStr">
        <is>
          <t>Pattern 17.2 — Knapsack DP</t>
        </is>
      </c>
      <c r="C77" s="6">
        <f>COUNTIF(Problems!$C:$C, B77)</f>
        <v/>
      </c>
      <c r="D77" s="6">
        <f>COUNTIFS(Problems!$C:$C, B77, Problems!$D:$D, "&lt;&gt;UNKNOWN")</f>
        <v/>
      </c>
      <c r="E77" s="6">
        <f>COUNTIFS(Problems!$C:$C, B77, Problems!$A:$A, "Solved")</f>
        <v/>
      </c>
      <c r="F77" s="14">
        <f>IF(C77&gt;0, E77/C77, 0)</f>
        <v/>
      </c>
      <c r="G77" s="15">
        <f>AVERAGEIF(Problems!$C:$C, B77, Problems!$H:$H)</f>
        <v/>
      </c>
    </row>
    <row r="78" ht="20" customHeight="1">
      <c r="A78" s="3" t="inlineStr">
        <is>
          <t>KINGDOM 17 — THE KINGDOM OF DYNAMIC PROGRAMMING</t>
        </is>
      </c>
      <c r="B78" s="3" t="inlineStr">
        <is>
          <t>Pattern 17.3 — Grid DP</t>
        </is>
      </c>
      <c r="C78" s="2">
        <f>COUNTIF(Problems!$C:$C, B78)</f>
        <v/>
      </c>
      <c r="D78" s="2">
        <f>COUNTIFS(Problems!$C:$C, B78, Problems!$D:$D, "&lt;&gt;UNKNOWN")</f>
        <v/>
      </c>
      <c r="E78" s="2">
        <f>COUNTIFS(Problems!$C:$C, B78, Problems!$A:$A, "Solved")</f>
        <v/>
      </c>
      <c r="F78" s="12">
        <f>IF(C78&gt;0, E78/C78, 0)</f>
        <v/>
      </c>
      <c r="G78" s="13">
        <f>AVERAGEIF(Problems!$C:$C, B78, Problems!$H:$H)</f>
        <v/>
      </c>
    </row>
    <row r="79" ht="20" customHeight="1">
      <c r="A79" s="7" t="inlineStr">
        <is>
          <t>KINGDOM 17 — THE KINGDOM OF DYNAMIC PROGRAMMING</t>
        </is>
      </c>
      <c r="B79" s="7" t="inlineStr">
        <is>
          <t>Pattern 17.4 — Interval DP</t>
        </is>
      </c>
      <c r="C79" s="6">
        <f>COUNTIF(Problems!$C:$C, B79)</f>
        <v/>
      </c>
      <c r="D79" s="6">
        <f>COUNTIFS(Problems!$C:$C, B79, Problems!$D:$D, "&lt;&gt;UNKNOWN")</f>
        <v/>
      </c>
      <c r="E79" s="6">
        <f>COUNTIFS(Problems!$C:$C, B79, Problems!$A:$A, "Solved")</f>
        <v/>
      </c>
      <c r="F79" s="14">
        <f>IF(C79&gt;0, E79/C79, 0)</f>
        <v/>
      </c>
      <c r="G79" s="15">
        <f>AVERAGEIF(Problems!$C:$C, B79, Problems!$H:$H)</f>
        <v/>
      </c>
    </row>
    <row r="80" ht="20" customHeight="1">
      <c r="A80" s="3" t="inlineStr">
        <is>
          <t>KINGDOM 17 — THE KINGDOM OF DYNAMIC PROGRAMMING</t>
        </is>
      </c>
      <c r="B80" s="3" t="inlineStr">
        <is>
          <t>Pattern 17.5 — Digit DP</t>
        </is>
      </c>
      <c r="C80" s="2">
        <f>COUNTIF(Problems!$C:$C, B80)</f>
        <v/>
      </c>
      <c r="D80" s="2">
        <f>COUNTIFS(Problems!$C:$C, B80, Problems!$D:$D, "&lt;&gt;UNKNOWN")</f>
        <v/>
      </c>
      <c r="E80" s="2">
        <f>COUNTIFS(Problems!$C:$C, B80, Problems!$A:$A, "Solved")</f>
        <v/>
      </c>
      <c r="F80" s="12">
        <f>IF(C80&gt;0, E80/C80, 0)</f>
        <v/>
      </c>
      <c r="G80" s="13">
        <f>AVERAGEIF(Problems!$C:$C, B80, Problems!$H:$H)</f>
        <v/>
      </c>
    </row>
    <row r="81" ht="20" customHeight="1">
      <c r="A81" s="7" t="inlineStr">
        <is>
          <t>KINGDOM 17 — THE KINGDOM OF DYNAMIC PROGRAMMING</t>
        </is>
      </c>
      <c r="B81" s="7" t="inlineStr">
        <is>
          <t>Pattern 17.6 — Bitmask DP</t>
        </is>
      </c>
      <c r="C81" s="6">
        <f>COUNTIF(Problems!$C:$C, B81)</f>
        <v/>
      </c>
      <c r="D81" s="6">
        <f>COUNTIFS(Problems!$C:$C, B81, Problems!$D:$D, "&lt;&gt;UNKNOWN")</f>
        <v/>
      </c>
      <c r="E81" s="6">
        <f>COUNTIFS(Problems!$C:$C, B81, Problems!$A:$A, "Solved")</f>
        <v/>
      </c>
      <c r="F81" s="14">
        <f>IF(C81&gt;0, E81/C81, 0)</f>
        <v/>
      </c>
      <c r="G81" s="15">
        <f>AVERAGEIF(Problems!$C:$C, B81, Problems!$H:$H)</f>
        <v/>
      </c>
    </row>
    <row r="82" ht="20" customHeight="1">
      <c r="A82" s="3" t="inlineStr">
        <is>
          <t>KINGDOM 17 — THE KINGDOM OF DYNAMIC PROGRAMMING</t>
        </is>
      </c>
      <c r="B82" s="3" t="inlineStr">
        <is>
          <t>Pattern 17.8 — DP on DAG</t>
        </is>
      </c>
      <c r="C82" s="2">
        <f>COUNTIF(Problems!$C:$C, B82)</f>
        <v/>
      </c>
      <c r="D82" s="2">
        <f>COUNTIFS(Problems!$C:$C, B82, Problems!$D:$D, "&lt;&gt;UNKNOWN")</f>
        <v/>
      </c>
      <c r="E82" s="2">
        <f>COUNTIFS(Problems!$C:$C, B82, Problems!$A:$A, "Solved")</f>
        <v/>
      </c>
      <c r="F82" s="12">
        <f>IF(C82&gt;0, E82/C82, 0)</f>
        <v/>
      </c>
      <c r="G82" s="13">
        <f>AVERAGEIF(Problems!$C:$C, B82, Problems!$H:$H)</f>
        <v/>
      </c>
    </row>
    <row r="83" ht="20" customHeight="1">
      <c r="A83" s="7" t="inlineStr">
        <is>
          <t>KINGDOM 17 — THE KINGDOM OF DYNAMIC PROGRAMMING</t>
        </is>
      </c>
      <c r="B83" s="7" t="inlineStr">
        <is>
          <t>Pattern 17.9 — Probability DP</t>
        </is>
      </c>
      <c r="C83" s="6">
        <f>COUNTIF(Problems!$C:$C, B83)</f>
        <v/>
      </c>
      <c r="D83" s="6">
        <f>COUNTIFS(Problems!$C:$C, B83, Problems!$D:$D, "&lt;&gt;UNKNOWN")</f>
        <v/>
      </c>
      <c r="E83" s="6">
        <f>COUNTIFS(Problems!$C:$C, B83, Problems!$A:$A, "Solved")</f>
        <v/>
      </c>
      <c r="F83" s="14">
        <f>IF(C83&gt;0, E83/C83, 0)</f>
        <v/>
      </c>
      <c r="G83" s="15">
        <f>AVERAGEIF(Problems!$C:$C, B83, Problems!$H:$H)</f>
        <v/>
      </c>
    </row>
    <row r="84" ht="20" customHeight="1">
      <c r="A84" s="3" t="inlineStr">
        <is>
          <t>KINGDOM 17 — THE KINGDOM OF DYNAMIC PROGRAMMING</t>
        </is>
      </c>
      <c r="B84" s="3" t="inlineStr">
        <is>
          <t>Pattern 17.10 — Prefix/Suffix DP</t>
        </is>
      </c>
      <c r="C84" s="2">
        <f>COUNTIF(Problems!$C:$C, B84)</f>
        <v/>
      </c>
      <c r="D84" s="2">
        <f>COUNTIFS(Problems!$C:$C, B84, Problems!$D:$D, "&lt;&gt;UNKNOWN")</f>
        <v/>
      </c>
      <c r="E84" s="2">
        <f>COUNTIFS(Problems!$C:$C, B84, Problems!$A:$A, "Solved")</f>
        <v/>
      </c>
      <c r="F84" s="12">
        <f>IF(C84&gt;0, E84/C84, 0)</f>
        <v/>
      </c>
      <c r="G84" s="13">
        <f>AVERAGEIF(Problems!$C:$C, B84, Problems!$H:$H)</f>
        <v/>
      </c>
    </row>
    <row r="85" ht="20" customHeight="1">
      <c r="A85" s="7" t="inlineStr">
        <is>
          <t>KINGDOM 17 — THE KINGDOM OF DYNAMIC PROGRAMMING</t>
        </is>
      </c>
      <c r="B85" s="7" t="inlineStr">
        <is>
          <t>Pattern 17.12 — Optimization DP</t>
        </is>
      </c>
      <c r="C85" s="6">
        <f>COUNTIF(Problems!$C:$C, B85)</f>
        <v/>
      </c>
      <c r="D85" s="6">
        <f>COUNTIFS(Problems!$C:$C, B85, Problems!$D:$D, "&lt;&gt;UNKNOWN")</f>
        <v/>
      </c>
      <c r="E85" s="6">
        <f>COUNTIFS(Problems!$C:$C, B85, Problems!$A:$A, "Solved")</f>
        <v/>
      </c>
      <c r="F85" s="14">
        <f>IF(C85&gt;0, E85/C85, 0)</f>
        <v/>
      </c>
      <c r="G85" s="15">
        <f>AVERAGEIF(Problems!$C:$C, B85, Problems!$H:$H)</f>
        <v/>
      </c>
    </row>
    <row r="86" ht="20" customHeight="1">
      <c r="A86" s="3" t="inlineStr">
        <is>
          <t>KINGDOM 18 — THE KINGDOM OF DIVIDE &amp; CONQUER</t>
        </is>
      </c>
      <c r="B86" s="3" t="inlineStr">
        <is>
          <t>Pattern 18.2 — Merge Sort Applications</t>
        </is>
      </c>
      <c r="C86" s="2">
        <f>COUNTIF(Problems!$C:$C, B86)</f>
        <v/>
      </c>
      <c r="D86" s="2">
        <f>COUNTIFS(Problems!$C:$C, B86, Problems!$D:$D, "&lt;&gt;UNKNOWN")</f>
        <v/>
      </c>
      <c r="E86" s="2">
        <f>COUNTIFS(Problems!$C:$C, B86, Problems!$A:$A, "Solved")</f>
        <v/>
      </c>
      <c r="F86" s="12">
        <f>IF(C86&gt;0, E86/C86, 0)</f>
        <v/>
      </c>
      <c r="G86" s="13">
        <f>AVERAGEIF(Problems!$C:$C, B86, Problems!$H:$H)</f>
        <v/>
      </c>
    </row>
    <row r="87" ht="20" customHeight="1">
      <c r="A87" s="7" t="inlineStr">
        <is>
          <t>KINGDOM 18 — THE KINGDOM OF DIVIDE &amp; CONQUER</t>
        </is>
      </c>
      <c r="B87" s="7" t="inlineStr">
        <is>
          <t>Pattern 18.3 — Divide &amp; Conquer on Arrays</t>
        </is>
      </c>
      <c r="C87" s="6">
        <f>COUNTIF(Problems!$C:$C, B87)</f>
        <v/>
      </c>
      <c r="D87" s="6">
        <f>COUNTIFS(Problems!$C:$C, B87, Problems!$D:$D, "&lt;&gt;UNKNOWN")</f>
        <v/>
      </c>
      <c r="E87" s="6">
        <f>COUNTIFS(Problems!$C:$C, B87, Problems!$A:$A, "Solved")</f>
        <v/>
      </c>
      <c r="F87" s="14">
        <f>IF(C87&gt;0, E87/C87, 0)</f>
        <v/>
      </c>
      <c r="G87" s="15">
        <f>AVERAGEIF(Problems!$C:$C, B87, Problems!$H:$H)</f>
        <v/>
      </c>
    </row>
    <row r="88" ht="20" customHeight="1">
      <c r="A88" s="3" t="inlineStr">
        <is>
          <t>KINGDOM 18 — THE KINGDOM OF DIVIDE &amp; CONQUER</t>
        </is>
      </c>
      <c r="B88" s="3" t="inlineStr">
        <is>
          <t>Pattern 18.4 — CDQ Divide &amp; Conquer</t>
        </is>
      </c>
      <c r="C88" s="2">
        <f>COUNTIF(Problems!$C:$C, B88)</f>
        <v/>
      </c>
      <c r="D88" s="2">
        <f>COUNTIFS(Problems!$C:$C, B88, Problems!$D:$D, "&lt;&gt;UNKNOWN")</f>
        <v/>
      </c>
      <c r="E88" s="2">
        <f>COUNTIFS(Problems!$C:$C, B88, Problems!$A:$A, "Solved")</f>
        <v/>
      </c>
      <c r="F88" s="12">
        <f>IF(C88&gt;0, E88/C88, 0)</f>
        <v/>
      </c>
      <c r="G88" s="13">
        <f>AVERAGEIF(Problems!$C:$C, B88, Problems!$H:$H)</f>
        <v/>
      </c>
    </row>
    <row r="89" ht="20" customHeight="1">
      <c r="A89" s="7" t="inlineStr">
        <is>
          <t>KINGDOM 19 — THE KINGDOM OF SEGMENT TREES</t>
        </is>
      </c>
      <c r="B89" s="7" t="inlineStr">
        <is>
          <t>Pattern 19.1 — Basic Segment Tree</t>
        </is>
      </c>
      <c r="C89" s="6">
        <f>COUNTIF(Problems!$C:$C, B89)</f>
        <v/>
      </c>
      <c r="D89" s="6">
        <f>COUNTIFS(Problems!$C:$C, B89, Problems!$D:$D, "&lt;&gt;UNKNOWN")</f>
        <v/>
      </c>
      <c r="E89" s="6">
        <f>COUNTIFS(Problems!$C:$C, B89, Problems!$A:$A, "Solved")</f>
        <v/>
      </c>
      <c r="F89" s="14">
        <f>IF(C89&gt;0, E89/C89, 0)</f>
        <v/>
      </c>
      <c r="G89" s="15">
        <f>AVERAGEIF(Problems!$C:$C, B89, Problems!$H:$H)</f>
        <v/>
      </c>
    </row>
    <row r="90" ht="20" customHeight="1">
      <c r="A90" s="3" t="inlineStr">
        <is>
          <t>KINGDOM 19 — THE KINGDOM OF SEGMENT TREES</t>
        </is>
      </c>
      <c r="B90" s="3" t="inlineStr">
        <is>
          <t>Pattern 19.2 — Range Query + Point Update</t>
        </is>
      </c>
      <c r="C90" s="2">
        <f>COUNTIF(Problems!$C:$C, B90)</f>
        <v/>
      </c>
      <c r="D90" s="2">
        <f>COUNTIFS(Problems!$C:$C, B90, Problems!$D:$D, "&lt;&gt;UNKNOWN")</f>
        <v/>
      </c>
      <c r="E90" s="2">
        <f>COUNTIFS(Problems!$C:$C, B90, Problems!$A:$A, "Solved")</f>
        <v/>
      </c>
      <c r="F90" s="12">
        <f>IF(C90&gt;0, E90/C90, 0)</f>
        <v/>
      </c>
      <c r="G90" s="13">
        <f>AVERAGEIF(Problems!$C:$C, B90, Problems!$H:$H)</f>
        <v/>
      </c>
    </row>
    <row r="91" ht="20" customHeight="1">
      <c r="A91" s="7" t="inlineStr">
        <is>
          <t>KINGDOM 19 — THE KINGDOM OF SEGMENT TREES</t>
        </is>
      </c>
      <c r="B91" s="7" t="inlineStr">
        <is>
          <t>Pattern 19.3 — Lazy Propagation</t>
        </is>
      </c>
      <c r="C91" s="6">
        <f>COUNTIF(Problems!$C:$C, B91)</f>
        <v/>
      </c>
      <c r="D91" s="6">
        <f>COUNTIFS(Problems!$C:$C, B91, Problems!$D:$D, "&lt;&gt;UNKNOWN")</f>
        <v/>
      </c>
      <c r="E91" s="6">
        <f>COUNTIFS(Problems!$C:$C, B91, Problems!$A:$A, "Solved")</f>
        <v/>
      </c>
      <c r="F91" s="14">
        <f>IF(C91&gt;0, E91/C91, 0)</f>
        <v/>
      </c>
      <c r="G91" s="15">
        <f>AVERAGEIF(Problems!$C:$C, B91, Problems!$H:$H)</f>
        <v/>
      </c>
    </row>
    <row r="92" ht="20" customHeight="1">
      <c r="A92" s="3" t="inlineStr">
        <is>
          <t>KINGDOM 19 — THE KINGDOM OF SEGMENT TREES</t>
        </is>
      </c>
      <c r="B92" s="3" t="inlineStr">
        <is>
          <t>Pattern 19.4 — Merge Sort Tree</t>
        </is>
      </c>
      <c r="C92" s="2">
        <f>COUNTIF(Problems!$C:$C, B92)</f>
        <v/>
      </c>
      <c r="D92" s="2">
        <f>COUNTIFS(Problems!$C:$C, B92, Problems!$D:$D, "&lt;&gt;UNKNOWN")</f>
        <v/>
      </c>
      <c r="E92" s="2">
        <f>COUNTIFS(Problems!$C:$C, B92, Problems!$A:$A, "Solved")</f>
        <v/>
      </c>
      <c r="F92" s="12">
        <f>IF(C92&gt;0, E92/C92, 0)</f>
        <v/>
      </c>
      <c r="G92" s="13">
        <f>AVERAGEIF(Problems!$C:$C, B92, Problems!$H:$H)</f>
        <v/>
      </c>
    </row>
    <row r="93" ht="20" customHeight="1">
      <c r="A93" s="7" t="inlineStr">
        <is>
          <t>KINGDOM 19 — THE KINGDOM OF SEGMENT TREES</t>
        </is>
      </c>
      <c r="B93" s="7" t="inlineStr">
        <is>
          <t>Pattern 19.5 — Persistent Segment Tree</t>
        </is>
      </c>
      <c r="C93" s="6">
        <f>COUNTIF(Problems!$C:$C, B93)</f>
        <v/>
      </c>
      <c r="D93" s="6">
        <f>COUNTIFS(Problems!$C:$C, B93, Problems!$D:$D, "&lt;&gt;UNKNOWN")</f>
        <v/>
      </c>
      <c r="E93" s="6">
        <f>COUNTIFS(Problems!$C:$C, B93, Problems!$A:$A, "Solved")</f>
        <v/>
      </c>
      <c r="F93" s="14">
        <f>IF(C93&gt;0, E93/C93, 0)</f>
        <v/>
      </c>
      <c r="G93" s="15">
        <f>AVERAGEIF(Problems!$C:$C, B93, Problems!$H:$H)</f>
        <v/>
      </c>
    </row>
    <row r="94" ht="20" customHeight="1">
      <c r="A94" s="3" t="inlineStr">
        <is>
          <t>KINGDOM 19 — THE KINGDOM OF SEGMENT TREES</t>
        </is>
      </c>
      <c r="B94" s="3" t="inlineStr">
        <is>
          <t>Pattern 19.6 — Dynamic Segment Tree</t>
        </is>
      </c>
      <c r="C94" s="2">
        <f>COUNTIF(Problems!$C:$C, B94)</f>
        <v/>
      </c>
      <c r="D94" s="2">
        <f>COUNTIFS(Problems!$C:$C, B94, Problems!$D:$D, "&lt;&gt;UNKNOWN")</f>
        <v/>
      </c>
      <c r="E94" s="2">
        <f>COUNTIFS(Problems!$C:$C, B94, Problems!$A:$A, "Solved")</f>
        <v/>
      </c>
      <c r="F94" s="12">
        <f>IF(C94&gt;0, E94/C94, 0)</f>
        <v/>
      </c>
      <c r="G94" s="13">
        <f>AVERAGEIF(Problems!$C:$C, B94, Problems!$H:$H)</f>
        <v/>
      </c>
    </row>
    <row r="95" ht="20" customHeight="1">
      <c r="A95" s="7" t="inlineStr">
        <is>
          <t>KINGDOM 20 — THE KINGDOM OF FENWICK TREE (BIT)</t>
        </is>
      </c>
      <c r="B95" s="7" t="inlineStr">
        <is>
          <t>Pattern 20.1 — Basic BIT</t>
        </is>
      </c>
      <c r="C95" s="6">
        <f>COUNTIF(Problems!$C:$C, B95)</f>
        <v/>
      </c>
      <c r="D95" s="6">
        <f>COUNTIFS(Problems!$C:$C, B95, Problems!$D:$D, "&lt;&gt;UNKNOWN")</f>
        <v/>
      </c>
      <c r="E95" s="6">
        <f>COUNTIFS(Problems!$C:$C, B95, Problems!$A:$A, "Solved")</f>
        <v/>
      </c>
      <c r="F95" s="14">
        <f>IF(C95&gt;0, E95/C95, 0)</f>
        <v/>
      </c>
      <c r="G95" s="15">
        <f>AVERAGEIF(Problems!$C:$C, B95, Problems!$H:$H)</f>
        <v/>
      </c>
    </row>
    <row r="96" ht="20" customHeight="1">
      <c r="A96" s="3" t="inlineStr">
        <is>
          <t>KINGDOM 20 — THE KINGDOM OF FENWICK TREE (BIT)</t>
        </is>
      </c>
      <c r="B96" s="3" t="inlineStr">
        <is>
          <t>Pattern 20.2 — Prefix Sum BIT</t>
        </is>
      </c>
      <c r="C96" s="2">
        <f>COUNTIF(Problems!$C:$C, B96)</f>
        <v/>
      </c>
      <c r="D96" s="2">
        <f>COUNTIFS(Problems!$C:$C, B96, Problems!$D:$D, "&lt;&gt;UNKNOWN")</f>
        <v/>
      </c>
      <c r="E96" s="2">
        <f>COUNTIFS(Problems!$C:$C, B96, Problems!$A:$A, "Solved")</f>
        <v/>
      </c>
      <c r="F96" s="12">
        <f>IF(C96&gt;0, E96/C96, 0)</f>
        <v/>
      </c>
      <c r="G96" s="13">
        <f>AVERAGEIF(Problems!$C:$C, B96, Problems!$H:$H)</f>
        <v/>
      </c>
    </row>
    <row r="97" ht="20" customHeight="1">
      <c r="A97" s="7" t="inlineStr">
        <is>
          <t>KINGDOM 20 — THE KINGDOM OF FENWICK TREE (BIT)</t>
        </is>
      </c>
      <c r="B97" s="7" t="inlineStr">
        <is>
          <t>Pattern 20.4 — BIT + Coordinate Compression</t>
        </is>
      </c>
      <c r="C97" s="6">
        <f>COUNTIF(Problems!$C:$C, B97)</f>
        <v/>
      </c>
      <c r="D97" s="6">
        <f>COUNTIFS(Problems!$C:$C, B97, Problems!$D:$D, "&lt;&gt;UNKNOWN")</f>
        <v/>
      </c>
      <c r="E97" s="6">
        <f>COUNTIFS(Problems!$C:$C, B97, Problems!$A:$A, "Solved")</f>
        <v/>
      </c>
      <c r="F97" s="14">
        <f>IF(C97&gt;0, E97/C97, 0)</f>
        <v/>
      </c>
      <c r="G97" s="15">
        <f>AVERAGEIF(Problems!$C:$C, B97, Problems!$H:$H)</f>
        <v/>
      </c>
    </row>
    <row r="98" ht="20" customHeight="1">
      <c r="A98" s="3" t="inlineStr">
        <is>
          <t>KINGDOM 20 — THE KINGDOM OF FENWICK TREE (BIT)</t>
        </is>
      </c>
      <c r="B98" s="3" t="inlineStr">
        <is>
          <t>Pattern 20.5 — Offline Queries with BIT</t>
        </is>
      </c>
      <c r="C98" s="2">
        <f>COUNTIF(Problems!$C:$C, B98)</f>
        <v/>
      </c>
      <c r="D98" s="2">
        <f>COUNTIFS(Problems!$C:$C, B98, Problems!$D:$D, "&lt;&gt;UNKNOWN")</f>
        <v/>
      </c>
      <c r="E98" s="2">
        <f>COUNTIFS(Problems!$C:$C, B98, Problems!$A:$A, "Solved")</f>
        <v/>
      </c>
      <c r="F98" s="12">
        <f>IF(C98&gt;0, E98/C98, 0)</f>
        <v/>
      </c>
      <c r="G98" s="13">
        <f>AVERAGEIF(Problems!$C:$C, B98, Problems!$H:$H)</f>
        <v/>
      </c>
    </row>
    <row r="99" ht="20" customHeight="1">
      <c r="A99" s="7" t="inlineStr">
        <is>
          <t>KINGDOM 21 — THE KINGDOM OF TRIE &amp; STRING STRUCTURES</t>
        </is>
      </c>
      <c r="B99" s="7" t="inlineStr">
        <is>
          <t>Pattern 21.1 — Basic Trie</t>
        </is>
      </c>
      <c r="C99" s="6">
        <f>COUNTIF(Problems!$C:$C, B99)</f>
        <v/>
      </c>
      <c r="D99" s="6">
        <f>COUNTIFS(Problems!$C:$C, B99, Problems!$D:$D, "&lt;&gt;UNKNOWN")</f>
        <v/>
      </c>
      <c r="E99" s="6">
        <f>COUNTIFS(Problems!$C:$C, B99, Problems!$A:$A, "Solved")</f>
        <v/>
      </c>
      <c r="F99" s="14">
        <f>IF(C99&gt;0, E99/C99, 0)</f>
        <v/>
      </c>
      <c r="G99" s="15">
        <f>AVERAGEIF(Problems!$C:$C, B99, Problems!$H:$H)</f>
        <v/>
      </c>
    </row>
    <row r="100" ht="20" customHeight="1">
      <c r="A100" s="3" t="inlineStr">
        <is>
          <t>KINGDOM 21 — THE KINGDOM OF TRIE &amp; STRING STRUCTURES</t>
        </is>
      </c>
      <c r="B100" s="3" t="inlineStr">
        <is>
          <t>Pattern 21.2 — XOR Trie</t>
        </is>
      </c>
      <c r="C100" s="2">
        <f>COUNTIF(Problems!$C:$C, B100)</f>
        <v/>
      </c>
      <c r="D100" s="2">
        <f>COUNTIFS(Problems!$C:$C, B100, Problems!$D:$D, "&lt;&gt;UNKNOWN")</f>
        <v/>
      </c>
      <c r="E100" s="2">
        <f>COUNTIFS(Problems!$C:$C, B100, Problems!$A:$A, "Solved")</f>
        <v/>
      </c>
      <c r="F100" s="12">
        <f>IF(C100&gt;0, E100/C100, 0)</f>
        <v/>
      </c>
      <c r="G100" s="13">
        <f>AVERAGEIF(Problems!$C:$C, B100, Problems!$H:$H)</f>
        <v/>
      </c>
    </row>
    <row r="101" ht="20" customHeight="1">
      <c r="A101" s="7" t="inlineStr">
        <is>
          <t>KINGDOM 21 — THE KINGDOM OF TRIE &amp; STRING STRUCTURES</t>
        </is>
      </c>
      <c r="B101" s="7" t="inlineStr">
        <is>
          <t>Pattern 21.3 — String Trie Applications</t>
        </is>
      </c>
      <c r="C101" s="6">
        <f>COUNTIF(Problems!$C:$C, B101)</f>
        <v/>
      </c>
      <c r="D101" s="6">
        <f>COUNTIFS(Problems!$C:$C, B101, Problems!$D:$D, "&lt;&gt;UNKNOWN")</f>
        <v/>
      </c>
      <c r="E101" s="6">
        <f>COUNTIFS(Problems!$C:$C, B101, Problems!$A:$A, "Solved")</f>
        <v/>
      </c>
      <c r="F101" s="14">
        <f>IF(C101&gt;0, E101/C101, 0)</f>
        <v/>
      </c>
      <c r="G101" s="15">
        <f>AVERAGEIF(Problems!$C:$C, B101, Problems!$H:$H)</f>
        <v/>
      </c>
    </row>
    <row r="102" ht="20" customHeight="1">
      <c r="A102" s="3" t="inlineStr">
        <is>
          <t>KINGDOM 22 — THE KINGDOM OF GEOMETRY &amp; COMPUTATIONAL GEOMETRY</t>
        </is>
      </c>
      <c r="B102" s="3" t="inlineStr">
        <is>
          <t>Pattern 22.1 — Computational Geometry</t>
        </is>
      </c>
      <c r="C102" s="2">
        <f>COUNTIF(Problems!$C:$C, B102)</f>
        <v/>
      </c>
      <c r="D102" s="2">
        <f>COUNTIFS(Problems!$C:$C, B102, Problems!$D:$D, "&lt;&gt;UNKNOWN")</f>
        <v/>
      </c>
      <c r="E102" s="2">
        <f>COUNTIFS(Problems!$C:$C, B102, Problems!$A:$A, "Solved")</f>
        <v/>
      </c>
      <c r="F102" s="12">
        <f>IF(C102&gt;0, E102/C102, 0)</f>
        <v/>
      </c>
      <c r="G102" s="13">
        <f>AVERAGEIF(Problems!$C:$C, B102, Problems!$H:$H)</f>
        <v/>
      </c>
    </row>
    <row r="103" ht="20" customHeight="1">
      <c r="A103" s="7" t="inlineStr">
        <is>
          <t>KINGDOM 22 — THE KINGDOM OF GEOMETRY &amp; COMPUTATIONAL GEOMETRY</t>
        </is>
      </c>
      <c r="B103" s="7" t="inlineStr">
        <is>
          <t>Pattern 22.2 — Coordinate Geometry</t>
        </is>
      </c>
      <c r="C103" s="6">
        <f>COUNTIF(Problems!$C:$C, B103)</f>
        <v/>
      </c>
      <c r="D103" s="6">
        <f>COUNTIFS(Problems!$C:$C, B103, Problems!$D:$D, "&lt;&gt;UNKNOWN")</f>
        <v/>
      </c>
      <c r="E103" s="6">
        <f>COUNTIFS(Problems!$C:$C, B103, Problems!$A:$A, "Solved")</f>
        <v/>
      </c>
      <c r="F103" s="14">
        <f>IF(C103&gt;0, E103/C103, 0)</f>
        <v/>
      </c>
      <c r="G103" s="15">
        <f>AVERAGEIF(Problems!$C:$C, B103, Problems!$H:$H)</f>
        <v/>
      </c>
    </row>
    <row r="104" ht="20" customHeight="1">
      <c r="A104" s="3" t="inlineStr">
        <is>
          <t>KINGDOM 22 — THE KINGDOM OF GEOMETRY &amp; COMPUTATIONAL GEOMETRY</t>
        </is>
      </c>
      <c r="B104" s="3" t="inlineStr">
        <is>
          <t>Pattern 22.3 — Area &amp; Volume</t>
        </is>
      </c>
      <c r="C104" s="2">
        <f>COUNTIF(Problems!$C:$C, B104)</f>
        <v/>
      </c>
      <c r="D104" s="2">
        <f>COUNTIFS(Problems!$C:$C, B104, Problems!$D:$D, "&lt;&gt;UNKNOWN")</f>
        <v/>
      </c>
      <c r="E104" s="2">
        <f>COUNTIFS(Problems!$C:$C, B104, Problems!$A:$A, "Solved")</f>
        <v/>
      </c>
      <c r="F104" s="12">
        <f>IF(C104&gt;0, E104/C104, 0)</f>
        <v/>
      </c>
      <c r="G104" s="13">
        <f>AVERAGEIF(Problems!$C:$C, B104, Problems!$H:$H)</f>
        <v/>
      </c>
    </row>
    <row r="105" ht="20" customHeight="1">
      <c r="A105" s="7" t="inlineStr">
        <is>
          <t>KINGDOM 23 — THE KINGDOM OF GAME THEORY &amp; NIM</t>
        </is>
      </c>
      <c r="B105" s="7" t="inlineStr">
        <is>
          <t>Pattern 23.1 — Nim Games</t>
        </is>
      </c>
      <c r="C105" s="6">
        <f>COUNTIF(Problems!$C:$C, B105)</f>
        <v/>
      </c>
      <c r="D105" s="6">
        <f>COUNTIFS(Problems!$C:$C, B105, Problems!$D:$D, "&lt;&gt;UNKNOWN")</f>
        <v/>
      </c>
      <c r="E105" s="6">
        <f>COUNTIFS(Problems!$C:$C, B105, Problems!$A:$A, "Solved")</f>
        <v/>
      </c>
      <c r="F105" s="14">
        <f>IF(C105&gt;0, E105/C105, 0)</f>
        <v/>
      </c>
      <c r="G105" s="15">
        <f>AVERAGEIF(Problems!$C:$C, B105, Problems!$H:$H)</f>
        <v/>
      </c>
    </row>
    <row r="106" ht="20" customHeight="1">
      <c r="A106" s="3" t="inlineStr">
        <is>
          <t>KINGDOM 23 — THE KINGDOM OF GAME THEORY &amp; NIM</t>
        </is>
      </c>
      <c r="B106" s="3" t="inlineStr">
        <is>
          <t>Pattern 23.2 — Sprague–Grundy</t>
        </is>
      </c>
      <c r="C106" s="2">
        <f>COUNTIF(Problems!$C:$C, B106)</f>
        <v/>
      </c>
      <c r="D106" s="2">
        <f>COUNTIFS(Problems!$C:$C, B106, Problems!$D:$D, "&lt;&gt;UNKNOWN")</f>
        <v/>
      </c>
      <c r="E106" s="2">
        <f>COUNTIFS(Problems!$C:$C, B106, Problems!$A:$A, "Solved")</f>
        <v/>
      </c>
      <c r="F106" s="12">
        <f>IF(C106&gt;0, E106/C106, 0)</f>
        <v/>
      </c>
      <c r="G106" s="13">
        <f>AVERAGEIF(Problems!$C:$C, B106, Problems!$H:$H)</f>
        <v/>
      </c>
    </row>
    <row r="107" ht="20" customHeight="1">
      <c r="A107" s="7" t="inlineStr">
        <is>
          <t>KINGDOM 23 — THE KINGDOM OF GAME THEORY &amp; NIM</t>
        </is>
      </c>
      <c r="B107" s="7" t="inlineStr">
        <is>
          <t>Pattern 23.3 — Subtraction Games</t>
        </is>
      </c>
      <c r="C107" s="6">
        <f>COUNTIF(Problems!$C:$C, B107)</f>
        <v/>
      </c>
      <c r="D107" s="6">
        <f>COUNTIFS(Problems!$C:$C, B107, Problems!$D:$D, "&lt;&gt;UNKNOWN")</f>
        <v/>
      </c>
      <c r="E107" s="6">
        <f>COUNTIFS(Problems!$C:$C, B107, Problems!$A:$A, "Solved")</f>
        <v/>
      </c>
      <c r="F107" s="14">
        <f>IF(C107&gt;0, E107/C107, 0)</f>
        <v/>
      </c>
      <c r="G107" s="15">
        <f>AVERAGEIF(Problems!$C:$C, B107, Problems!$H:$H)</f>
        <v/>
      </c>
    </row>
    <row r="108" ht="20" customHeight="1">
      <c r="A108" s="3" t="inlineStr">
        <is>
          <t>KINGDOM 24 — THE KINGDOM OF CONSTRUCTIVE ALGORITHMS</t>
        </is>
      </c>
      <c r="B108" s="3" t="inlineStr">
        <is>
          <t>Pattern 24.2 — Greedy Construction</t>
        </is>
      </c>
      <c r="C108" s="2">
        <f>COUNTIF(Problems!$C:$C, B108)</f>
        <v/>
      </c>
      <c r="D108" s="2">
        <f>COUNTIFS(Problems!$C:$C, B108, Problems!$D:$D, "&lt;&gt;UNKNOWN")</f>
        <v/>
      </c>
      <c r="E108" s="2">
        <f>COUNTIFS(Problems!$C:$C, B108, Problems!$A:$A, "Solved")</f>
        <v/>
      </c>
      <c r="F108" s="12">
        <f>IF(C108&gt;0, E108/C108, 0)</f>
        <v/>
      </c>
      <c r="G108" s="13">
        <f>AVERAGEIF(Problems!$C:$C, B108, Problems!$H:$H)</f>
        <v/>
      </c>
    </row>
    <row r="109" ht="20" customHeight="1">
      <c r="A109" s="7" t="inlineStr">
        <is>
          <t>KINGDOM 24 — THE KINGDOM OF CONSTRUCTIVE ALGORITHMS</t>
        </is>
      </c>
      <c r="B109" s="7" t="inlineStr">
        <is>
          <t>Pattern 24.3 — Constructive Mathematics</t>
        </is>
      </c>
      <c r="C109" s="6">
        <f>COUNTIF(Problems!$C:$C, B109)</f>
        <v/>
      </c>
      <c r="D109" s="6">
        <f>COUNTIFS(Problems!$C:$C, B109, Problems!$D:$D, "&lt;&gt;UNKNOWN")</f>
        <v/>
      </c>
      <c r="E109" s="6">
        <f>COUNTIFS(Problems!$C:$C, B109, Problems!$A:$A, "Solved")</f>
        <v/>
      </c>
      <c r="F109" s="14">
        <f>IF(C109&gt;0, E109/C109, 0)</f>
        <v/>
      </c>
      <c r="G109" s="15">
        <f>AVERAGEIF(Problems!$C:$C, B109, Problems!$H:$H)</f>
        <v/>
      </c>
    </row>
    <row r="110" ht="20" customHeight="1">
      <c r="A110" s="3" t="inlineStr">
        <is>
          <t>KINGDOM 24 — THE KINGDOM OF CONSTRUCTIVE ALGORITHMS</t>
        </is>
      </c>
      <c r="B110" s="3" t="inlineStr">
        <is>
          <t>Pattern 24.4 — Permutation Construction</t>
        </is>
      </c>
      <c r="C110" s="2">
        <f>COUNTIF(Problems!$C:$C, B110)</f>
        <v/>
      </c>
      <c r="D110" s="2">
        <f>COUNTIFS(Problems!$C:$C, B110, Problems!$D:$D, "&lt;&gt;UNKNOWN")</f>
        <v/>
      </c>
      <c r="E110" s="2">
        <f>COUNTIFS(Problems!$C:$C, B110, Problems!$A:$A, "Solved")</f>
        <v/>
      </c>
      <c r="F110" s="12">
        <f>IF(C110&gt;0, E110/C110, 0)</f>
        <v/>
      </c>
      <c r="G110" s="13">
        <f>AVERAGEIF(Problems!$C:$C, B110, Problems!$H:$H)</f>
        <v/>
      </c>
    </row>
    <row r="111" ht="20" customHeight="1">
      <c r="A111" s="7" t="inlineStr">
        <is>
          <t>KINGDOM 25 — THE KINGDOM OF GEOMETRY, INTERACTIVE &amp; MISCELLANEOUS</t>
        </is>
      </c>
      <c r="B111" s="7" t="inlineStr">
        <is>
          <t>Pattern 25.1 — Computational Geometry</t>
        </is>
      </c>
      <c r="C111" s="6">
        <f>COUNTIF(Problems!$C:$C, B111)</f>
        <v/>
      </c>
      <c r="D111" s="6">
        <f>COUNTIFS(Problems!$C:$C, B111, Problems!$D:$D, "&lt;&gt;UNKNOWN")</f>
        <v/>
      </c>
      <c r="E111" s="6">
        <f>COUNTIFS(Problems!$C:$C, B111, Problems!$A:$A, "Solved")</f>
        <v/>
      </c>
      <c r="F111" s="14">
        <f>IF(C111&gt;0, E111/C111, 0)</f>
        <v/>
      </c>
      <c r="G111" s="15">
        <f>AVERAGEIF(Problems!$C:$C, B111, Problems!$H:$H)</f>
        <v/>
      </c>
    </row>
    <row r="112" ht="20" customHeight="1">
      <c r="A112" s="3" t="inlineStr">
        <is>
          <t>KINGDOM 25 — THE KINGDOM OF GEOMETRY, INTERACTIVE &amp; MISCELLANEOUS</t>
        </is>
      </c>
      <c r="B112" s="3" t="inlineStr">
        <is>
          <t>Pattern 25.2 — Coordinate Geometry</t>
        </is>
      </c>
      <c r="C112" s="2">
        <f>COUNTIF(Problems!$C:$C, B112)</f>
        <v/>
      </c>
      <c r="D112" s="2">
        <f>COUNTIFS(Problems!$C:$C, B112, Problems!$D:$D, "&lt;&gt;UNKNOWN")</f>
        <v/>
      </c>
      <c r="E112" s="2">
        <f>COUNTIFS(Problems!$C:$C, B112, Problems!$A:$A, "Solved")</f>
        <v/>
      </c>
      <c r="F112" s="12">
        <f>IF(C112&gt;0, E112/C112, 0)</f>
        <v/>
      </c>
      <c r="G112" s="13">
        <f>AVERAGEIF(Problems!$C:$C, B112, Problems!$H:$H)</f>
        <v/>
      </c>
    </row>
    <row r="113" ht="20" customHeight="1">
      <c r="A113" s="7" t="inlineStr">
        <is>
          <t>KINGDOM 25 — THE KINGDOM OF GEOMETRY, INTERACTIVE &amp; MISCELLANEOUS</t>
        </is>
      </c>
      <c r="B113" s="7" t="inlineStr">
        <is>
          <t>Pattern 25.3 — Interactive Problems</t>
        </is>
      </c>
      <c r="C113" s="6">
        <f>COUNTIF(Problems!$C:$C, B113)</f>
        <v/>
      </c>
      <c r="D113" s="6">
        <f>COUNTIFS(Problems!$C:$C, B113, Problems!$D:$D, "&lt;&gt;UNKNOWN")</f>
        <v/>
      </c>
      <c r="E113" s="6">
        <f>COUNTIFS(Problems!$C:$C, B113, Problems!$A:$A, "Solved")</f>
        <v/>
      </c>
      <c r="F113" s="14">
        <f>IF(C113&gt;0, E113/C113, 0)</f>
        <v/>
      </c>
      <c r="G113" s="15">
        <f>AVERAGEIF(Problems!$C:$C, B113, Problems!$H:$H)</f>
        <v/>
      </c>
    </row>
    <row r="114" ht="20" customHeight="1">
      <c r="A114" s="3" t="inlineStr">
        <is>
          <t>KINGDOM 25 — THE KINGDOM OF GEOMETRY, INTERACTIVE &amp; MISCELLANEOUS</t>
        </is>
      </c>
      <c r="B114" s="3" t="inlineStr">
        <is>
          <t>Pattern 25.4 — Ad-hoc / Observation</t>
        </is>
      </c>
      <c r="C114" s="2">
        <f>COUNTIF(Problems!$C:$C, B114)</f>
        <v/>
      </c>
      <c r="D114" s="2">
        <f>COUNTIFS(Problems!$C:$C, B114, Problems!$D:$D, "&lt;&gt;UNKNOWN")</f>
        <v/>
      </c>
      <c r="E114" s="2">
        <f>COUNTIFS(Problems!$C:$C, B114, Problems!$A:$A, "Solved")</f>
        <v/>
      </c>
      <c r="F114" s="12">
        <f>IF(C114&gt;0, E114/C114, 0)</f>
        <v/>
      </c>
      <c r="G114" s="13">
        <f>AVERAGEIF(Problems!$C:$C, B114, Problems!$H:$H)</f>
        <v/>
      </c>
    </row>
    <row r="115" ht="20" customHeight="1">
      <c r="A115" s="7" t="inlineStr">
        <is>
          <t>KINGDOM 25 — THE KINGDOM OF GEOMETRY, INTERACTIVE &amp; MISCELLANEOUS</t>
        </is>
      </c>
      <c r="B115" s="7" t="inlineStr">
        <is>
          <t>Pattern 25.5 — Mixed Expert Problems</t>
        </is>
      </c>
      <c r="C115" s="6">
        <f>COUNTIF(Problems!$C:$C, B115)</f>
        <v/>
      </c>
      <c r="D115" s="6">
        <f>COUNTIFS(Problems!$C:$C, B115, Problems!$D:$D, "&lt;&gt;UNKNOWN")</f>
        <v/>
      </c>
      <c r="E115" s="6">
        <f>COUNTIFS(Problems!$C:$C, B115, Problems!$A:$A, "Solved")</f>
        <v/>
      </c>
      <c r="F115" s="14">
        <f>IF(C115&gt;0, E115/C115, 0)</f>
        <v/>
      </c>
      <c r="G115" s="15">
        <f>AVERAGEIF(Problems!$C:$C, B115, Problems!$H:$H)</f>
        <v/>
      </c>
    </row>
  </sheetData>
  <autoFilter ref="A1:G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60" customWidth="1" min="3" max="3"/>
  </cols>
  <sheetData>
    <row r="1" ht="30" customHeight="1">
      <c r="A1" s="16" t="inlineStr">
        <is>
          <t>CodeChef Master Dataset - Platform Analytics</t>
        </is>
      </c>
    </row>
    <row r="2"/>
    <row r="3" ht="25" customHeight="1">
      <c r="A3" s="1" t="inlineStr">
        <is>
          <t>Metric</t>
        </is>
      </c>
      <c r="B3" s="1" t="inlineStr">
        <is>
          <t>Formula / Value</t>
        </is>
      </c>
      <c r="C3" s="1" t="inlineStr">
        <is>
          <t>Description</t>
        </is>
      </c>
    </row>
    <row r="4" ht="22" customHeight="1">
      <c r="A4" s="17" t="inlineStr">
        <is>
          <t>Total Problems</t>
        </is>
      </c>
      <c r="B4" s="18">
        <f>COUNTA(Problems!D2:D10000)</f>
        <v/>
      </c>
      <c r="C4" s="19" t="inlineStr">
        <is>
          <t>Total unique CodeChef problems in curriculum</t>
        </is>
      </c>
    </row>
    <row r="5" ht="22" customHeight="1">
      <c r="A5" s="20" t="inlineStr">
        <is>
          <t>Verified Problems</t>
        </is>
      </c>
      <c r="B5" s="21">
        <f>COUNTIF(Problems!D2:D10000, "&lt;&gt;UNKNOWN")</f>
        <v/>
      </c>
      <c r="C5" s="22" t="inlineStr">
        <is>
          <t>Problems verified with official CodeChef Practice codes</t>
        </is>
      </c>
    </row>
    <row r="6" ht="22" customHeight="1">
      <c r="A6" s="17" t="inlineStr">
        <is>
          <t>Solved Problems</t>
        </is>
      </c>
      <c r="B6" s="18">
        <f>COUNTIF(Problems!A2:A10000, "Solved")</f>
        <v/>
      </c>
      <c r="C6" s="19" t="inlineStr">
        <is>
          <t>Number of problems marked as Solved</t>
        </is>
      </c>
    </row>
    <row r="7" ht="22" customHeight="1">
      <c r="A7" s="20" t="inlineStr">
        <is>
          <t>Remaining Problems</t>
        </is>
      </c>
      <c r="B7" s="21">
        <f>B4-B6</f>
        <v/>
      </c>
      <c r="C7" s="22" t="inlineStr">
        <is>
          <t>Unsolved problems remaining in learning roadmap</t>
        </is>
      </c>
    </row>
    <row r="8" ht="22" customHeight="1">
      <c r="A8" s="17" t="inlineStr">
        <is>
          <t>Total XP Available</t>
        </is>
      </c>
      <c r="B8" s="18">
        <f>SUM(Problems!I2:I10000)</f>
        <v/>
      </c>
      <c r="C8" s="19" t="inlineStr">
        <is>
          <t>Total XP points across all verified problems</t>
        </is>
      </c>
    </row>
    <row r="9" ht="22" customHeight="1">
      <c r="A9" s="20" t="inlineStr">
        <is>
          <t>Average Estimated Time (mins)</t>
        </is>
      </c>
      <c r="B9" s="23">
        <f>AVERAGE(Problems!H2:H10000)</f>
        <v/>
      </c>
      <c r="C9" s="22" t="inlineStr">
        <is>
          <t>Average expected solving duration per problem</t>
        </is>
      </c>
    </row>
    <row r="10" ht="22" customHeight="1">
      <c r="A10" s="17" t="inlineStr">
        <is>
          <t>Max Estimated Time (mins)</t>
        </is>
      </c>
      <c r="B10" s="24">
        <f>MAX(Problems!H2:H10000)</f>
        <v/>
      </c>
      <c r="C10" s="19" t="inlineStr">
        <is>
          <t>Maximum expected duration tier</t>
        </is>
      </c>
    </row>
    <row r="11" ht="22" customHeight="1">
      <c r="A11" s="20" t="inlineStr">
        <is>
          <t>Min Estimated Time (mins)</t>
        </is>
      </c>
      <c r="B11" s="23">
        <f>MIN(Problems!H2:H10000)</f>
        <v/>
      </c>
      <c r="C11" s="22" t="inlineStr">
        <is>
          <t>Minimum expected duration tier</t>
        </is>
      </c>
    </row>
    <row r="12" ht="22" customHeight="1">
      <c r="A12" s="17" t="inlineStr">
        <is>
          <t>Kingdom Completion Rate</t>
        </is>
      </c>
      <c r="B12" s="25">
        <f>AVERAGE('Kingdom Summary'!F2:F100)</f>
        <v/>
      </c>
      <c r="C12" s="19" t="inlineStr">
        <is>
          <t>Average completion % across all kingdoms</t>
        </is>
      </c>
    </row>
    <row r="13" ht="22" customHeight="1">
      <c r="A13" s="20" t="inlineStr">
        <is>
          <t>Pattern Completion Rate</t>
        </is>
      </c>
      <c r="B13" s="26">
        <f>AVERAGE('Pattern Summary'!F2:F500)</f>
        <v/>
      </c>
      <c r="C13" s="22" t="inlineStr">
        <is>
          <t>Average completion % across all patterns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CodeChef Dataset Metadata &amp; Difficulty Tiers</t>
        </is>
      </c>
    </row>
    <row r="3">
      <c r="A3" s="27" t="inlineStr">
        <is>
          <t>Generation Date:</t>
        </is>
      </c>
      <c r="B3" s="28" t="inlineStr">
        <is>
          <t>2026-07-29 22:45:43</t>
        </is>
      </c>
    </row>
    <row r="4">
      <c r="A4" s="27" t="inlineStr">
        <is>
          <t>Platform:</t>
        </is>
      </c>
      <c r="B4" s="28" t="inlineStr">
        <is>
          <t>codechef</t>
        </is>
      </c>
    </row>
    <row r="6">
      <c r="A6" s="29" t="inlineStr">
        <is>
          <t>Difficulty Tier</t>
        </is>
      </c>
      <c r="B6" s="29" t="inlineStr">
        <is>
          <t>Estimated Time (mins)</t>
        </is>
      </c>
      <c r="C6" s="29" t="inlineStr">
        <is>
          <t>XP Points</t>
        </is>
      </c>
    </row>
    <row r="7">
      <c r="A7" s="30" t="inlineStr">
        <is>
          <t>Beginner</t>
        </is>
      </c>
      <c r="B7" s="30" t="n">
        <v>15</v>
      </c>
      <c r="C7" s="30" t="n">
        <v>10</v>
      </c>
    </row>
    <row r="8">
      <c r="A8" s="31" t="inlineStr">
        <is>
          <t>Easy</t>
        </is>
      </c>
      <c r="B8" s="31" t="n">
        <v>25</v>
      </c>
      <c r="C8" s="31" t="n">
        <v>20</v>
      </c>
    </row>
    <row r="9">
      <c r="A9" s="30" t="inlineStr">
        <is>
          <t>Easy-Medium</t>
        </is>
      </c>
      <c r="B9" s="30" t="n">
        <v>40</v>
      </c>
      <c r="C9" s="30" t="n">
        <v>35</v>
      </c>
    </row>
    <row r="10">
      <c r="A10" s="31" t="inlineStr">
        <is>
          <t>Medium</t>
        </is>
      </c>
      <c r="B10" s="31" t="n">
        <v>60</v>
      </c>
      <c r="C10" s="31" t="n">
        <v>55</v>
      </c>
    </row>
    <row r="11">
      <c r="A11" s="30" t="inlineStr">
        <is>
          <t>Medium-Hard</t>
        </is>
      </c>
      <c r="B11" s="30" t="n">
        <v>90</v>
      </c>
      <c r="C11" s="30" t="n">
        <v>80</v>
      </c>
    </row>
    <row r="12">
      <c r="A12" s="31" t="inlineStr">
        <is>
          <t>Hard</t>
        </is>
      </c>
      <c r="B12" s="31" t="n">
        <v>120</v>
      </c>
      <c r="C12" s="31" t="n">
        <v>120</v>
      </c>
    </row>
    <row r="13">
      <c r="A13" s="30" t="inlineStr">
        <is>
          <t>Expert</t>
        </is>
      </c>
      <c r="B13" s="30" t="n">
        <v>180</v>
      </c>
      <c r="C13" s="30" t="n">
        <v>180</v>
      </c>
    </row>
    <row r="16">
      <c r="A16" s="29" t="inlineStr">
        <is>
          <t>Kingdom #</t>
        </is>
      </c>
      <c r="B16" s="29" t="inlineStr">
        <is>
          <t>Kingdom Name</t>
        </is>
      </c>
      <c r="C16" s="29" t="inlineStr">
        <is>
          <t>Total Patterns</t>
        </is>
      </c>
    </row>
    <row r="17">
      <c r="A17" s="30" t="n">
        <v>1</v>
      </c>
      <c r="B17" s="32" t="inlineStr">
        <is>
          <t>KINGDOM 1 — THE KINGDOM OF ARRAYS</t>
        </is>
      </c>
      <c r="C17" s="30" t="n">
        <v>6</v>
      </c>
    </row>
    <row r="18">
      <c r="A18" s="31" t="n">
        <v>2</v>
      </c>
      <c r="B18" s="33" t="inlineStr">
        <is>
          <t>KINGDOM 2 — THE KINGDOM OF PREFIX SUM &amp; DIFFERENCE ARRAY</t>
        </is>
      </c>
      <c r="C18" s="31" t="n">
        <v>4</v>
      </c>
    </row>
    <row r="19">
      <c r="A19" s="30" t="n">
        <v>3</v>
      </c>
      <c r="B19" s="32" t="inlineStr">
        <is>
          <t>KINGDOM 3 — THE KINGDOM OF TWO POINTERS &amp; SLIDING WINDOW</t>
        </is>
      </c>
      <c r="C19" s="30" t="n">
        <v>4</v>
      </c>
    </row>
    <row r="20">
      <c r="A20" s="31" t="n">
        <v>4</v>
      </c>
      <c r="B20" s="33" t="inlineStr">
        <is>
          <t>KINGDOM 4 — THE KINGDOM OF BINARY SEARCH</t>
        </is>
      </c>
      <c r="C20" s="31" t="n">
        <v>4</v>
      </c>
    </row>
    <row r="21">
      <c r="A21" s="30" t="n">
        <v>5</v>
      </c>
      <c r="B21" s="32" t="inlineStr">
        <is>
          <t>KINGDOM 5 — THE KINGDOM OF SORTING &amp; GREEDY</t>
        </is>
      </c>
      <c r="C21" s="30" t="n">
        <v>5</v>
      </c>
    </row>
    <row r="22">
      <c r="A22" s="31" t="n">
        <v>6</v>
      </c>
      <c r="B22" s="33" t="inlineStr">
        <is>
          <t>KINGDOM 6 — THE KINGDOM OF STRINGS</t>
        </is>
      </c>
      <c r="C22" s="31" t="n">
        <v>6</v>
      </c>
    </row>
    <row r="23">
      <c r="A23" s="30" t="n">
        <v>7</v>
      </c>
      <c r="B23" s="32" t="inlineStr">
        <is>
          <t>KINGDOM 7 — THE KINGDOM OF BIT MANIPULATION</t>
        </is>
      </c>
      <c r="C23" s="30" t="n">
        <v>4</v>
      </c>
    </row>
    <row r="24">
      <c r="A24" s="31" t="n">
        <v>8</v>
      </c>
      <c r="B24" s="33" t="inlineStr">
        <is>
          <t>KINGDOM 8 — THE KINGDOM OF MATHEMATICS &amp; NUMBER THEORY</t>
        </is>
      </c>
      <c r="C24" s="31" t="n">
        <v>6</v>
      </c>
    </row>
    <row r="25">
      <c r="A25" s="30" t="n">
        <v>9</v>
      </c>
      <c r="B25" s="32" t="inlineStr">
        <is>
          <t>KINGDOM 9 — THE KINGDOM OF RECURSION &amp; BACKTRACKING</t>
        </is>
      </c>
      <c r="C25" s="30" t="n">
        <v>4</v>
      </c>
    </row>
    <row r="26">
      <c r="A26" s="31" t="n">
        <v>10</v>
      </c>
      <c r="B26" s="33" t="inlineStr">
        <is>
          <t>KINGDOM 10 — THE KINGDOM OF STACK &amp; MONOTONIC STACK</t>
        </is>
      </c>
      <c r="C26" s="31" t="n">
        <v>4</v>
      </c>
    </row>
    <row r="27">
      <c r="A27" s="30" t="n">
        <v>11</v>
      </c>
      <c r="B27" s="32" t="inlineStr">
        <is>
          <t>KINGDOM 11 — THE KINGDOM OF QUEUE &amp; DEQUE</t>
        </is>
      </c>
      <c r="C27" s="30" t="n">
        <v>4</v>
      </c>
    </row>
    <row r="28">
      <c r="A28" s="31" t="n">
        <v>12</v>
      </c>
      <c r="B28" s="33" t="inlineStr">
        <is>
          <t>KINGDOM 12 — THE KINGDOM OF LINKED LIST &amp; SIMULATION</t>
        </is>
      </c>
      <c r="C28" s="31" t="n">
        <v>4</v>
      </c>
    </row>
    <row r="29">
      <c r="A29" s="30" t="n">
        <v>13</v>
      </c>
      <c r="B29" s="32" t="inlineStr">
        <is>
          <t>KINGDOM 13 — THE KINGDOM OF TREES</t>
        </is>
      </c>
      <c r="C29" s="30" t="n">
        <v>6</v>
      </c>
    </row>
    <row r="30">
      <c r="A30" s="31" t="n">
        <v>14</v>
      </c>
      <c r="B30" s="33" t="inlineStr">
        <is>
          <t>KINGDOM 14 — THE KINGDOM OF GRAPH TRAVERSAL (DFS &amp; BFS)</t>
        </is>
      </c>
      <c r="C30" s="31" t="n">
        <v>5</v>
      </c>
    </row>
    <row r="31">
      <c r="A31" s="30" t="n">
        <v>15</v>
      </c>
      <c r="B31" s="32" t="inlineStr">
        <is>
          <t>KINGDOM 15 — THE KINGDOM OF SHORTEST PATHS</t>
        </is>
      </c>
      <c r="C31" s="30" t="n">
        <v>4</v>
      </c>
    </row>
    <row r="32">
      <c r="A32" s="31" t="n">
        <v>16</v>
      </c>
      <c r="B32" s="33" t="inlineStr">
        <is>
          <t>KINGDOM 16 — THE KINGDOM OF DSU &amp; MINIMUM SPANNING TREE</t>
        </is>
      </c>
      <c r="C32" s="31" t="n">
        <v>4</v>
      </c>
    </row>
    <row r="33">
      <c r="A33" s="30" t="n">
        <v>17</v>
      </c>
      <c r="B33" s="32" t="inlineStr">
        <is>
          <t>KINGDOM 17 — THE KINGDOM OF DYNAMIC PROGRAMMING</t>
        </is>
      </c>
      <c r="C33" s="30" t="n">
        <v>10</v>
      </c>
    </row>
    <row r="34">
      <c r="A34" s="31" t="n">
        <v>18</v>
      </c>
      <c r="B34" s="33" t="inlineStr">
        <is>
          <t>KINGDOM 18 — THE KINGDOM OF DIVIDE &amp; CONQUER</t>
        </is>
      </c>
      <c r="C34" s="31" t="n">
        <v>3</v>
      </c>
    </row>
    <row r="35">
      <c r="A35" s="30" t="n">
        <v>19</v>
      </c>
      <c r="B35" s="32" t="inlineStr">
        <is>
          <t>KINGDOM 19 — THE KINGDOM OF SEGMENT TREES</t>
        </is>
      </c>
      <c r="C35" s="30" t="n">
        <v>6</v>
      </c>
    </row>
    <row r="36">
      <c r="A36" s="31" t="n">
        <v>20</v>
      </c>
      <c r="B36" s="33" t="inlineStr">
        <is>
          <t>KINGDOM 20 — THE KINGDOM OF FENWICK TREE (BIT)</t>
        </is>
      </c>
      <c r="C36" s="31" t="n">
        <v>4</v>
      </c>
    </row>
    <row r="37">
      <c r="A37" s="30" t="n">
        <v>21</v>
      </c>
      <c r="B37" s="32" t="inlineStr">
        <is>
          <t>KINGDOM 21 — THE KINGDOM OF TRIE &amp; STRING STRUCTURES</t>
        </is>
      </c>
      <c r="C37" s="30" t="n">
        <v>3</v>
      </c>
    </row>
    <row r="38">
      <c r="A38" s="31" t="n">
        <v>22</v>
      </c>
      <c r="B38" s="33" t="inlineStr">
        <is>
          <t>KINGDOM 22 — THE KINGDOM OF GEOMETRY &amp; COMPUTATIONAL GEOMETRY</t>
        </is>
      </c>
      <c r="C38" s="31" t="n">
        <v>3</v>
      </c>
    </row>
    <row r="39">
      <c r="A39" s="30" t="n">
        <v>23</v>
      </c>
      <c r="B39" s="32" t="inlineStr">
        <is>
          <t>KINGDOM 23 — THE KINGDOM OF GAME THEORY &amp; NIM</t>
        </is>
      </c>
      <c r="C39" s="30" t="n">
        <v>3</v>
      </c>
    </row>
    <row r="40">
      <c r="A40" s="31" t="n">
        <v>24</v>
      </c>
      <c r="B40" s="33" t="inlineStr">
        <is>
          <t>KINGDOM 24 — THE KINGDOM OF CONSTRUCTIVE ALGORITHMS</t>
        </is>
      </c>
      <c r="C40" s="31" t="n">
        <v>3</v>
      </c>
    </row>
    <row r="41">
      <c r="A41" s="30" t="n">
        <v>25</v>
      </c>
      <c r="B41" s="32" t="inlineStr">
        <is>
          <t>KINGDOM 25 — THE KINGDOM OF GEOMETRY, INTERACTIVE &amp; MISCELLANEOUS</t>
        </is>
      </c>
      <c r="C41" s="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2026-07-29T17:15:42Z</dcterms:created>
  <dcterms:modified xsi:type="dcterms:W3CDTF">2026-07-29T17:15:43Z</dcterms:modified>
</cp:coreProperties>
</file>