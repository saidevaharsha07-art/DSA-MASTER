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view 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5">
    <fill>
      <patternFill/>
    </fill>
    <fill>
      <patternFill patternType="gray125"/>
    </fill>
    <fill>
      <patternFill patternType="solid">
        <fgColor rgb="001F4E79"/>
        <bgColor rgb="001F4E79"/>
      </patternFill>
    </fill>
    <fill>
      <patternFill patternType="solid">
        <fgColor rgb="00F2F4F7"/>
        <bgColor rgb="00F2F4F7"/>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pivotButton="0" quotePrefix="0" xfId="0"/>
    <xf numFmtId="0" fontId="2" fillId="4"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68"/>
  <sheetViews>
    <sheetView showGridLines="1" workbookViewId="0">
      <selection activeCell="A1" sqref="A1"/>
    </sheetView>
  </sheetViews>
  <sheetFormatPr baseColWidth="8" defaultRowHeight="15"/>
  <cols>
    <col width="22" customWidth="1" min="1" max="1"/>
    <col width="41" customWidth="1" min="2" max="2"/>
    <col width="224" customWidth="1" min="3" max="3"/>
    <col width="110" customWidth="1" min="4" max="4"/>
    <col width="16" customWidth="1" min="5" max="5"/>
    <col width="55" customWidth="1" min="6" max="6"/>
    <col width="15" customWidth="1" min="7" max="7"/>
    <col width="20" customWidth="1" min="8" max="8"/>
    <col width="19" customWidth="1" min="9" max="9"/>
    <col width="15" customWidth="1" min="10" max="10"/>
    <col width="17" customWidth="1" min="11" max="11"/>
    <col width="41" customWidth="1" min="12" max="12"/>
    <col width="12" customWidth="1" min="13" max="13"/>
    <col width="14" customWidth="1" min="14" max="14"/>
    <col width="14" customWidth="1" min="15" max="15"/>
  </cols>
  <sheetData>
    <row r="1">
      <c r="A1" s="1" t="inlineStr">
        <is>
          <t>Section</t>
        </is>
      </c>
      <c r="B1" s="1" t="inlineStr">
        <is>
          <t>Practice Path</t>
        </is>
      </c>
      <c r="C1" s="1" t="inlineStr">
        <is>
          <t>Description</t>
        </is>
      </c>
      <c r="D1" s="1" t="inlineStr">
        <is>
          <t>Lesson</t>
        </is>
      </c>
      <c r="E1" s="1" t="inlineStr">
        <is>
          <t>Problem Order</t>
        </is>
      </c>
      <c r="F1" s="1" t="inlineStr">
        <is>
          <t>Problem Name</t>
        </is>
      </c>
      <c r="G1" s="1" t="inlineStr">
        <is>
          <t>Problem Code</t>
        </is>
      </c>
      <c r="H1" s="1" t="inlineStr">
        <is>
          <t>Difficulty Rating</t>
        </is>
      </c>
      <c r="I1" s="1" t="inlineStr">
        <is>
          <t>Difficulty Label</t>
        </is>
      </c>
      <c r="J1" s="1" t="inlineStr">
        <is>
          <t>Official URL</t>
        </is>
      </c>
      <c r="K1" s="1" t="inlineStr">
        <is>
          <t>Estimated Time</t>
        </is>
      </c>
      <c r="L1" s="1" t="inlineStr">
        <is>
          <t>Tags</t>
        </is>
      </c>
      <c r="M1" s="1" t="inlineStr">
        <is>
          <t>Companies</t>
        </is>
      </c>
      <c r="N1" s="1" t="inlineStr">
        <is>
          <t>Certificate</t>
        </is>
      </c>
      <c r="O1" s="1" t="inlineStr">
        <is>
          <t>Status</t>
        </is>
      </c>
    </row>
    <row r="2">
      <c r="A2" s="2" t="inlineStr">
        <is>
          <t>Interview Questions</t>
        </is>
      </c>
      <c r="B2" s="2" t="inlineStr">
        <is>
          <t>Python Interview Questions</t>
        </is>
      </c>
      <c r="C2" s="2" t="inlineStr">
        <is>
          <t>Practice these 118 Python Interview Questions and prepare for freshers interviews. Use the detailed explanations for MCQs whose answer you don't know.</t>
        </is>
      </c>
      <c r="D2" s="2" t="inlineStr">
        <is>
          <t>Basic Python syntax and data types - Basic Python syntax and data types</t>
        </is>
      </c>
      <c r="E2" s="2" t="n">
        <v>1</v>
      </c>
      <c r="F2" s="2" t="inlineStr">
        <is>
          <t>Variable Assignment</t>
        </is>
      </c>
      <c r="G2" s="2" t="inlineStr">
        <is>
          <t>PYMCQ01</t>
        </is>
      </c>
      <c r="H2" s="2" t="inlineStr"/>
      <c r="I2" s="2" t="inlineStr">
        <is>
          <t>Easy</t>
        </is>
      </c>
      <c r="J2" s="3">
        <f>HYPERLINK("https://www.codechef.com/problems/PYMCQ01", "https://www.codechef.com/problems/PYMCQ01")</f>
        <v/>
      </c>
      <c r="K2" s="2" t="inlineStr"/>
      <c r="L2" s="2" t="inlineStr"/>
      <c r="M2" s="2" t="inlineStr"/>
      <c r="N2" s="2" t="inlineStr">
        <is>
          <t>No</t>
        </is>
      </c>
      <c r="O2" s="2" t="inlineStr">
        <is>
          <t>Unattempted</t>
        </is>
      </c>
    </row>
    <row r="3">
      <c r="A3" s="4" t="inlineStr">
        <is>
          <t>Interview Questions</t>
        </is>
      </c>
      <c r="B3" s="4" t="inlineStr">
        <is>
          <t>Python Interview Questions</t>
        </is>
      </c>
      <c r="C3" s="4" t="inlineStr">
        <is>
          <t>Practice these 118 Python Interview Questions and prepare for freshers interviews. Use the detailed explanations for MCQs whose answer you don't know.</t>
        </is>
      </c>
      <c r="D3" s="4" t="inlineStr">
        <is>
          <t>Basic Python syntax and data types - Basic Python syntax and data types</t>
        </is>
      </c>
      <c r="E3" s="4" t="n">
        <v>2</v>
      </c>
      <c r="F3" s="4" t="inlineStr">
        <is>
          <t>Numeric Types</t>
        </is>
      </c>
      <c r="G3" s="4" t="inlineStr">
        <is>
          <t>PYMCQ02</t>
        </is>
      </c>
      <c r="H3" s="4" t="inlineStr"/>
      <c r="I3" s="4" t="inlineStr">
        <is>
          <t>Easy</t>
        </is>
      </c>
      <c r="J3" s="5">
        <f>HYPERLINK("https://www.codechef.com/problems/PYMCQ02", "https://www.codechef.com/problems/PYMCQ02")</f>
        <v/>
      </c>
      <c r="K3" s="4" t="inlineStr"/>
      <c r="L3" s="4" t="inlineStr"/>
      <c r="M3" s="4" t="inlineStr"/>
      <c r="N3" s="4" t="inlineStr">
        <is>
          <t>No</t>
        </is>
      </c>
      <c r="O3" s="4" t="inlineStr">
        <is>
          <t>Unattempted</t>
        </is>
      </c>
    </row>
    <row r="4">
      <c r="A4" s="2" t="inlineStr">
        <is>
          <t>Interview Questions</t>
        </is>
      </c>
      <c r="B4" s="2" t="inlineStr">
        <is>
          <t>Python Interview Questions</t>
        </is>
      </c>
      <c r="C4" s="2" t="inlineStr">
        <is>
          <t>Practice these 118 Python Interview Questions and prepare for freshers interviews. Use the detailed explanations for MCQs whose answer you don't know.</t>
        </is>
      </c>
      <c r="D4" s="2" t="inlineStr">
        <is>
          <t>Basic Python syntax and data types - Basic Python syntax and data types</t>
        </is>
      </c>
      <c r="E4" s="2" t="n">
        <v>3</v>
      </c>
      <c r="F4" s="2" t="inlineStr">
        <is>
          <t>String Operations</t>
        </is>
      </c>
      <c r="G4" s="2" t="inlineStr">
        <is>
          <t>PYMCQ03</t>
        </is>
      </c>
      <c r="H4" s="2" t="inlineStr"/>
      <c r="I4" s="2" t="inlineStr">
        <is>
          <t>Easy</t>
        </is>
      </c>
      <c r="J4" s="3">
        <f>HYPERLINK("https://www.codechef.com/problems/PYMCQ03", "https://www.codechef.com/problems/PYMCQ03")</f>
        <v/>
      </c>
      <c r="K4" s="2" t="inlineStr"/>
      <c r="L4" s="2" t="inlineStr"/>
      <c r="M4" s="2" t="inlineStr"/>
      <c r="N4" s="2" t="inlineStr">
        <is>
          <t>No</t>
        </is>
      </c>
      <c r="O4" s="2" t="inlineStr">
        <is>
          <t>Unattempted</t>
        </is>
      </c>
    </row>
    <row r="5">
      <c r="A5" s="4" t="inlineStr">
        <is>
          <t>Interview Questions</t>
        </is>
      </c>
      <c r="B5" s="4" t="inlineStr">
        <is>
          <t>Python Interview Questions</t>
        </is>
      </c>
      <c r="C5" s="4" t="inlineStr">
        <is>
          <t>Practice these 118 Python Interview Questions and prepare for freshers interviews. Use the detailed explanations for MCQs whose answer you don't know.</t>
        </is>
      </c>
      <c r="D5" s="4" t="inlineStr">
        <is>
          <t>Basic Python syntax and data types - Basic Python syntax and data types</t>
        </is>
      </c>
      <c r="E5" s="4" t="n">
        <v>4</v>
      </c>
      <c r="F5" s="4" t="inlineStr">
        <is>
          <t>Boolean Operations</t>
        </is>
      </c>
      <c r="G5" s="4" t="inlineStr">
        <is>
          <t>PYMCQ04</t>
        </is>
      </c>
      <c r="H5" s="4" t="inlineStr"/>
      <c r="I5" s="4" t="inlineStr">
        <is>
          <t>Easy</t>
        </is>
      </c>
      <c r="J5" s="5">
        <f>HYPERLINK("https://www.codechef.com/problems/PYMCQ04", "https://www.codechef.com/problems/PYMCQ04")</f>
        <v/>
      </c>
      <c r="K5" s="4" t="inlineStr"/>
      <c r="L5" s="4" t="inlineStr"/>
      <c r="M5" s="4" t="inlineStr"/>
      <c r="N5" s="4" t="inlineStr">
        <is>
          <t>No</t>
        </is>
      </c>
      <c r="O5" s="4" t="inlineStr">
        <is>
          <t>Unattempted</t>
        </is>
      </c>
    </row>
    <row r="6">
      <c r="A6" s="2" t="inlineStr">
        <is>
          <t>Interview Questions</t>
        </is>
      </c>
      <c r="B6" s="2" t="inlineStr">
        <is>
          <t>Python Interview Questions</t>
        </is>
      </c>
      <c r="C6" s="2" t="inlineStr">
        <is>
          <t>Practice these 118 Python Interview Questions and prepare for freshers interviews. Use the detailed explanations for MCQs whose answer you don't know.</t>
        </is>
      </c>
      <c r="D6" s="2" t="inlineStr">
        <is>
          <t>Basic Python syntax and data types - Basic Python syntax and data types</t>
        </is>
      </c>
      <c r="E6" s="2" t="n">
        <v>5</v>
      </c>
      <c r="F6" s="2" t="inlineStr">
        <is>
          <t>Type Conversion</t>
        </is>
      </c>
      <c r="G6" s="2" t="inlineStr">
        <is>
          <t>PYMCQ05</t>
        </is>
      </c>
      <c r="H6" s="2" t="inlineStr"/>
      <c r="I6" s="2" t="inlineStr">
        <is>
          <t>Easy</t>
        </is>
      </c>
      <c r="J6" s="3">
        <f>HYPERLINK("https://www.codechef.com/problems/PYMCQ05", "https://www.codechef.com/problems/PYMCQ05")</f>
        <v/>
      </c>
      <c r="K6" s="2" t="inlineStr"/>
      <c r="L6" s="2" t="inlineStr"/>
      <c r="M6" s="2" t="inlineStr"/>
      <c r="N6" s="2" t="inlineStr">
        <is>
          <t>No</t>
        </is>
      </c>
      <c r="O6" s="2" t="inlineStr">
        <is>
          <t>Unattempted</t>
        </is>
      </c>
    </row>
    <row r="7">
      <c r="A7" s="4" t="inlineStr">
        <is>
          <t>Interview Questions</t>
        </is>
      </c>
      <c r="B7" s="4" t="inlineStr">
        <is>
          <t>Python Interview Questions</t>
        </is>
      </c>
      <c r="C7" s="4" t="inlineStr">
        <is>
          <t>Practice these 118 Python Interview Questions and prepare for freshers interviews. Use the detailed explanations for MCQs whose answer you don't know.</t>
        </is>
      </c>
      <c r="D7" s="4" t="inlineStr">
        <is>
          <t>Basic Python syntax and data types - Basic Python syntax and data types</t>
        </is>
      </c>
      <c r="E7" s="4" t="n">
        <v>6</v>
      </c>
      <c r="F7" s="4" t="inlineStr">
        <is>
          <t>String Concatenation</t>
        </is>
      </c>
      <c r="G7" s="4" t="inlineStr">
        <is>
          <t>PYMCQ06</t>
        </is>
      </c>
      <c r="H7" s="4" t="inlineStr"/>
      <c r="I7" s="4" t="inlineStr">
        <is>
          <t>Easy</t>
        </is>
      </c>
      <c r="J7" s="5">
        <f>HYPERLINK("https://www.codechef.com/problems/PYMCQ06", "https://www.codechef.com/problems/PYMCQ06")</f>
        <v/>
      </c>
      <c r="K7" s="4" t="inlineStr"/>
      <c r="L7" s="4" t="inlineStr"/>
      <c r="M7" s="4" t="inlineStr"/>
      <c r="N7" s="4" t="inlineStr">
        <is>
          <t>No</t>
        </is>
      </c>
      <c r="O7" s="4" t="inlineStr">
        <is>
          <t>Unattempted</t>
        </is>
      </c>
    </row>
    <row r="8">
      <c r="A8" s="2" t="inlineStr">
        <is>
          <t>Interview Questions</t>
        </is>
      </c>
      <c r="B8" s="2" t="inlineStr">
        <is>
          <t>Python Interview Questions</t>
        </is>
      </c>
      <c r="C8" s="2" t="inlineStr">
        <is>
          <t>Practice these 118 Python Interview Questions and prepare for freshers interviews. Use the detailed explanations for MCQs whose answer you don't know.</t>
        </is>
      </c>
      <c r="D8" s="2" t="inlineStr">
        <is>
          <t>Basic Python syntax and data types - Basic Python syntax and data types</t>
        </is>
      </c>
      <c r="E8" s="2" t="n">
        <v>7</v>
      </c>
      <c r="F8" s="2" t="inlineStr">
        <is>
          <t>Multiple Assignment</t>
        </is>
      </c>
      <c r="G8" s="2" t="inlineStr">
        <is>
          <t>PYMCQ07</t>
        </is>
      </c>
      <c r="H8" s="2" t="inlineStr"/>
      <c r="I8" s="2" t="inlineStr">
        <is>
          <t>Easy</t>
        </is>
      </c>
      <c r="J8" s="3">
        <f>HYPERLINK("https://www.codechef.com/problems/PYMCQ07", "https://www.codechef.com/problems/PYMCQ07")</f>
        <v/>
      </c>
      <c r="K8" s="2" t="inlineStr"/>
      <c r="L8" s="2" t="inlineStr"/>
      <c r="M8" s="2" t="inlineStr"/>
      <c r="N8" s="2" t="inlineStr">
        <is>
          <t>No</t>
        </is>
      </c>
      <c r="O8" s="2" t="inlineStr">
        <is>
          <t>Unattempted</t>
        </is>
      </c>
    </row>
    <row r="9">
      <c r="A9" s="4" t="inlineStr">
        <is>
          <t>Interview Questions</t>
        </is>
      </c>
      <c r="B9" s="4" t="inlineStr">
        <is>
          <t>Python Interview Questions</t>
        </is>
      </c>
      <c r="C9" s="4" t="inlineStr">
        <is>
          <t>Practice these 118 Python Interview Questions and prepare for freshers interviews. Use the detailed explanations for MCQs whose answer you don't know.</t>
        </is>
      </c>
      <c r="D9" s="4" t="inlineStr">
        <is>
          <t>Basic Python syntax and data types - Basic Python syntax and data types</t>
        </is>
      </c>
      <c r="E9" s="4" t="n">
        <v>8</v>
      </c>
      <c r="F9" s="4" t="inlineStr">
        <is>
          <t>Type Checking</t>
        </is>
      </c>
      <c r="G9" s="4" t="inlineStr">
        <is>
          <t>PYMCQ08</t>
        </is>
      </c>
      <c r="H9" s="4" t="inlineStr"/>
      <c r="I9" s="4" t="inlineStr">
        <is>
          <t>Easy</t>
        </is>
      </c>
      <c r="J9" s="5">
        <f>HYPERLINK("https://www.codechef.com/problems/PYMCQ08", "https://www.codechef.com/problems/PYMCQ08")</f>
        <v/>
      </c>
      <c r="K9" s="4" t="inlineStr"/>
      <c r="L9" s="4" t="inlineStr"/>
      <c r="M9" s="4" t="inlineStr"/>
      <c r="N9" s="4" t="inlineStr">
        <is>
          <t>No</t>
        </is>
      </c>
      <c r="O9" s="4" t="inlineStr">
        <is>
          <t>Unattempted</t>
        </is>
      </c>
    </row>
    <row r="10">
      <c r="A10" s="2" t="inlineStr">
        <is>
          <t>Interview Questions</t>
        </is>
      </c>
      <c r="B10" s="2" t="inlineStr">
        <is>
          <t>Python Interview Questions</t>
        </is>
      </c>
      <c r="C10" s="2" t="inlineStr">
        <is>
          <t>Practice these 118 Python Interview Questions and prepare for freshers interviews. Use the detailed explanations for MCQs whose answer you don't know.</t>
        </is>
      </c>
      <c r="D10" s="2" t="inlineStr">
        <is>
          <t>Basic Python syntax and data types - Basic Python syntax and data types</t>
        </is>
      </c>
      <c r="E10" s="2" t="n">
        <v>9</v>
      </c>
      <c r="F10" s="2" t="inlineStr">
        <is>
          <t>String Immutability</t>
        </is>
      </c>
      <c r="G10" s="2" t="inlineStr">
        <is>
          <t>PYMCQ09</t>
        </is>
      </c>
      <c r="H10" s="2" t="inlineStr"/>
      <c r="I10" s="2" t="inlineStr">
        <is>
          <t>Easy</t>
        </is>
      </c>
      <c r="J10" s="3">
        <f>HYPERLINK("https://www.codechef.com/problems/PYMCQ09", "https://www.codechef.com/problems/PYMCQ09")</f>
        <v/>
      </c>
      <c r="K10" s="2" t="inlineStr"/>
      <c r="L10" s="2" t="inlineStr"/>
      <c r="M10" s="2" t="inlineStr"/>
      <c r="N10" s="2" t="inlineStr">
        <is>
          <t>No</t>
        </is>
      </c>
      <c r="O10" s="2" t="inlineStr">
        <is>
          <t>Unattempted</t>
        </is>
      </c>
    </row>
    <row r="11">
      <c r="A11" s="4" t="inlineStr">
        <is>
          <t>Interview Questions</t>
        </is>
      </c>
      <c r="B11" s="4" t="inlineStr">
        <is>
          <t>Python Interview Questions</t>
        </is>
      </c>
      <c r="C11" s="4" t="inlineStr">
        <is>
          <t>Practice these 118 Python Interview Questions and prepare for freshers interviews. Use the detailed explanations for MCQs whose answer you don't know.</t>
        </is>
      </c>
      <c r="D11" s="4" t="inlineStr">
        <is>
          <t>Basic Python syntax and data types - Basic Python syntax and data types</t>
        </is>
      </c>
      <c r="E11" s="4" t="n">
        <v>10</v>
      </c>
      <c r="F11" s="4" t="inlineStr">
        <is>
          <t>Numeric Operations</t>
        </is>
      </c>
      <c r="G11" s="4" t="inlineStr">
        <is>
          <t>PYMCQ10</t>
        </is>
      </c>
      <c r="H11" s="4" t="inlineStr"/>
      <c r="I11" s="4" t="inlineStr">
        <is>
          <t>Easy</t>
        </is>
      </c>
      <c r="J11" s="5">
        <f>HYPERLINK("https://www.codechef.com/problems/PYMCQ10", "https://www.codechef.com/problems/PYMCQ10")</f>
        <v/>
      </c>
      <c r="K11" s="4" t="inlineStr"/>
      <c r="L11" s="4" t="inlineStr"/>
      <c r="M11" s="4" t="inlineStr"/>
      <c r="N11" s="4" t="inlineStr">
        <is>
          <t>No</t>
        </is>
      </c>
      <c r="O11" s="4" t="inlineStr">
        <is>
          <t>Unattempted</t>
        </is>
      </c>
    </row>
    <row r="12">
      <c r="A12" s="2" t="inlineStr">
        <is>
          <t>Interview Questions</t>
        </is>
      </c>
      <c r="B12" s="2" t="inlineStr">
        <is>
          <t>Python Interview Questions</t>
        </is>
      </c>
      <c r="C12" s="2" t="inlineStr">
        <is>
          <t>Practice these 118 Python Interview Questions and prepare for freshers interviews. Use the detailed explanations for MCQs whose answer you don't know.</t>
        </is>
      </c>
      <c r="D12" s="2" t="inlineStr">
        <is>
          <t>Control flow - Control flow</t>
        </is>
      </c>
      <c r="E12" s="2" t="n">
        <v>11</v>
      </c>
      <c r="F12" s="2" t="inlineStr">
        <is>
          <t>Conditional Execution</t>
        </is>
      </c>
      <c r="G12" s="2" t="inlineStr">
        <is>
          <t>PYMCQ11</t>
        </is>
      </c>
      <c r="H12" s="2" t="inlineStr"/>
      <c r="I12" s="2" t="inlineStr">
        <is>
          <t>Easy</t>
        </is>
      </c>
      <c r="J12" s="3">
        <f>HYPERLINK("https://www.codechef.com/problems/PYMCQ11", "https://www.codechef.com/problems/PYMCQ11")</f>
        <v/>
      </c>
      <c r="K12" s="2" t="inlineStr"/>
      <c r="L12" s="2" t="inlineStr"/>
      <c r="M12" s="2" t="inlineStr"/>
      <c r="N12" s="2" t="inlineStr">
        <is>
          <t>No</t>
        </is>
      </c>
      <c r="O12" s="2" t="inlineStr">
        <is>
          <t>Unattempted</t>
        </is>
      </c>
    </row>
    <row r="13">
      <c r="A13" s="4" t="inlineStr">
        <is>
          <t>Interview Questions</t>
        </is>
      </c>
      <c r="B13" s="4" t="inlineStr">
        <is>
          <t>Python Interview Questions</t>
        </is>
      </c>
      <c r="C13" s="4" t="inlineStr">
        <is>
          <t>Practice these 118 Python Interview Questions and prepare for freshers interviews. Use the detailed explanations for MCQs whose answer you don't know.</t>
        </is>
      </c>
      <c r="D13" s="4" t="inlineStr">
        <is>
          <t>Control flow - Control flow</t>
        </is>
      </c>
      <c r="E13" s="4" t="n">
        <v>12</v>
      </c>
      <c r="F13" s="4" t="inlineStr">
        <is>
          <t>For Loop Iteration</t>
        </is>
      </c>
      <c r="G13" s="4" t="inlineStr">
        <is>
          <t>PYMCQ12</t>
        </is>
      </c>
      <c r="H13" s="4" t="inlineStr"/>
      <c r="I13" s="4" t="inlineStr">
        <is>
          <t>Easy</t>
        </is>
      </c>
      <c r="J13" s="5">
        <f>HYPERLINK("https://www.codechef.com/problems/PYMCQ12", "https://www.codechef.com/problems/PYMCQ12")</f>
        <v/>
      </c>
      <c r="K13" s="4" t="inlineStr"/>
      <c r="L13" s="4" t="inlineStr"/>
      <c r="M13" s="4" t="inlineStr"/>
      <c r="N13" s="4" t="inlineStr">
        <is>
          <t>No</t>
        </is>
      </c>
      <c r="O13" s="4" t="inlineStr">
        <is>
          <t>Unattempted</t>
        </is>
      </c>
    </row>
    <row r="14">
      <c r="A14" s="2" t="inlineStr">
        <is>
          <t>Interview Questions</t>
        </is>
      </c>
      <c r="B14" s="2" t="inlineStr">
        <is>
          <t>Python Interview Questions</t>
        </is>
      </c>
      <c r="C14" s="2" t="inlineStr">
        <is>
          <t>Practice these 118 Python Interview Questions and prepare for freshers interviews. Use the detailed explanations for MCQs whose answer you don't know.</t>
        </is>
      </c>
      <c r="D14" s="2" t="inlineStr">
        <is>
          <t>Control flow - Control flow</t>
        </is>
      </c>
      <c r="E14" s="2" t="n">
        <v>13</v>
      </c>
      <c r="F14" s="2" t="inlineStr">
        <is>
          <t>While Loop Execution</t>
        </is>
      </c>
      <c r="G14" s="2" t="inlineStr">
        <is>
          <t>PYMCQ13</t>
        </is>
      </c>
      <c r="H14" s="2" t="inlineStr"/>
      <c r="I14" s="2" t="inlineStr">
        <is>
          <t>Easy</t>
        </is>
      </c>
      <c r="J14" s="3">
        <f>HYPERLINK("https://www.codechef.com/problems/PYMCQ13", "https://www.codechef.com/problems/PYMCQ13")</f>
        <v/>
      </c>
      <c r="K14" s="2" t="inlineStr"/>
      <c r="L14" s="2" t="inlineStr"/>
      <c r="M14" s="2" t="inlineStr"/>
      <c r="N14" s="2" t="inlineStr">
        <is>
          <t>No</t>
        </is>
      </c>
      <c r="O14" s="2" t="inlineStr">
        <is>
          <t>Unattempted</t>
        </is>
      </c>
    </row>
    <row r="15">
      <c r="A15" s="4" t="inlineStr">
        <is>
          <t>Interview Questions</t>
        </is>
      </c>
      <c r="B15" s="4" t="inlineStr">
        <is>
          <t>Python Interview Questions</t>
        </is>
      </c>
      <c r="C15" s="4" t="inlineStr">
        <is>
          <t>Practice these 118 Python Interview Questions and prepare for freshers interviews. Use the detailed explanations for MCQs whose answer you don't know.</t>
        </is>
      </c>
      <c r="D15" s="4" t="inlineStr">
        <is>
          <t>Control flow - Control flow</t>
        </is>
      </c>
      <c r="E15" s="4" t="n">
        <v>14</v>
      </c>
      <c r="F15" s="4" t="inlineStr">
        <is>
          <t>Break Statement</t>
        </is>
      </c>
      <c r="G15" s="4" t="inlineStr">
        <is>
          <t>PYMCQ14</t>
        </is>
      </c>
      <c r="H15" s="4" t="inlineStr"/>
      <c r="I15" s="4" t="inlineStr">
        <is>
          <t>Easy</t>
        </is>
      </c>
      <c r="J15" s="5">
        <f>HYPERLINK("https://www.codechef.com/problems/PYMCQ14", "https://www.codechef.com/problems/PYMCQ14")</f>
        <v/>
      </c>
      <c r="K15" s="4" t="inlineStr"/>
      <c r="L15" s="4" t="inlineStr"/>
      <c r="M15" s="4" t="inlineStr"/>
      <c r="N15" s="4" t="inlineStr">
        <is>
          <t>No</t>
        </is>
      </c>
      <c r="O15" s="4" t="inlineStr">
        <is>
          <t>Unattempted</t>
        </is>
      </c>
    </row>
    <row r="16">
      <c r="A16" s="2" t="inlineStr">
        <is>
          <t>Interview Questions</t>
        </is>
      </c>
      <c r="B16" s="2" t="inlineStr">
        <is>
          <t>Python Interview Questions</t>
        </is>
      </c>
      <c r="C16" s="2" t="inlineStr">
        <is>
          <t>Practice these 118 Python Interview Questions and prepare for freshers interviews. Use the detailed explanations for MCQs whose answer you don't know.</t>
        </is>
      </c>
      <c r="D16" s="2" t="inlineStr">
        <is>
          <t>Control flow - Control flow</t>
        </is>
      </c>
      <c r="E16" s="2" t="n">
        <v>15</v>
      </c>
      <c r="F16" s="2" t="inlineStr">
        <is>
          <t>Continue Statement</t>
        </is>
      </c>
      <c r="G16" s="2" t="inlineStr">
        <is>
          <t>PYMCQ15</t>
        </is>
      </c>
      <c r="H16" s="2" t="inlineStr"/>
      <c r="I16" s="2" t="inlineStr">
        <is>
          <t>Easy</t>
        </is>
      </c>
      <c r="J16" s="3">
        <f>HYPERLINK("https://www.codechef.com/problems/PYMCQ15", "https://www.codechef.com/problems/PYMCQ15")</f>
        <v/>
      </c>
      <c r="K16" s="2" t="inlineStr"/>
      <c r="L16" s="2" t="inlineStr"/>
      <c r="M16" s="2" t="inlineStr"/>
      <c r="N16" s="2" t="inlineStr">
        <is>
          <t>No</t>
        </is>
      </c>
      <c r="O16" s="2" t="inlineStr">
        <is>
          <t>Unattempted</t>
        </is>
      </c>
    </row>
    <row r="17">
      <c r="A17" s="4" t="inlineStr">
        <is>
          <t>Interview Questions</t>
        </is>
      </c>
      <c r="B17" s="4" t="inlineStr">
        <is>
          <t>Python Interview Questions</t>
        </is>
      </c>
      <c r="C17" s="4" t="inlineStr">
        <is>
          <t>Practice these 118 Python Interview Questions and prepare for freshers interviews. Use the detailed explanations for MCQs whose answer you don't know.</t>
        </is>
      </c>
      <c r="D17" s="4" t="inlineStr">
        <is>
          <t>Control flow - Control flow</t>
        </is>
      </c>
      <c r="E17" s="4" t="n">
        <v>16</v>
      </c>
      <c r="F17" s="4" t="inlineStr">
        <is>
          <t>Range Function</t>
        </is>
      </c>
      <c r="G17" s="4" t="inlineStr">
        <is>
          <t>PYMCQ16</t>
        </is>
      </c>
      <c r="H17" s="4" t="inlineStr"/>
      <c r="I17" s="4" t="inlineStr">
        <is>
          <t>Easy</t>
        </is>
      </c>
      <c r="J17" s="5">
        <f>HYPERLINK("https://www.codechef.com/problems/PYMCQ16", "https://www.codechef.com/problems/PYMCQ16")</f>
        <v/>
      </c>
      <c r="K17" s="4" t="inlineStr"/>
      <c r="L17" s="4" t="inlineStr"/>
      <c r="M17" s="4" t="inlineStr"/>
      <c r="N17" s="4" t="inlineStr">
        <is>
          <t>No</t>
        </is>
      </c>
      <c r="O17" s="4" t="inlineStr">
        <is>
          <t>Unattempted</t>
        </is>
      </c>
    </row>
    <row r="18">
      <c r="A18" s="2" t="inlineStr">
        <is>
          <t>Interview Questions</t>
        </is>
      </c>
      <c r="B18" s="2" t="inlineStr">
        <is>
          <t>Python Interview Questions</t>
        </is>
      </c>
      <c r="C18" s="2" t="inlineStr">
        <is>
          <t>Practice these 118 Python Interview Questions and prepare for freshers interviews. Use the detailed explanations for MCQs whose answer you don't know.</t>
        </is>
      </c>
      <c r="D18" s="2" t="inlineStr">
        <is>
          <t>Control flow - Control flow</t>
        </is>
      </c>
      <c r="E18" s="2" t="n">
        <v>17</v>
      </c>
      <c r="F18" s="2" t="inlineStr">
        <is>
          <t>Nested Loops</t>
        </is>
      </c>
      <c r="G18" s="2" t="inlineStr">
        <is>
          <t>PYMCQ17</t>
        </is>
      </c>
      <c r="H18" s="2" t="inlineStr"/>
      <c r="I18" s="2" t="inlineStr">
        <is>
          <t>Easy</t>
        </is>
      </c>
      <c r="J18" s="3">
        <f>HYPERLINK("https://www.codechef.com/problems/PYMCQ17", "https://www.codechef.com/problems/PYMCQ17")</f>
        <v/>
      </c>
      <c r="K18" s="2" t="inlineStr"/>
      <c r="L18" s="2" t="inlineStr"/>
      <c r="M18" s="2" t="inlineStr"/>
      <c r="N18" s="2" t="inlineStr">
        <is>
          <t>No</t>
        </is>
      </c>
      <c r="O18" s="2" t="inlineStr">
        <is>
          <t>Unattempted</t>
        </is>
      </c>
    </row>
    <row r="19">
      <c r="A19" s="4" t="inlineStr">
        <is>
          <t>Interview Questions</t>
        </is>
      </c>
      <c r="B19" s="4" t="inlineStr">
        <is>
          <t>Python Interview Questions</t>
        </is>
      </c>
      <c r="C19" s="4" t="inlineStr">
        <is>
          <t>Practice these 118 Python Interview Questions and prepare for freshers interviews. Use the detailed explanations for MCQs whose answer you don't know.</t>
        </is>
      </c>
      <c r="D19" s="4" t="inlineStr">
        <is>
          <t>Control flow - Control flow</t>
        </is>
      </c>
      <c r="E19" s="4" t="n">
        <v>18</v>
      </c>
      <c r="F19" s="4" t="inlineStr">
        <is>
          <t>Loop with Else</t>
        </is>
      </c>
      <c r="G19" s="4" t="inlineStr">
        <is>
          <t>PYMCQ18</t>
        </is>
      </c>
      <c r="H19" s="4" t="inlineStr"/>
      <c r="I19" s="4" t="inlineStr">
        <is>
          <t>Easy</t>
        </is>
      </c>
      <c r="J19" s="5">
        <f>HYPERLINK("https://www.codechef.com/problems/PYMCQ18", "https://www.codechef.com/problems/PYMCQ18")</f>
        <v/>
      </c>
      <c r="K19" s="4" t="inlineStr"/>
      <c r="L19" s="4" t="inlineStr"/>
      <c r="M19" s="4" t="inlineStr"/>
      <c r="N19" s="4" t="inlineStr">
        <is>
          <t>No</t>
        </is>
      </c>
      <c r="O19" s="4" t="inlineStr">
        <is>
          <t>Unattempted</t>
        </is>
      </c>
    </row>
    <row r="20">
      <c r="A20" s="2" t="inlineStr">
        <is>
          <t>Interview Questions</t>
        </is>
      </c>
      <c r="B20" s="2" t="inlineStr">
        <is>
          <t>Python Interview Questions</t>
        </is>
      </c>
      <c r="C20" s="2" t="inlineStr">
        <is>
          <t>Practice these 118 Python Interview Questions and prepare for freshers interviews. Use the detailed explanations for MCQs whose answer you don't know.</t>
        </is>
      </c>
      <c r="D20" s="2" t="inlineStr">
        <is>
          <t>Control flow - Control flow</t>
        </is>
      </c>
      <c r="E20" s="2" t="n">
        <v>19</v>
      </c>
      <c r="F20" s="2" t="inlineStr">
        <is>
          <t>Conditional Expression</t>
        </is>
      </c>
      <c r="G20" s="2" t="inlineStr">
        <is>
          <t>PYMCQ19</t>
        </is>
      </c>
      <c r="H20" s="2" t="inlineStr"/>
      <c r="I20" s="2" t="inlineStr">
        <is>
          <t>Easy</t>
        </is>
      </c>
      <c r="J20" s="3">
        <f>HYPERLINK("https://www.codechef.com/problems/PYMCQ19", "https://www.codechef.com/problems/PYMCQ19")</f>
        <v/>
      </c>
      <c r="K20" s="2" t="inlineStr"/>
      <c r="L20" s="2" t="inlineStr"/>
      <c r="M20" s="2" t="inlineStr"/>
      <c r="N20" s="2" t="inlineStr">
        <is>
          <t>No</t>
        </is>
      </c>
      <c r="O20" s="2" t="inlineStr">
        <is>
          <t>Unattempted</t>
        </is>
      </c>
    </row>
    <row r="21">
      <c r="A21" s="4" t="inlineStr">
        <is>
          <t>Interview Questions</t>
        </is>
      </c>
      <c r="B21" s="4" t="inlineStr">
        <is>
          <t>Python Interview Questions</t>
        </is>
      </c>
      <c r="C21" s="4" t="inlineStr">
        <is>
          <t>Practice these 118 Python Interview Questions and prepare for freshers interviews. Use the detailed explanations for MCQs whose answer you don't know.</t>
        </is>
      </c>
      <c r="D21" s="4" t="inlineStr">
        <is>
          <t>Control flow - Control flow</t>
        </is>
      </c>
      <c r="E21" s="4" t="n">
        <v>20</v>
      </c>
      <c r="F21" s="4" t="inlineStr">
        <is>
          <t>While Loop with Break</t>
        </is>
      </c>
      <c r="G21" s="4" t="inlineStr">
        <is>
          <t>PYMCQ20</t>
        </is>
      </c>
      <c r="H21" s="4" t="inlineStr"/>
      <c r="I21" s="4" t="inlineStr">
        <is>
          <t>Easy</t>
        </is>
      </c>
      <c r="J21" s="5">
        <f>HYPERLINK("https://www.codechef.com/problems/PYMCQ20", "https://www.codechef.com/problems/PYMCQ20")</f>
        <v/>
      </c>
      <c r="K21" s="4" t="inlineStr"/>
      <c r="L21" s="4" t="inlineStr"/>
      <c r="M21" s="4" t="inlineStr"/>
      <c r="N21" s="4" t="inlineStr">
        <is>
          <t>No</t>
        </is>
      </c>
      <c r="O21" s="4" t="inlineStr">
        <is>
          <t>Unattempted</t>
        </is>
      </c>
    </row>
    <row r="22">
      <c r="A22" s="2" t="inlineStr">
        <is>
          <t>Interview Questions</t>
        </is>
      </c>
      <c r="B22" s="2" t="inlineStr">
        <is>
          <t>Python Interview Questions</t>
        </is>
      </c>
      <c r="C22" s="2" t="inlineStr">
        <is>
          <t>Practice these 118 Python Interview Questions and prepare for freshers interviews. Use the detailed explanations for MCQs whose answer you don't know.</t>
        </is>
      </c>
      <c r="D22" s="2" t="inlineStr">
        <is>
          <t>String manipulation - String manipulation</t>
        </is>
      </c>
      <c r="E22" s="2" t="n">
        <v>21</v>
      </c>
      <c r="F22" s="2" t="inlineStr">
        <is>
          <t>String Slicing</t>
        </is>
      </c>
      <c r="G22" s="2" t="inlineStr">
        <is>
          <t>PYMCQ21</t>
        </is>
      </c>
      <c r="H22" s="2" t="inlineStr"/>
      <c r="I22" s="2" t="inlineStr">
        <is>
          <t>Easy</t>
        </is>
      </c>
      <c r="J22" s="3">
        <f>HYPERLINK("https://www.codechef.com/problems/PYMCQ21", "https://www.codechef.com/problems/PYMCQ21")</f>
        <v/>
      </c>
      <c r="K22" s="2" t="inlineStr"/>
      <c r="L22" s="2" t="inlineStr"/>
      <c r="M22" s="2" t="inlineStr"/>
      <c r="N22" s="2" t="inlineStr">
        <is>
          <t>No</t>
        </is>
      </c>
      <c r="O22" s="2" t="inlineStr">
        <is>
          <t>Unattempted</t>
        </is>
      </c>
    </row>
    <row r="23">
      <c r="A23" s="4" t="inlineStr">
        <is>
          <t>Interview Questions</t>
        </is>
      </c>
      <c r="B23" s="4" t="inlineStr">
        <is>
          <t>Python Interview Questions</t>
        </is>
      </c>
      <c r="C23" s="4" t="inlineStr">
        <is>
          <t>Practice these 118 Python Interview Questions and prepare for freshers interviews. Use the detailed explanations for MCQs whose answer you don't know.</t>
        </is>
      </c>
      <c r="D23" s="4" t="inlineStr">
        <is>
          <t>String manipulation - String manipulation</t>
        </is>
      </c>
      <c r="E23" s="4" t="n">
        <v>22</v>
      </c>
      <c r="F23" s="4" t="inlineStr">
        <is>
          <t>String Method - split()</t>
        </is>
      </c>
      <c r="G23" s="4" t="inlineStr">
        <is>
          <t>PYMCQ22</t>
        </is>
      </c>
      <c r="H23" s="4" t="inlineStr"/>
      <c r="I23" s="4" t="inlineStr">
        <is>
          <t>Easy</t>
        </is>
      </c>
      <c r="J23" s="5">
        <f>HYPERLINK("https://www.codechef.com/problems/PYMCQ22", "https://www.codechef.com/problems/PYMCQ22")</f>
        <v/>
      </c>
      <c r="K23" s="4" t="inlineStr"/>
      <c r="L23" s="4" t="inlineStr"/>
      <c r="M23" s="4" t="inlineStr"/>
      <c r="N23" s="4" t="inlineStr">
        <is>
          <t>No</t>
        </is>
      </c>
      <c r="O23" s="4" t="inlineStr">
        <is>
          <t>Unattempted</t>
        </is>
      </c>
    </row>
    <row r="24">
      <c r="A24" s="2" t="inlineStr">
        <is>
          <t>Interview Questions</t>
        </is>
      </c>
      <c r="B24" s="2" t="inlineStr">
        <is>
          <t>Python Interview Questions</t>
        </is>
      </c>
      <c r="C24" s="2" t="inlineStr">
        <is>
          <t>Practice these 118 Python Interview Questions and prepare for freshers interviews. Use the detailed explanations for MCQs whose answer you don't know.</t>
        </is>
      </c>
      <c r="D24" s="2" t="inlineStr">
        <is>
          <t>String manipulation - String manipulation</t>
        </is>
      </c>
      <c r="E24" s="2" t="n">
        <v>23</v>
      </c>
      <c r="F24" s="2" t="inlineStr">
        <is>
          <t>String Method - join()</t>
        </is>
      </c>
      <c r="G24" s="2" t="inlineStr">
        <is>
          <t>PYMCQ23</t>
        </is>
      </c>
      <c r="H24" s="2" t="inlineStr"/>
      <c r="I24" s="2" t="inlineStr">
        <is>
          <t>Easy</t>
        </is>
      </c>
      <c r="J24" s="3">
        <f>HYPERLINK("https://www.codechef.com/problems/PYMCQ23", "https://www.codechef.com/problems/PYMCQ23")</f>
        <v/>
      </c>
      <c r="K24" s="2" t="inlineStr"/>
      <c r="L24" s="2" t="inlineStr"/>
      <c r="M24" s="2" t="inlineStr"/>
      <c r="N24" s="2" t="inlineStr">
        <is>
          <t>No</t>
        </is>
      </c>
      <c r="O24" s="2" t="inlineStr">
        <is>
          <t>Unattempted</t>
        </is>
      </c>
    </row>
    <row r="25">
      <c r="A25" s="4" t="inlineStr">
        <is>
          <t>Interview Questions</t>
        </is>
      </c>
      <c r="B25" s="4" t="inlineStr">
        <is>
          <t>Python Interview Questions</t>
        </is>
      </c>
      <c r="C25" s="4" t="inlineStr">
        <is>
          <t>Practice these 118 Python Interview Questions and prepare for freshers interviews. Use the detailed explanations for MCQs whose answer you don't know.</t>
        </is>
      </c>
      <c r="D25" s="4" t="inlineStr">
        <is>
          <t>String manipulation - String manipulation</t>
        </is>
      </c>
      <c r="E25" s="4" t="n">
        <v>24</v>
      </c>
      <c r="F25" s="4" t="inlineStr">
        <is>
          <t>String Method - replace()</t>
        </is>
      </c>
      <c r="G25" s="4" t="inlineStr">
        <is>
          <t>PYMCQ24</t>
        </is>
      </c>
      <c r="H25" s="4" t="inlineStr"/>
      <c r="I25" s="4" t="inlineStr">
        <is>
          <t>Easy</t>
        </is>
      </c>
      <c r="J25" s="5">
        <f>HYPERLINK("https://www.codechef.com/problems/PYMCQ24", "https://www.codechef.com/problems/PYMCQ24")</f>
        <v/>
      </c>
      <c r="K25" s="4" t="inlineStr"/>
      <c r="L25" s="4" t="inlineStr"/>
      <c r="M25" s="4" t="inlineStr"/>
      <c r="N25" s="4" t="inlineStr">
        <is>
          <t>No</t>
        </is>
      </c>
      <c r="O25" s="4" t="inlineStr">
        <is>
          <t>Unattempted</t>
        </is>
      </c>
    </row>
    <row r="26">
      <c r="A26" s="2" t="inlineStr">
        <is>
          <t>Interview Questions</t>
        </is>
      </c>
      <c r="B26" s="2" t="inlineStr">
        <is>
          <t>Python Interview Questions</t>
        </is>
      </c>
      <c r="C26" s="2" t="inlineStr">
        <is>
          <t>Practice these 118 Python Interview Questions and prepare for freshers interviews. Use the detailed explanations for MCQs whose answer you don't know.</t>
        </is>
      </c>
      <c r="D26" s="2" t="inlineStr">
        <is>
          <t>String manipulation - String manipulation</t>
        </is>
      </c>
      <c r="E26" s="2" t="n">
        <v>25</v>
      </c>
      <c r="F26" s="2" t="inlineStr">
        <is>
          <t>F-string Formatting</t>
        </is>
      </c>
      <c r="G26" s="2" t="inlineStr">
        <is>
          <t>PYMCQ25</t>
        </is>
      </c>
      <c r="H26" s="2" t="inlineStr"/>
      <c r="I26" s="2" t="inlineStr">
        <is>
          <t>Easy</t>
        </is>
      </c>
      <c r="J26" s="3">
        <f>HYPERLINK("https://www.codechef.com/problems/PYMCQ25", "https://www.codechef.com/problems/PYMCQ25")</f>
        <v/>
      </c>
      <c r="K26" s="2" t="inlineStr"/>
      <c r="L26" s="2" t="inlineStr"/>
      <c r="M26" s="2" t="inlineStr"/>
      <c r="N26" s="2" t="inlineStr">
        <is>
          <t>No</t>
        </is>
      </c>
      <c r="O26" s="2" t="inlineStr">
        <is>
          <t>Unattempted</t>
        </is>
      </c>
    </row>
    <row r="27">
      <c r="A27" s="4" t="inlineStr">
        <is>
          <t>Interview Questions</t>
        </is>
      </c>
      <c r="B27" s="4" t="inlineStr">
        <is>
          <t>Python Interview Questions</t>
        </is>
      </c>
      <c r="C27" s="4" t="inlineStr">
        <is>
          <t>Practice these 118 Python Interview Questions and prepare for freshers interviews. Use the detailed explanations for MCQs whose answer you don't know.</t>
        </is>
      </c>
      <c r="D27" s="4" t="inlineStr">
        <is>
          <t>String manipulation - String manipulation</t>
        </is>
      </c>
      <c r="E27" s="4" t="n">
        <v>26</v>
      </c>
      <c r="F27" s="4" t="inlineStr">
        <is>
          <t>String Formatting with .format()</t>
        </is>
      </c>
      <c r="G27" s="4" t="inlineStr">
        <is>
          <t>PYMCQ26</t>
        </is>
      </c>
      <c r="H27" s="4" t="inlineStr"/>
      <c r="I27" s="4" t="inlineStr">
        <is>
          <t>Easy</t>
        </is>
      </c>
      <c r="J27" s="5">
        <f>HYPERLINK("https://www.codechef.com/problems/PYMCQ26", "https://www.codechef.com/problems/PYMCQ26")</f>
        <v/>
      </c>
      <c r="K27" s="4" t="inlineStr"/>
      <c r="L27" s="4" t="inlineStr"/>
      <c r="M27" s="4" t="inlineStr"/>
      <c r="N27" s="4" t="inlineStr">
        <is>
          <t>No</t>
        </is>
      </c>
      <c r="O27" s="4" t="inlineStr">
        <is>
          <t>Unattempted</t>
        </is>
      </c>
    </row>
    <row r="28">
      <c r="A28" s="2" t="inlineStr">
        <is>
          <t>Interview Questions</t>
        </is>
      </c>
      <c r="B28" s="2" t="inlineStr">
        <is>
          <t>Python Interview Questions</t>
        </is>
      </c>
      <c r="C28" s="2" t="inlineStr">
        <is>
          <t>Practice these 118 Python Interview Questions and prepare for freshers interviews. Use the detailed explanations for MCQs whose answer you don't know.</t>
        </is>
      </c>
      <c r="D28" s="2" t="inlineStr">
        <is>
          <t>String manipulation - String manipulation</t>
        </is>
      </c>
      <c r="E28" s="2" t="n">
        <v>27</v>
      </c>
      <c r="F28" s="2" t="inlineStr">
        <is>
          <t>Regular Expressions - Basic Matching</t>
        </is>
      </c>
      <c r="G28" s="2" t="inlineStr">
        <is>
          <t>PYMCQ27</t>
        </is>
      </c>
      <c r="H28" s="2" t="inlineStr"/>
      <c r="I28" s="2" t="inlineStr">
        <is>
          <t>Easy</t>
        </is>
      </c>
      <c r="J28" s="3">
        <f>HYPERLINK("https://www.codechef.com/problems/PYMCQ27", "https://www.codechef.com/problems/PYMCQ27")</f>
        <v/>
      </c>
      <c r="K28" s="2" t="inlineStr"/>
      <c r="L28" s="2" t="inlineStr"/>
      <c r="M28" s="2" t="inlineStr"/>
      <c r="N28" s="2" t="inlineStr">
        <is>
          <t>No</t>
        </is>
      </c>
      <c r="O28" s="2" t="inlineStr">
        <is>
          <t>Unattempted</t>
        </is>
      </c>
    </row>
    <row r="29">
      <c r="A29" s="4" t="inlineStr">
        <is>
          <t>Interview Questions</t>
        </is>
      </c>
      <c r="B29" s="4" t="inlineStr">
        <is>
          <t>Python Interview Questions</t>
        </is>
      </c>
      <c r="C29" s="4" t="inlineStr">
        <is>
          <t>Practice these 118 Python Interview Questions and prepare for freshers interviews. Use the detailed explanations for MCQs whose answer you don't know.</t>
        </is>
      </c>
      <c r="D29" s="4" t="inlineStr">
        <is>
          <t>String manipulation - String manipulation</t>
        </is>
      </c>
      <c r="E29" s="4" t="n">
        <v>28</v>
      </c>
      <c r="F29" s="4" t="inlineStr">
        <is>
          <t>String Indexing</t>
        </is>
      </c>
      <c r="G29" s="4" t="inlineStr">
        <is>
          <t>PYMCQ28</t>
        </is>
      </c>
      <c r="H29" s="4" t="inlineStr"/>
      <c r="I29" s="4" t="inlineStr">
        <is>
          <t>Easy</t>
        </is>
      </c>
      <c r="J29" s="5">
        <f>HYPERLINK("https://www.codechef.com/problems/PYMCQ28", "https://www.codechef.com/problems/PYMCQ28")</f>
        <v/>
      </c>
      <c r="K29" s="4" t="inlineStr"/>
      <c r="L29" s="4" t="inlineStr"/>
      <c r="M29" s="4" t="inlineStr"/>
      <c r="N29" s="4" t="inlineStr">
        <is>
          <t>No</t>
        </is>
      </c>
      <c r="O29" s="4" t="inlineStr">
        <is>
          <t>Unattempted</t>
        </is>
      </c>
    </row>
    <row r="30">
      <c r="A30" s="2" t="inlineStr">
        <is>
          <t>Interview Questions</t>
        </is>
      </c>
      <c r="B30" s="2" t="inlineStr">
        <is>
          <t>Python Interview Questions</t>
        </is>
      </c>
      <c r="C30" s="2" t="inlineStr">
        <is>
          <t>Practice these 118 Python Interview Questions and prepare for freshers interviews. Use the detailed explanations for MCQs whose answer you don't know.</t>
        </is>
      </c>
      <c r="D30" s="2" t="inlineStr">
        <is>
          <t>String manipulation - String manipulation</t>
        </is>
      </c>
      <c r="E30" s="2" t="n">
        <v>29</v>
      </c>
      <c r="F30" s="2" t="inlineStr">
        <is>
          <t>String Immutability</t>
        </is>
      </c>
      <c r="G30" s="2" t="inlineStr">
        <is>
          <t>PYMCQ29</t>
        </is>
      </c>
      <c r="H30" s="2" t="inlineStr"/>
      <c r="I30" s="2" t="inlineStr">
        <is>
          <t>Easy</t>
        </is>
      </c>
      <c r="J30" s="3">
        <f>HYPERLINK("https://www.codechef.com/problems/PYMCQ29", "https://www.codechef.com/problems/PYMCQ29")</f>
        <v/>
      </c>
      <c r="K30" s="2" t="inlineStr"/>
      <c r="L30" s="2" t="inlineStr"/>
      <c r="M30" s="2" t="inlineStr"/>
      <c r="N30" s="2" t="inlineStr">
        <is>
          <t>No</t>
        </is>
      </c>
      <c r="O30" s="2" t="inlineStr">
        <is>
          <t>Unattempted</t>
        </is>
      </c>
    </row>
    <row r="31">
      <c r="A31" s="4" t="inlineStr">
        <is>
          <t>Interview Questions</t>
        </is>
      </c>
      <c r="B31" s="4" t="inlineStr">
        <is>
          <t>Python Interview Questions</t>
        </is>
      </c>
      <c r="C31" s="4" t="inlineStr">
        <is>
          <t>Practice these 118 Python Interview Questions and prepare for freshers interviews. Use the detailed explanations for MCQs whose answer you don't know.</t>
        </is>
      </c>
      <c r="D31" s="4" t="inlineStr">
        <is>
          <t>String manipulation - String manipulation</t>
        </is>
      </c>
      <c r="E31" s="4" t="n">
        <v>30</v>
      </c>
      <c r="F31" s="4" t="inlineStr">
        <is>
          <t>String Method Chaining</t>
        </is>
      </c>
      <c r="G31" s="4" t="inlineStr">
        <is>
          <t>PYMCQ30</t>
        </is>
      </c>
      <c r="H31" s="4" t="inlineStr"/>
      <c r="I31" s="4" t="inlineStr">
        <is>
          <t>Easy</t>
        </is>
      </c>
      <c r="J31" s="5">
        <f>HYPERLINK("https://www.codechef.com/problems/PYMCQ30", "https://www.codechef.com/problems/PYMCQ30")</f>
        <v/>
      </c>
      <c r="K31" s="4" t="inlineStr"/>
      <c r="L31" s="4" t="inlineStr"/>
      <c r="M31" s="4" t="inlineStr"/>
      <c r="N31" s="4" t="inlineStr">
        <is>
          <t>No</t>
        </is>
      </c>
      <c r="O31" s="4" t="inlineStr">
        <is>
          <t>Unattempted</t>
        </is>
      </c>
    </row>
    <row r="32">
      <c r="A32" s="2" t="inlineStr">
        <is>
          <t>Interview Questions</t>
        </is>
      </c>
      <c r="B32" s="2" t="inlineStr">
        <is>
          <t>Python Interview Questions</t>
        </is>
      </c>
      <c r="C32" s="2" t="inlineStr">
        <is>
          <t>Practice these 118 Python Interview Questions and prepare for freshers interviews. Use the detailed explanations for MCQs whose answer you don't know.</t>
        </is>
      </c>
      <c r="D32" s="2" t="inlineStr">
        <is>
          <t>Lists, tuples, and dictionaries - Lists, tuples, and dictionaries</t>
        </is>
      </c>
      <c r="E32" s="2" t="n">
        <v>31</v>
      </c>
      <c r="F32" s="2" t="inlineStr">
        <is>
          <t>List Modification</t>
        </is>
      </c>
      <c r="G32" s="2" t="inlineStr">
        <is>
          <t>PYMCQ31</t>
        </is>
      </c>
      <c r="H32" s="2" t="inlineStr"/>
      <c r="I32" s="2" t="inlineStr">
        <is>
          <t>Easy</t>
        </is>
      </c>
      <c r="J32" s="3">
        <f>HYPERLINK("https://www.codechef.com/problems/PYMCQ31", "https://www.codechef.com/problems/PYMCQ31")</f>
        <v/>
      </c>
      <c r="K32" s="2" t="inlineStr"/>
      <c r="L32" s="2" t="inlineStr"/>
      <c r="M32" s="2" t="inlineStr"/>
      <c r="N32" s="2" t="inlineStr">
        <is>
          <t>No</t>
        </is>
      </c>
      <c r="O32" s="2" t="inlineStr">
        <is>
          <t>Unattempted</t>
        </is>
      </c>
    </row>
    <row r="33">
      <c r="A33" s="4" t="inlineStr">
        <is>
          <t>Interview Questions</t>
        </is>
      </c>
      <c r="B33" s="4" t="inlineStr">
        <is>
          <t>Python Interview Questions</t>
        </is>
      </c>
      <c r="C33" s="4" t="inlineStr">
        <is>
          <t>Practice these 118 Python Interview Questions and prepare for freshers interviews. Use the detailed explanations for MCQs whose answer you don't know.</t>
        </is>
      </c>
      <c r="D33" s="4" t="inlineStr">
        <is>
          <t>Lists, tuples, and dictionaries - Lists, tuples, and dictionaries</t>
        </is>
      </c>
      <c r="E33" s="4" t="n">
        <v>32</v>
      </c>
      <c r="F33" s="4" t="inlineStr">
        <is>
          <t>Tuple Packing and Unpacking</t>
        </is>
      </c>
      <c r="G33" s="4" t="inlineStr">
        <is>
          <t>PYMCQ32</t>
        </is>
      </c>
      <c r="H33" s="4" t="inlineStr"/>
      <c r="I33" s="4" t="inlineStr">
        <is>
          <t>Easy</t>
        </is>
      </c>
      <c r="J33" s="5">
        <f>HYPERLINK("https://www.codechef.com/problems/PYMCQ32", "https://www.codechef.com/problems/PYMCQ32")</f>
        <v/>
      </c>
      <c r="K33" s="4" t="inlineStr"/>
      <c r="L33" s="4" t="inlineStr"/>
      <c r="M33" s="4" t="inlineStr"/>
      <c r="N33" s="4" t="inlineStr">
        <is>
          <t>No</t>
        </is>
      </c>
      <c r="O33" s="4" t="inlineStr">
        <is>
          <t>Unattempted</t>
        </is>
      </c>
    </row>
    <row r="34">
      <c r="A34" s="2" t="inlineStr">
        <is>
          <t>Interview Questions</t>
        </is>
      </c>
      <c r="B34" s="2" t="inlineStr">
        <is>
          <t>Python Interview Questions</t>
        </is>
      </c>
      <c r="C34" s="2" t="inlineStr">
        <is>
          <t>Practice these 118 Python Interview Questions and prepare for freshers interviews. Use the detailed explanations for MCQs whose answer you don't know.</t>
        </is>
      </c>
      <c r="D34" s="2" t="inlineStr">
        <is>
          <t>Lists, tuples, and dictionaries - Lists, tuples, and dictionaries</t>
        </is>
      </c>
      <c r="E34" s="2" t="n">
        <v>33</v>
      </c>
      <c r="F34" s="2" t="inlineStr">
        <is>
          <t>Dictionary Manipulation</t>
        </is>
      </c>
      <c r="G34" s="2" t="inlineStr">
        <is>
          <t>PYMCQ33</t>
        </is>
      </c>
      <c r="H34" s="2" t="inlineStr"/>
      <c r="I34" s="2" t="inlineStr">
        <is>
          <t>Easy</t>
        </is>
      </c>
      <c r="J34" s="3">
        <f>HYPERLINK("https://www.codechef.com/problems/PYMCQ33", "https://www.codechef.com/problems/PYMCQ33")</f>
        <v/>
      </c>
      <c r="K34" s="2" t="inlineStr"/>
      <c r="L34" s="2" t="inlineStr"/>
      <c r="M34" s="2" t="inlineStr"/>
      <c r="N34" s="2" t="inlineStr">
        <is>
          <t>No</t>
        </is>
      </c>
      <c r="O34" s="2" t="inlineStr">
        <is>
          <t>Unattempted</t>
        </is>
      </c>
    </row>
    <row r="35">
      <c r="A35" s="4" t="inlineStr">
        <is>
          <t>Interview Questions</t>
        </is>
      </c>
      <c r="B35" s="4" t="inlineStr">
        <is>
          <t>Python Interview Questions</t>
        </is>
      </c>
      <c r="C35" s="4" t="inlineStr">
        <is>
          <t>Practice these 118 Python Interview Questions and prepare for freshers interviews. Use the detailed explanations for MCQs whose answer you don't know.</t>
        </is>
      </c>
      <c r="D35" s="4" t="inlineStr">
        <is>
          <t>Lists, tuples, and dictionaries - Lists, tuples, and dictionaries</t>
        </is>
      </c>
      <c r="E35" s="4" t="n">
        <v>34</v>
      </c>
      <c r="F35" s="4" t="inlineStr">
        <is>
          <t>Set Operations</t>
        </is>
      </c>
      <c r="G35" s="4" t="inlineStr">
        <is>
          <t>PYMCQ34</t>
        </is>
      </c>
      <c r="H35" s="4" t="inlineStr"/>
      <c r="I35" s="4" t="inlineStr">
        <is>
          <t>Easy</t>
        </is>
      </c>
      <c r="J35" s="5">
        <f>HYPERLINK("https://www.codechef.com/problems/PYMCQ34", "https://www.codechef.com/problems/PYMCQ34")</f>
        <v/>
      </c>
      <c r="K35" s="4" t="inlineStr"/>
      <c r="L35" s="4" t="inlineStr"/>
      <c r="M35" s="4" t="inlineStr"/>
      <c r="N35" s="4" t="inlineStr">
        <is>
          <t>No</t>
        </is>
      </c>
      <c r="O35" s="4" t="inlineStr">
        <is>
          <t>Unattempted</t>
        </is>
      </c>
    </row>
    <row r="36">
      <c r="A36" s="2" t="inlineStr">
        <is>
          <t>Interview Questions</t>
        </is>
      </c>
      <c r="B36" s="2" t="inlineStr">
        <is>
          <t>Python Interview Questions</t>
        </is>
      </c>
      <c r="C36" s="2" t="inlineStr">
        <is>
          <t>Practice these 118 Python Interview Questions and prepare for freshers interviews. Use the detailed explanations for MCQs whose answer you don't know.</t>
        </is>
      </c>
      <c r="D36" s="2" t="inlineStr">
        <is>
          <t>Lists, tuples, and dictionaries - Lists, tuples, and dictionaries</t>
        </is>
      </c>
      <c r="E36" s="2" t="n">
        <v>35</v>
      </c>
      <c r="F36" s="2" t="inlineStr">
        <is>
          <t>List Comprehension</t>
        </is>
      </c>
      <c r="G36" s="2" t="inlineStr">
        <is>
          <t>PYMCQ35</t>
        </is>
      </c>
      <c r="H36" s="2" t="inlineStr"/>
      <c r="I36" s="2" t="inlineStr">
        <is>
          <t>Medium</t>
        </is>
      </c>
      <c r="J36" s="3">
        <f>HYPERLINK("https://www.codechef.com/problems/PYMCQ35", "https://www.codechef.com/problems/PYMCQ35")</f>
        <v/>
      </c>
      <c r="K36" s="2" t="inlineStr"/>
      <c r="L36" s="2" t="inlineStr"/>
      <c r="M36" s="2" t="inlineStr"/>
      <c r="N36" s="2" t="inlineStr">
        <is>
          <t>No</t>
        </is>
      </c>
      <c r="O36" s="2" t="inlineStr">
        <is>
          <t>Unattempted</t>
        </is>
      </c>
    </row>
    <row r="37">
      <c r="A37" s="4" t="inlineStr">
        <is>
          <t>Interview Questions</t>
        </is>
      </c>
      <c r="B37" s="4" t="inlineStr">
        <is>
          <t>Python Interview Questions</t>
        </is>
      </c>
      <c r="C37" s="4" t="inlineStr">
        <is>
          <t>Practice these 118 Python Interview Questions and prepare for freshers interviews. Use the detailed explanations for MCQs whose answer you don't know.</t>
        </is>
      </c>
      <c r="D37" s="4" t="inlineStr">
        <is>
          <t>Lists, tuples, and dictionaries - Lists, tuples, and dictionaries</t>
        </is>
      </c>
      <c r="E37" s="4" t="n">
        <v>36</v>
      </c>
      <c r="F37" s="4" t="inlineStr">
        <is>
          <t>Dictionary Comprehension</t>
        </is>
      </c>
      <c r="G37" s="4" t="inlineStr">
        <is>
          <t>PYMCQ36</t>
        </is>
      </c>
      <c r="H37" s="4" t="inlineStr"/>
      <c r="I37" s="4" t="inlineStr">
        <is>
          <t>Easy</t>
        </is>
      </c>
      <c r="J37" s="5">
        <f>HYPERLINK("https://www.codechef.com/problems/PYMCQ36", "https://www.codechef.com/problems/PYMCQ36")</f>
        <v/>
      </c>
      <c r="K37" s="4" t="inlineStr"/>
      <c r="L37" s="4" t="inlineStr"/>
      <c r="M37" s="4" t="inlineStr"/>
      <c r="N37" s="4" t="inlineStr">
        <is>
          <t>No</t>
        </is>
      </c>
      <c r="O37" s="4" t="inlineStr">
        <is>
          <t>Unattempted</t>
        </is>
      </c>
    </row>
    <row r="38">
      <c r="A38" s="2" t="inlineStr">
        <is>
          <t>Interview Questions</t>
        </is>
      </c>
      <c r="B38" s="2" t="inlineStr">
        <is>
          <t>Python Interview Questions</t>
        </is>
      </c>
      <c r="C38" s="2" t="inlineStr">
        <is>
          <t>Practice these 118 Python Interview Questions and prepare for freshers interviews. Use the detailed explanations for MCQs whose answer you don't know.</t>
        </is>
      </c>
      <c r="D38" s="2" t="inlineStr">
        <is>
          <t>Lists, tuples, and dictionaries - Lists, tuples, and dictionaries</t>
        </is>
      </c>
      <c r="E38" s="2" t="n">
        <v>37</v>
      </c>
      <c r="F38" s="2" t="inlineStr">
        <is>
          <t>Tuple Immutability</t>
        </is>
      </c>
      <c r="G38" s="2" t="inlineStr">
        <is>
          <t>PYMCQ37</t>
        </is>
      </c>
      <c r="H38" s="2" t="inlineStr"/>
      <c r="I38" s="2" t="inlineStr">
        <is>
          <t>Easy</t>
        </is>
      </c>
      <c r="J38" s="3">
        <f>HYPERLINK("https://www.codechef.com/problems/PYMCQ37", "https://www.codechef.com/problems/PYMCQ37")</f>
        <v/>
      </c>
      <c r="K38" s="2" t="inlineStr"/>
      <c r="L38" s="2" t="inlineStr"/>
      <c r="M38" s="2" t="inlineStr"/>
      <c r="N38" s="2" t="inlineStr">
        <is>
          <t>No</t>
        </is>
      </c>
      <c r="O38" s="2" t="inlineStr">
        <is>
          <t>Unattempted</t>
        </is>
      </c>
    </row>
    <row r="39">
      <c r="A39" s="4" t="inlineStr">
        <is>
          <t>Interview Questions</t>
        </is>
      </c>
      <c r="B39" s="4" t="inlineStr">
        <is>
          <t>Python Interview Questions</t>
        </is>
      </c>
      <c r="C39" s="4" t="inlineStr">
        <is>
          <t>Practice these 118 Python Interview Questions and prepare for freshers interviews. Use the detailed explanations for MCQs whose answer you don't know.</t>
        </is>
      </c>
      <c r="D39" s="4" t="inlineStr">
        <is>
          <t>Lists, tuples, and dictionaries - Lists, tuples, and dictionaries</t>
        </is>
      </c>
      <c r="E39" s="4" t="n">
        <v>38</v>
      </c>
      <c r="F39" s="4" t="inlineStr">
        <is>
          <t>Set Methods</t>
        </is>
      </c>
      <c r="G39" s="4" t="inlineStr">
        <is>
          <t>PYMCQ38</t>
        </is>
      </c>
      <c r="H39" s="4" t="inlineStr"/>
      <c r="I39" s="4" t="inlineStr">
        <is>
          <t>Easy</t>
        </is>
      </c>
      <c r="J39" s="5">
        <f>HYPERLINK("https://www.codechef.com/problems/PYMCQ38", "https://www.codechef.com/problems/PYMCQ38")</f>
        <v/>
      </c>
      <c r="K39" s="4" t="inlineStr"/>
      <c r="L39" s="4" t="inlineStr"/>
      <c r="M39" s="4" t="inlineStr"/>
      <c r="N39" s="4" t="inlineStr">
        <is>
          <t>No</t>
        </is>
      </c>
      <c r="O39" s="4" t="inlineStr">
        <is>
          <t>Unattempted</t>
        </is>
      </c>
    </row>
    <row r="40">
      <c r="A40" s="2" t="inlineStr">
        <is>
          <t>Interview Questions</t>
        </is>
      </c>
      <c r="B40" s="2" t="inlineStr">
        <is>
          <t>Python Interview Questions</t>
        </is>
      </c>
      <c r="C40" s="2" t="inlineStr">
        <is>
          <t>Practice these 118 Python Interview Questions and prepare for freshers interviews. Use the detailed explanations for MCQs whose answer you don't know.</t>
        </is>
      </c>
      <c r="D40" s="2" t="inlineStr">
        <is>
          <t>Lists, tuples, and dictionaries - Lists, tuples, and dictionaries</t>
        </is>
      </c>
      <c r="E40" s="2" t="n">
        <v>39</v>
      </c>
      <c r="F40" s="2" t="inlineStr">
        <is>
          <t>List Methods</t>
        </is>
      </c>
      <c r="G40" s="2" t="inlineStr">
        <is>
          <t>PYMCQ39</t>
        </is>
      </c>
      <c r="H40" s="2" t="inlineStr"/>
      <c r="I40" s="2" t="inlineStr">
        <is>
          <t>Easy</t>
        </is>
      </c>
      <c r="J40" s="3">
        <f>HYPERLINK("https://www.codechef.com/problems/PYMCQ39", "https://www.codechef.com/problems/PYMCQ39")</f>
        <v/>
      </c>
      <c r="K40" s="2" t="inlineStr"/>
      <c r="L40" s="2" t="inlineStr"/>
      <c r="M40" s="2" t="inlineStr"/>
      <c r="N40" s="2" t="inlineStr">
        <is>
          <t>No</t>
        </is>
      </c>
      <c r="O40" s="2" t="inlineStr">
        <is>
          <t>Unattempted</t>
        </is>
      </c>
    </row>
    <row r="41">
      <c r="A41" s="4" t="inlineStr">
        <is>
          <t>Interview Questions</t>
        </is>
      </c>
      <c r="B41" s="4" t="inlineStr">
        <is>
          <t>Python Interview Questions</t>
        </is>
      </c>
      <c r="C41" s="4" t="inlineStr">
        <is>
          <t>Practice these 118 Python Interview Questions and prepare for freshers interviews. Use the detailed explanations for MCQs whose answer you don't know.</t>
        </is>
      </c>
      <c r="D41" s="4" t="inlineStr">
        <is>
          <t>Lists, tuples, and dictionaries - Lists, tuples, and dictionaries</t>
        </is>
      </c>
      <c r="E41" s="4" t="n">
        <v>40</v>
      </c>
      <c r="F41" s="4" t="inlineStr">
        <is>
          <t>Dictionary Methods</t>
        </is>
      </c>
      <c r="G41" s="4" t="inlineStr">
        <is>
          <t>PYMCQ40</t>
        </is>
      </c>
      <c r="H41" s="4" t="inlineStr"/>
      <c r="I41" s="4" t="inlineStr">
        <is>
          <t>Easy</t>
        </is>
      </c>
      <c r="J41" s="5">
        <f>HYPERLINK("https://www.codechef.com/problems/PYMCQ40", "https://www.codechef.com/problems/PYMCQ40")</f>
        <v/>
      </c>
      <c r="K41" s="4" t="inlineStr"/>
      <c r="L41" s="4" t="inlineStr"/>
      <c r="M41" s="4" t="inlineStr"/>
      <c r="N41" s="4" t="inlineStr">
        <is>
          <t>No</t>
        </is>
      </c>
      <c r="O41" s="4" t="inlineStr">
        <is>
          <t>Unattempted</t>
        </is>
      </c>
    </row>
    <row r="42">
      <c r="A42" s="2" t="inlineStr">
        <is>
          <t>Interview Questions</t>
        </is>
      </c>
      <c r="B42" s="2" t="inlineStr">
        <is>
          <t>Python Interview Questions</t>
        </is>
      </c>
      <c r="C42" s="2" t="inlineStr">
        <is>
          <t>Practice these 118 Python Interview Questions and prepare for freshers interviews. Use the detailed explanations for MCQs whose answer you don't know.</t>
        </is>
      </c>
      <c r="D42" s="2" t="inlineStr">
        <is>
          <t>Functions and lambda expressions - Functions and lambda expressions</t>
        </is>
      </c>
      <c r="E42" s="2" t="n">
        <v>41</v>
      </c>
      <c r="F42" s="2" t="inlineStr">
        <is>
          <t>Function Definition</t>
        </is>
      </c>
      <c r="G42" s="2" t="inlineStr">
        <is>
          <t>PYMCQ41</t>
        </is>
      </c>
      <c r="H42" s="2" t="inlineStr"/>
      <c r="I42" s="2" t="inlineStr">
        <is>
          <t>Easy</t>
        </is>
      </c>
      <c r="J42" s="3">
        <f>HYPERLINK("https://www.codechef.com/problems/PYMCQ41", "https://www.codechef.com/problems/PYMCQ41")</f>
        <v/>
      </c>
      <c r="K42" s="2" t="inlineStr"/>
      <c r="L42" s="2" t="inlineStr"/>
      <c r="M42" s="2" t="inlineStr"/>
      <c r="N42" s="2" t="inlineStr">
        <is>
          <t>No</t>
        </is>
      </c>
      <c r="O42" s="2" t="inlineStr">
        <is>
          <t>Unattempted</t>
        </is>
      </c>
    </row>
    <row r="43">
      <c r="A43" s="4" t="inlineStr">
        <is>
          <t>Interview Questions</t>
        </is>
      </c>
      <c r="B43" s="4" t="inlineStr">
        <is>
          <t>Python Interview Questions</t>
        </is>
      </c>
      <c r="C43" s="4" t="inlineStr">
        <is>
          <t>Practice these 118 Python Interview Questions and prepare for freshers interviews. Use the detailed explanations for MCQs whose answer you don't know.</t>
        </is>
      </c>
      <c r="D43" s="4" t="inlineStr">
        <is>
          <t>Functions and lambda expressions - Functions and lambda expressions</t>
        </is>
      </c>
      <c r="E43" s="4" t="n">
        <v>42</v>
      </c>
      <c r="F43" s="4" t="inlineStr">
        <is>
          <t>Function Parameters</t>
        </is>
      </c>
      <c r="G43" s="4" t="inlineStr">
        <is>
          <t>PYMCQ42</t>
        </is>
      </c>
      <c r="H43" s="4" t="inlineStr"/>
      <c r="I43" s="4" t="inlineStr">
        <is>
          <t>Easy</t>
        </is>
      </c>
      <c r="J43" s="5">
        <f>HYPERLINK("https://www.codechef.com/problems/PYMCQ42", "https://www.codechef.com/problems/PYMCQ42")</f>
        <v/>
      </c>
      <c r="K43" s="4" t="inlineStr"/>
      <c r="L43" s="4" t="inlineStr"/>
      <c r="M43" s="4" t="inlineStr"/>
      <c r="N43" s="4" t="inlineStr">
        <is>
          <t>No</t>
        </is>
      </c>
      <c r="O43" s="4" t="inlineStr">
        <is>
          <t>Unattempted</t>
        </is>
      </c>
    </row>
    <row r="44">
      <c r="A44" s="2" t="inlineStr">
        <is>
          <t>Interview Questions</t>
        </is>
      </c>
      <c r="B44" s="2" t="inlineStr">
        <is>
          <t>Python Interview Questions</t>
        </is>
      </c>
      <c r="C44" s="2" t="inlineStr">
        <is>
          <t>Practice these 118 Python Interview Questions and prepare for freshers interviews. Use the detailed explanations for MCQs whose answer you don't know.</t>
        </is>
      </c>
      <c r="D44" s="2" t="inlineStr">
        <is>
          <t>Functions and lambda expressions - Functions and lambda expressions</t>
        </is>
      </c>
      <c r="E44" s="2" t="n">
        <v>43</v>
      </c>
      <c r="F44" s="2" t="inlineStr">
        <is>
          <t>Lambda Functions</t>
        </is>
      </c>
      <c r="G44" s="2" t="inlineStr">
        <is>
          <t>PYMCQ44</t>
        </is>
      </c>
      <c r="H44" s="2" t="inlineStr"/>
      <c r="I44" s="2" t="inlineStr">
        <is>
          <t>Easy</t>
        </is>
      </c>
      <c r="J44" s="3">
        <f>HYPERLINK("https://www.codechef.com/problems/PYMCQ44", "https://www.codechef.com/problems/PYMCQ44")</f>
        <v/>
      </c>
      <c r="K44" s="2" t="inlineStr"/>
      <c r="L44" s="2" t="inlineStr"/>
      <c r="M44" s="2" t="inlineStr"/>
      <c r="N44" s="2" t="inlineStr">
        <is>
          <t>No</t>
        </is>
      </c>
      <c r="O44" s="2" t="inlineStr">
        <is>
          <t>Unattempted</t>
        </is>
      </c>
    </row>
    <row r="45">
      <c r="A45" s="4" t="inlineStr">
        <is>
          <t>Interview Questions</t>
        </is>
      </c>
      <c r="B45" s="4" t="inlineStr">
        <is>
          <t>Python Interview Questions</t>
        </is>
      </c>
      <c r="C45" s="4" t="inlineStr">
        <is>
          <t>Practice these 118 Python Interview Questions and prepare for freshers interviews. Use the detailed explanations for MCQs whose answer you don't know.</t>
        </is>
      </c>
      <c r="D45" s="4" t="inlineStr">
        <is>
          <t>Functions and lambda expressions - Functions and lambda expressions</t>
        </is>
      </c>
      <c r="E45" s="4" t="n">
        <v>44</v>
      </c>
      <c r="F45" s="4" t="inlineStr">
        <is>
          <t>Map Function</t>
        </is>
      </c>
      <c r="G45" s="4" t="inlineStr">
        <is>
          <t>PYMCQ45</t>
        </is>
      </c>
      <c r="H45" s="4" t="inlineStr"/>
      <c r="I45" s="4" t="inlineStr">
        <is>
          <t>Easy</t>
        </is>
      </c>
      <c r="J45" s="5">
        <f>HYPERLINK("https://www.codechef.com/problems/PYMCQ45", "https://www.codechef.com/problems/PYMCQ45")</f>
        <v/>
      </c>
      <c r="K45" s="4" t="inlineStr"/>
      <c r="L45" s="4" t="inlineStr"/>
      <c r="M45" s="4" t="inlineStr"/>
      <c r="N45" s="4" t="inlineStr">
        <is>
          <t>No</t>
        </is>
      </c>
      <c r="O45" s="4" t="inlineStr">
        <is>
          <t>Unattempted</t>
        </is>
      </c>
    </row>
    <row r="46">
      <c r="A46" s="2" t="inlineStr">
        <is>
          <t>Interview Questions</t>
        </is>
      </c>
      <c r="B46" s="2" t="inlineStr">
        <is>
          <t>Python Interview Questions</t>
        </is>
      </c>
      <c r="C46" s="2" t="inlineStr">
        <is>
          <t>Practice these 118 Python Interview Questions and prepare for freshers interviews. Use the detailed explanations for MCQs whose answer you don't know.</t>
        </is>
      </c>
      <c r="D46" s="2" t="inlineStr">
        <is>
          <t>Functions and lambda expressions - Functions and lambda expressions</t>
        </is>
      </c>
      <c r="E46" s="2" t="n">
        <v>45</v>
      </c>
      <c r="F46" s="2" t="inlineStr">
        <is>
          <t>Filter Function</t>
        </is>
      </c>
      <c r="G46" s="2" t="inlineStr">
        <is>
          <t>PYMCQ46</t>
        </is>
      </c>
      <c r="H46" s="2" t="inlineStr"/>
      <c r="I46" s="2" t="inlineStr">
        <is>
          <t>Easy</t>
        </is>
      </c>
      <c r="J46" s="3">
        <f>HYPERLINK("https://www.codechef.com/problems/PYMCQ46", "https://www.codechef.com/problems/PYMCQ46")</f>
        <v/>
      </c>
      <c r="K46" s="2" t="inlineStr"/>
      <c r="L46" s="2" t="inlineStr"/>
      <c r="M46" s="2" t="inlineStr"/>
      <c r="N46" s="2" t="inlineStr">
        <is>
          <t>No</t>
        </is>
      </c>
      <c r="O46" s="2" t="inlineStr">
        <is>
          <t>Unattempted</t>
        </is>
      </c>
    </row>
    <row r="47">
      <c r="A47" s="4" t="inlineStr">
        <is>
          <t>Interview Questions</t>
        </is>
      </c>
      <c r="B47" s="4" t="inlineStr">
        <is>
          <t>Python Interview Questions</t>
        </is>
      </c>
      <c r="C47" s="4" t="inlineStr">
        <is>
          <t>Practice these 118 Python Interview Questions and prepare for freshers interviews. Use the detailed explanations for MCQs whose answer you don't know.</t>
        </is>
      </c>
      <c r="D47" s="4" t="inlineStr">
        <is>
          <t>Functions and lambda expressions - Functions and lambda expressions</t>
        </is>
      </c>
      <c r="E47" s="4" t="n">
        <v>46</v>
      </c>
      <c r="F47" s="4" t="inlineStr">
        <is>
          <t>Reduce Function</t>
        </is>
      </c>
      <c r="G47" s="4" t="inlineStr">
        <is>
          <t>PYMCQ47</t>
        </is>
      </c>
      <c r="H47" s="4" t="inlineStr"/>
      <c r="I47" s="4" t="inlineStr">
        <is>
          <t>Easy</t>
        </is>
      </c>
      <c r="J47" s="5">
        <f>HYPERLINK("https://www.codechef.com/problems/PYMCQ47", "https://www.codechef.com/problems/PYMCQ47")</f>
        <v/>
      </c>
      <c r="K47" s="4" t="inlineStr"/>
      <c r="L47" s="4" t="inlineStr"/>
      <c r="M47" s="4" t="inlineStr"/>
      <c r="N47" s="4" t="inlineStr">
        <is>
          <t>No</t>
        </is>
      </c>
      <c r="O47" s="4" t="inlineStr">
        <is>
          <t>Unattempted</t>
        </is>
      </c>
    </row>
    <row r="48">
      <c r="A48" s="2" t="inlineStr">
        <is>
          <t>Interview Questions</t>
        </is>
      </c>
      <c r="B48" s="2" t="inlineStr">
        <is>
          <t>Python Interview Questions</t>
        </is>
      </c>
      <c r="C48" s="2" t="inlineStr">
        <is>
          <t>Practice these 118 Python Interview Questions and prepare for freshers interviews. Use the detailed explanations for MCQs whose answer you don't know.</t>
        </is>
      </c>
      <c r="D48" s="2" t="inlineStr">
        <is>
          <t>Functions and lambda expressions - Functions and lambda expressions</t>
        </is>
      </c>
      <c r="E48" s="2" t="n">
        <v>47</v>
      </c>
      <c r="F48" s="2" t="inlineStr">
        <is>
          <t>Function Arguments</t>
        </is>
      </c>
      <c r="G48" s="2" t="inlineStr">
        <is>
          <t>PYMCQ48</t>
        </is>
      </c>
      <c r="H48" s="2" t="inlineStr"/>
      <c r="I48" s="2" t="inlineStr">
        <is>
          <t>Medium</t>
        </is>
      </c>
      <c r="J48" s="3">
        <f>HYPERLINK("https://www.codechef.com/problems/PYMCQ48", "https://www.codechef.com/problems/PYMCQ48")</f>
        <v/>
      </c>
      <c r="K48" s="2" t="inlineStr"/>
      <c r="L48" s="2" t="inlineStr"/>
      <c r="M48" s="2" t="inlineStr"/>
      <c r="N48" s="2" t="inlineStr">
        <is>
          <t>No</t>
        </is>
      </c>
      <c r="O48" s="2" t="inlineStr">
        <is>
          <t>Unattempted</t>
        </is>
      </c>
    </row>
    <row r="49">
      <c r="A49" s="4" t="inlineStr">
        <is>
          <t>Interview Questions</t>
        </is>
      </c>
      <c r="B49" s="4" t="inlineStr">
        <is>
          <t>Python Interview Questions</t>
        </is>
      </c>
      <c r="C49" s="4" t="inlineStr">
        <is>
          <t>Practice these 118 Python Interview Questions and prepare for freshers interviews. Use the detailed explanations for MCQs whose answer you don't know.</t>
        </is>
      </c>
      <c r="D49" s="4" t="inlineStr">
        <is>
          <t>Functions and lambda expressions - Functions and lambda expressions</t>
        </is>
      </c>
      <c r="E49" s="4" t="n">
        <v>48</v>
      </c>
      <c r="F49" s="4" t="inlineStr">
        <is>
          <t>Nested Functions</t>
        </is>
      </c>
      <c r="G49" s="4" t="inlineStr">
        <is>
          <t>PYMCQ49</t>
        </is>
      </c>
      <c r="H49" s="4" t="inlineStr"/>
      <c r="I49" s="4" t="inlineStr">
        <is>
          <t>Easy</t>
        </is>
      </c>
      <c r="J49" s="5">
        <f>HYPERLINK("https://www.codechef.com/problems/PYMCQ49", "https://www.codechef.com/problems/PYMCQ49")</f>
        <v/>
      </c>
      <c r="K49" s="4" t="inlineStr"/>
      <c r="L49" s="4" t="inlineStr"/>
      <c r="M49" s="4" t="inlineStr"/>
      <c r="N49" s="4" t="inlineStr">
        <is>
          <t>No</t>
        </is>
      </c>
      <c r="O49" s="4" t="inlineStr">
        <is>
          <t>Unattempted</t>
        </is>
      </c>
    </row>
    <row r="50">
      <c r="A50" s="2" t="inlineStr">
        <is>
          <t>Interview Questions</t>
        </is>
      </c>
      <c r="B50" s="2" t="inlineStr">
        <is>
          <t>Python Interview Questions</t>
        </is>
      </c>
      <c r="C50" s="2" t="inlineStr">
        <is>
          <t>Practice these 118 Python Interview Questions and prepare for freshers interviews. Use the detailed explanations for MCQs whose answer you don't know.</t>
        </is>
      </c>
      <c r="D50" s="2" t="inlineStr">
        <is>
          <t>Functions and lambda expressions - Functions and lambda expressions</t>
        </is>
      </c>
      <c r="E50" s="2" t="n">
        <v>49</v>
      </c>
      <c r="F50" s="2" t="inlineStr">
        <is>
          <t>Function Attributes</t>
        </is>
      </c>
      <c r="G50" s="2" t="inlineStr">
        <is>
          <t>PYMCQ50</t>
        </is>
      </c>
      <c r="H50" s="2" t="inlineStr"/>
      <c r="I50" s="2" t="inlineStr">
        <is>
          <t>Easy</t>
        </is>
      </c>
      <c r="J50" s="3">
        <f>HYPERLINK("https://www.codechef.com/problems/PYMCQ50", "https://www.codechef.com/problems/PYMCQ50")</f>
        <v/>
      </c>
      <c r="K50" s="2" t="inlineStr"/>
      <c r="L50" s="2" t="inlineStr"/>
      <c r="M50" s="2" t="inlineStr"/>
      <c r="N50" s="2" t="inlineStr">
        <is>
          <t>No</t>
        </is>
      </c>
      <c r="O50" s="2" t="inlineStr">
        <is>
          <t>Unattempted</t>
        </is>
      </c>
    </row>
    <row r="51">
      <c r="A51" s="4" t="inlineStr">
        <is>
          <t>Interview Questions</t>
        </is>
      </c>
      <c r="B51" s="4" t="inlineStr">
        <is>
          <t>Python Interview Questions</t>
        </is>
      </c>
      <c r="C51" s="4" t="inlineStr">
        <is>
          <t>Practice these 118 Python Interview Questions and prepare for freshers interviews. Use the detailed explanations for MCQs whose answer you don't know.</t>
        </is>
      </c>
      <c r="D51" s="4" t="inlineStr">
        <is>
          <t>File I/O operations - File I/O operations</t>
        </is>
      </c>
      <c r="E51" s="4" t="n">
        <v>50</v>
      </c>
      <c r="F51" s="4" t="inlineStr">
        <is>
          <t>File Opening Modes</t>
        </is>
      </c>
      <c r="G51" s="4" t="inlineStr">
        <is>
          <t>PYMCQ51</t>
        </is>
      </c>
      <c r="H51" s="4" t="inlineStr"/>
      <c r="I51" s="4" t="inlineStr">
        <is>
          <t>Easy</t>
        </is>
      </c>
      <c r="J51" s="5">
        <f>HYPERLINK("https://www.codechef.com/problems/PYMCQ51", "https://www.codechef.com/problems/PYMCQ51")</f>
        <v/>
      </c>
      <c r="K51" s="4" t="inlineStr"/>
      <c r="L51" s="4" t="inlineStr"/>
      <c r="M51" s="4" t="inlineStr"/>
      <c r="N51" s="4" t="inlineStr">
        <is>
          <t>No</t>
        </is>
      </c>
      <c r="O51" s="4" t="inlineStr">
        <is>
          <t>Unattempted</t>
        </is>
      </c>
    </row>
    <row r="52">
      <c r="A52" s="2" t="inlineStr">
        <is>
          <t>Interview Questions</t>
        </is>
      </c>
      <c r="B52" s="2" t="inlineStr">
        <is>
          <t>Python Interview Questions</t>
        </is>
      </c>
      <c r="C52" s="2" t="inlineStr">
        <is>
          <t>Practice these 118 Python Interview Questions and prepare for freshers interviews. Use the detailed explanations for MCQs whose answer you don't know.</t>
        </is>
      </c>
      <c r="D52" s="2" t="inlineStr">
        <is>
          <t>File I/O operations - File I/O operations</t>
        </is>
      </c>
      <c r="E52" s="2" t="n">
        <v>51</v>
      </c>
      <c r="F52" s="2" t="inlineStr">
        <is>
          <t>Reading File Content</t>
        </is>
      </c>
      <c r="G52" s="2" t="inlineStr">
        <is>
          <t>PYMCQ52</t>
        </is>
      </c>
      <c r="H52" s="2" t="inlineStr"/>
      <c r="I52" s="2" t="inlineStr">
        <is>
          <t>Easy</t>
        </is>
      </c>
      <c r="J52" s="3">
        <f>HYPERLINK("https://www.codechef.com/problems/PYMCQ52", "https://www.codechef.com/problems/PYMCQ52")</f>
        <v/>
      </c>
      <c r="K52" s="2" t="inlineStr"/>
      <c r="L52" s="2" t="inlineStr"/>
      <c r="M52" s="2" t="inlineStr"/>
      <c r="N52" s="2" t="inlineStr">
        <is>
          <t>No</t>
        </is>
      </c>
      <c r="O52" s="2" t="inlineStr">
        <is>
          <t>Unattempted</t>
        </is>
      </c>
    </row>
    <row r="53">
      <c r="A53" s="4" t="inlineStr">
        <is>
          <t>Interview Questions</t>
        </is>
      </c>
      <c r="B53" s="4" t="inlineStr">
        <is>
          <t>Python Interview Questions</t>
        </is>
      </c>
      <c r="C53" s="4" t="inlineStr">
        <is>
          <t>Practice these 118 Python Interview Questions and prepare for freshers interviews. Use the detailed explanations for MCQs whose answer you don't know.</t>
        </is>
      </c>
      <c r="D53" s="4" t="inlineStr">
        <is>
          <t>File I/O operations - File I/O operations</t>
        </is>
      </c>
      <c r="E53" s="4" t="n">
        <v>52</v>
      </c>
      <c r="F53" s="4" t="inlineStr">
        <is>
          <t>File Writing</t>
        </is>
      </c>
      <c r="G53" s="4" t="inlineStr">
        <is>
          <t>PYMCQ53</t>
        </is>
      </c>
      <c r="H53" s="4" t="inlineStr"/>
      <c r="I53" s="4" t="inlineStr">
        <is>
          <t>Easy</t>
        </is>
      </c>
      <c r="J53" s="5">
        <f>HYPERLINK("https://www.codechef.com/problems/PYMCQ53", "https://www.codechef.com/problems/PYMCQ53")</f>
        <v/>
      </c>
      <c r="K53" s="4" t="inlineStr"/>
      <c r="L53" s="4" t="inlineStr"/>
      <c r="M53" s="4" t="inlineStr"/>
      <c r="N53" s="4" t="inlineStr">
        <is>
          <t>No</t>
        </is>
      </c>
      <c r="O53" s="4" t="inlineStr">
        <is>
          <t>Unattempted</t>
        </is>
      </c>
    </row>
    <row r="54">
      <c r="A54" s="2" t="inlineStr">
        <is>
          <t>Interview Questions</t>
        </is>
      </c>
      <c r="B54" s="2" t="inlineStr">
        <is>
          <t>Python Interview Questions</t>
        </is>
      </c>
      <c r="C54" s="2" t="inlineStr">
        <is>
          <t>Practice these 118 Python Interview Questions and prepare for freshers interviews. Use the detailed explanations for MCQs whose answer you don't know.</t>
        </is>
      </c>
      <c r="D54" s="2" t="inlineStr">
        <is>
          <t>File I/O operations - File I/O operations</t>
        </is>
      </c>
      <c r="E54" s="2" t="n">
        <v>53</v>
      </c>
      <c r="F54" s="2" t="inlineStr">
        <is>
          <t>CSV File Handling</t>
        </is>
      </c>
      <c r="G54" s="2" t="inlineStr">
        <is>
          <t>PYMCQ54</t>
        </is>
      </c>
      <c r="H54" s="2" t="inlineStr"/>
      <c r="I54" s="2" t="inlineStr">
        <is>
          <t>Easy</t>
        </is>
      </c>
      <c r="J54" s="3">
        <f>HYPERLINK("https://www.codechef.com/problems/PYMCQ54", "https://www.codechef.com/problems/PYMCQ54")</f>
        <v/>
      </c>
      <c r="K54" s="2" t="inlineStr"/>
      <c r="L54" s="2" t="inlineStr"/>
      <c r="M54" s="2" t="inlineStr"/>
      <c r="N54" s="2" t="inlineStr">
        <is>
          <t>No</t>
        </is>
      </c>
      <c r="O54" s="2" t="inlineStr">
        <is>
          <t>Unattempted</t>
        </is>
      </c>
    </row>
    <row r="55">
      <c r="A55" s="4" t="inlineStr">
        <is>
          <t>Interview Questions</t>
        </is>
      </c>
      <c r="B55" s="4" t="inlineStr">
        <is>
          <t>Python Interview Questions</t>
        </is>
      </c>
      <c r="C55" s="4" t="inlineStr">
        <is>
          <t>Practice these 118 Python Interview Questions and prepare for freshers interviews. Use the detailed explanations for MCQs whose answer you don't know.</t>
        </is>
      </c>
      <c r="D55" s="4" t="inlineStr">
        <is>
          <t>File I/O operations - File I/O operations</t>
        </is>
      </c>
      <c r="E55" s="4" t="n">
        <v>54</v>
      </c>
      <c r="F55" s="4" t="inlineStr">
        <is>
          <t>Context Managers</t>
        </is>
      </c>
      <c r="G55" s="4" t="inlineStr">
        <is>
          <t>PYMCQ55</t>
        </is>
      </c>
      <c r="H55" s="4" t="inlineStr"/>
      <c r="I55" s="4" t="inlineStr">
        <is>
          <t>Easy</t>
        </is>
      </c>
      <c r="J55" s="5">
        <f>HYPERLINK("https://www.codechef.com/problems/PYMCQ55", "https://www.codechef.com/problems/PYMCQ55")</f>
        <v/>
      </c>
      <c r="K55" s="4" t="inlineStr"/>
      <c r="L55" s="4" t="inlineStr"/>
      <c r="M55" s="4" t="inlineStr"/>
      <c r="N55" s="4" t="inlineStr">
        <is>
          <t>No</t>
        </is>
      </c>
      <c r="O55" s="4" t="inlineStr">
        <is>
          <t>Unattempted</t>
        </is>
      </c>
    </row>
    <row r="56">
      <c r="A56" s="2" t="inlineStr">
        <is>
          <t>Interview Questions</t>
        </is>
      </c>
      <c r="B56" s="2" t="inlineStr">
        <is>
          <t>Python Interview Questions</t>
        </is>
      </c>
      <c r="C56" s="2" t="inlineStr">
        <is>
          <t>Practice these 118 Python Interview Questions and prepare for freshers interviews. Use the detailed explanations for MCQs whose answer you don't know.</t>
        </is>
      </c>
      <c r="D56" s="2" t="inlineStr">
        <is>
          <t>File I/O operations - File I/O operations</t>
        </is>
      </c>
      <c r="E56" s="2" t="n">
        <v>55</v>
      </c>
      <c r="F56" s="2" t="inlineStr">
        <is>
          <t>File Position</t>
        </is>
      </c>
      <c r="G56" s="2" t="inlineStr">
        <is>
          <t>PYMCQ56</t>
        </is>
      </c>
      <c r="H56" s="2" t="inlineStr"/>
      <c r="I56" s="2" t="inlineStr">
        <is>
          <t>Easy</t>
        </is>
      </c>
      <c r="J56" s="3">
        <f>HYPERLINK("https://www.codechef.com/problems/PYMCQ56", "https://www.codechef.com/problems/PYMCQ56")</f>
        <v/>
      </c>
      <c r="K56" s="2" t="inlineStr"/>
      <c r="L56" s="2" t="inlineStr"/>
      <c r="M56" s="2" t="inlineStr"/>
      <c r="N56" s="2" t="inlineStr">
        <is>
          <t>No</t>
        </is>
      </c>
      <c r="O56" s="2" t="inlineStr">
        <is>
          <t>Unattempted</t>
        </is>
      </c>
    </row>
    <row r="57">
      <c r="A57" s="4" t="inlineStr">
        <is>
          <t>Interview Questions</t>
        </is>
      </c>
      <c r="B57" s="4" t="inlineStr">
        <is>
          <t>Python Interview Questions</t>
        </is>
      </c>
      <c r="C57" s="4" t="inlineStr">
        <is>
          <t>Practice these 118 Python Interview Questions and prepare for freshers interviews. Use the detailed explanations for MCQs whose answer you don't know.</t>
        </is>
      </c>
      <c r="D57" s="4" t="inlineStr">
        <is>
          <t>File I/O operations - File I/O operations</t>
        </is>
      </c>
      <c r="E57" s="4" t="n">
        <v>56</v>
      </c>
      <c r="F57" s="4" t="inlineStr">
        <is>
          <t>File Modes Combination</t>
        </is>
      </c>
      <c r="G57" s="4" t="inlineStr">
        <is>
          <t>PYMCQ57</t>
        </is>
      </c>
      <c r="H57" s="4" t="inlineStr"/>
      <c r="I57" s="4" t="inlineStr">
        <is>
          <t>Easy</t>
        </is>
      </c>
      <c r="J57" s="5">
        <f>HYPERLINK("https://www.codechef.com/problems/PYMCQ57", "https://www.codechef.com/problems/PYMCQ57")</f>
        <v/>
      </c>
      <c r="K57" s="4" t="inlineStr"/>
      <c r="L57" s="4" t="inlineStr"/>
      <c r="M57" s="4" t="inlineStr"/>
      <c r="N57" s="4" t="inlineStr">
        <is>
          <t>No</t>
        </is>
      </c>
      <c r="O57" s="4" t="inlineStr">
        <is>
          <t>Unattempted</t>
        </is>
      </c>
    </row>
    <row r="58">
      <c r="A58" s="2" t="inlineStr">
        <is>
          <t>Interview Questions</t>
        </is>
      </c>
      <c r="B58" s="2" t="inlineStr">
        <is>
          <t>Python Interview Questions</t>
        </is>
      </c>
      <c r="C58" s="2" t="inlineStr">
        <is>
          <t>Practice these 118 Python Interview Questions and prepare for freshers interviews. Use the detailed explanations for MCQs whose answer you don't know.</t>
        </is>
      </c>
      <c r="D58" s="2" t="inlineStr">
        <is>
          <t>File I/O operations - File I/O operations</t>
        </is>
      </c>
      <c r="E58" s="2" t="n">
        <v>57</v>
      </c>
      <c r="F58" s="2" t="inlineStr">
        <is>
          <t>Binary File Handling</t>
        </is>
      </c>
      <c r="G58" s="2" t="inlineStr">
        <is>
          <t>PYMCQ58</t>
        </is>
      </c>
      <c r="H58" s="2" t="inlineStr"/>
      <c r="I58" s="2" t="inlineStr">
        <is>
          <t>Easy</t>
        </is>
      </c>
      <c r="J58" s="3">
        <f>HYPERLINK("https://www.codechef.com/problems/PYMCQ58", "https://www.codechef.com/problems/PYMCQ58")</f>
        <v/>
      </c>
      <c r="K58" s="2" t="inlineStr"/>
      <c r="L58" s="2" t="inlineStr"/>
      <c r="M58" s="2" t="inlineStr"/>
      <c r="N58" s="2" t="inlineStr">
        <is>
          <t>No</t>
        </is>
      </c>
      <c r="O58" s="2" t="inlineStr">
        <is>
          <t>Unattempted</t>
        </is>
      </c>
    </row>
    <row r="59">
      <c r="A59" s="4" t="inlineStr">
        <is>
          <t>Interview Questions</t>
        </is>
      </c>
      <c r="B59" s="4" t="inlineStr">
        <is>
          <t>Python Interview Questions</t>
        </is>
      </c>
      <c r="C59" s="4" t="inlineStr">
        <is>
          <t>Practice these 118 Python Interview Questions and prepare for freshers interviews. Use the detailed explanations for MCQs whose answer you don't know.</t>
        </is>
      </c>
      <c r="D59" s="4" t="inlineStr">
        <is>
          <t>File I/O operations - File I/O operations</t>
        </is>
      </c>
      <c r="E59" s="4" t="n">
        <v>58</v>
      </c>
      <c r="F59" s="4" t="inlineStr">
        <is>
          <t>File Methods</t>
        </is>
      </c>
      <c r="G59" s="4" t="inlineStr">
        <is>
          <t>PYMCQ59</t>
        </is>
      </c>
      <c r="H59" s="4" t="inlineStr"/>
      <c r="I59" s="4" t="inlineStr">
        <is>
          <t>Easy</t>
        </is>
      </c>
      <c r="J59" s="5">
        <f>HYPERLINK("https://www.codechef.com/problems/PYMCQ59", "https://www.codechef.com/problems/PYMCQ59")</f>
        <v/>
      </c>
      <c r="K59" s="4" t="inlineStr"/>
      <c r="L59" s="4" t="inlineStr"/>
      <c r="M59" s="4" t="inlineStr"/>
      <c r="N59" s="4" t="inlineStr">
        <is>
          <t>No</t>
        </is>
      </c>
      <c r="O59" s="4" t="inlineStr">
        <is>
          <t>Unattempted</t>
        </is>
      </c>
    </row>
    <row r="60">
      <c r="A60" s="2" t="inlineStr">
        <is>
          <t>Interview Questions</t>
        </is>
      </c>
      <c r="B60" s="2" t="inlineStr">
        <is>
          <t>Python Interview Questions</t>
        </is>
      </c>
      <c r="C60" s="2" t="inlineStr">
        <is>
          <t>Practice these 118 Python Interview Questions and prepare for freshers interviews. Use the detailed explanations for MCQs whose answer you don't know.</t>
        </is>
      </c>
      <c r="D60" s="2" t="inlineStr">
        <is>
          <t>File I/O operations - File I/O operations</t>
        </is>
      </c>
      <c r="E60" s="2" t="n">
        <v>59</v>
      </c>
      <c r="F60" s="2" t="inlineStr">
        <is>
          <t>File Writing Modes</t>
        </is>
      </c>
      <c r="G60" s="2" t="inlineStr">
        <is>
          <t>PYMCQ60</t>
        </is>
      </c>
      <c r="H60" s="2" t="inlineStr"/>
      <c r="I60" s="2" t="inlineStr">
        <is>
          <t>Easy</t>
        </is>
      </c>
      <c r="J60" s="3">
        <f>HYPERLINK("https://www.codechef.com/problems/PYMCQ60", "https://www.codechef.com/problems/PYMCQ60")</f>
        <v/>
      </c>
      <c r="K60" s="2" t="inlineStr"/>
      <c r="L60" s="2" t="inlineStr"/>
      <c r="M60" s="2" t="inlineStr"/>
      <c r="N60" s="2" t="inlineStr">
        <is>
          <t>No</t>
        </is>
      </c>
      <c r="O60" s="2" t="inlineStr">
        <is>
          <t>Unattempted</t>
        </is>
      </c>
    </row>
    <row r="61">
      <c r="A61" s="4" t="inlineStr">
        <is>
          <t>Interview Questions</t>
        </is>
      </c>
      <c r="B61" s="4" t="inlineStr">
        <is>
          <t>Python Interview Questions</t>
        </is>
      </c>
      <c r="C61" s="4" t="inlineStr">
        <is>
          <t>Practice these 118 Python Interview Questions and prepare for freshers interviews. Use the detailed explanations for MCQs whose answer you don't know.</t>
        </is>
      </c>
      <c r="D61" s="4" t="inlineStr">
        <is>
          <t>Modules and packages - Modules and packages</t>
        </is>
      </c>
      <c r="E61" s="4" t="n">
        <v>60</v>
      </c>
      <c r="F61" s="4" t="inlineStr">
        <is>
          <t>Module Import Syntax</t>
        </is>
      </c>
      <c r="G61" s="4" t="inlineStr">
        <is>
          <t>PYMCQ61</t>
        </is>
      </c>
      <c r="H61" s="4" t="inlineStr"/>
      <c r="I61" s="4" t="inlineStr">
        <is>
          <t>Easy</t>
        </is>
      </c>
      <c r="J61" s="5">
        <f>HYPERLINK("https://www.codechef.com/problems/PYMCQ61", "https://www.codechef.com/problems/PYMCQ61")</f>
        <v/>
      </c>
      <c r="K61" s="4" t="inlineStr"/>
      <c r="L61" s="4" t="inlineStr"/>
      <c r="M61" s="4" t="inlineStr"/>
      <c r="N61" s="4" t="inlineStr">
        <is>
          <t>No</t>
        </is>
      </c>
      <c r="O61" s="4" t="inlineStr">
        <is>
          <t>Unattempted</t>
        </is>
      </c>
    </row>
    <row r="62">
      <c r="A62" s="2" t="inlineStr">
        <is>
          <t>Interview Questions</t>
        </is>
      </c>
      <c r="B62" s="2" t="inlineStr">
        <is>
          <t>Python Interview Questions</t>
        </is>
      </c>
      <c r="C62" s="2" t="inlineStr">
        <is>
          <t>Practice these 118 Python Interview Questions and prepare for freshers interviews. Use the detailed explanations for MCQs whose answer you don't know.</t>
        </is>
      </c>
      <c r="D62" s="2" t="inlineStr">
        <is>
          <t>Modules and packages - Modules and packages</t>
        </is>
      </c>
      <c r="E62" s="2" t="n">
        <v>61</v>
      </c>
      <c r="F62" s="2" t="inlineStr">
        <is>
          <t>Importing Specific Functions</t>
        </is>
      </c>
      <c r="G62" s="2" t="inlineStr">
        <is>
          <t>PYMCQ62</t>
        </is>
      </c>
      <c r="H62" s="2" t="inlineStr"/>
      <c r="I62" s="2" t="inlineStr">
        <is>
          <t>Easy</t>
        </is>
      </c>
      <c r="J62" s="3">
        <f>HYPERLINK("https://www.codechef.com/problems/PYMCQ62", "https://www.codechef.com/problems/PYMCQ62")</f>
        <v/>
      </c>
      <c r="K62" s="2" t="inlineStr"/>
      <c r="L62" s="2" t="inlineStr"/>
      <c r="M62" s="2" t="inlineStr"/>
      <c r="N62" s="2" t="inlineStr">
        <is>
          <t>No</t>
        </is>
      </c>
      <c r="O62" s="2" t="inlineStr">
        <is>
          <t>Unattempted</t>
        </is>
      </c>
    </row>
    <row r="63">
      <c r="A63" s="4" t="inlineStr">
        <is>
          <t>Interview Questions</t>
        </is>
      </c>
      <c r="B63" s="4" t="inlineStr">
        <is>
          <t>Python Interview Questions</t>
        </is>
      </c>
      <c r="C63" s="4" t="inlineStr">
        <is>
          <t>Practice these 118 Python Interview Questions and prepare for freshers interviews. Use the detailed explanations for MCQs whose answer you don't know.</t>
        </is>
      </c>
      <c r="D63" s="4" t="inlineStr">
        <is>
          <t>Modules and packages - Modules and packages</t>
        </is>
      </c>
      <c r="E63" s="4" t="n">
        <v>62</v>
      </c>
      <c r="F63" s="4" t="inlineStr">
        <is>
          <t>Creating Custom Modules</t>
        </is>
      </c>
      <c r="G63" s="4" t="inlineStr">
        <is>
          <t>PYMCQ63</t>
        </is>
      </c>
      <c r="H63" s="4" t="inlineStr"/>
      <c r="I63" s="4" t="inlineStr">
        <is>
          <t>Easy</t>
        </is>
      </c>
      <c r="J63" s="5">
        <f>HYPERLINK("https://www.codechef.com/problems/PYMCQ63", "https://www.codechef.com/problems/PYMCQ63")</f>
        <v/>
      </c>
      <c r="K63" s="4" t="inlineStr"/>
      <c r="L63" s="4" t="inlineStr"/>
      <c r="M63" s="4" t="inlineStr"/>
      <c r="N63" s="4" t="inlineStr">
        <is>
          <t>No</t>
        </is>
      </c>
      <c r="O63" s="4" t="inlineStr">
        <is>
          <t>Unattempted</t>
        </is>
      </c>
    </row>
    <row r="64">
      <c r="A64" s="2" t="inlineStr">
        <is>
          <t>Interview Questions</t>
        </is>
      </c>
      <c r="B64" s="2" t="inlineStr">
        <is>
          <t>Python Interview Questions</t>
        </is>
      </c>
      <c r="C64" s="2" t="inlineStr">
        <is>
          <t>Practice these 118 Python Interview Questions and prepare for freshers interviews. Use the detailed explanations for MCQs whose answer you don't know.</t>
        </is>
      </c>
      <c r="D64" s="2" t="inlineStr">
        <is>
          <t>Modules and packages - Modules and packages</t>
        </is>
      </c>
      <c r="E64" s="2" t="n">
        <v>63</v>
      </c>
      <c r="F64" s="2" t="inlineStr">
        <is>
          <t>Package Structure</t>
        </is>
      </c>
      <c r="G64" s="2" t="inlineStr">
        <is>
          <t>PYMCQ64</t>
        </is>
      </c>
      <c r="H64" s="2" t="inlineStr"/>
      <c r="I64" s="2" t="inlineStr">
        <is>
          <t>Easy</t>
        </is>
      </c>
      <c r="J64" s="3">
        <f>HYPERLINK("https://www.codechef.com/problems/PYMCQ64", "https://www.codechef.com/problems/PYMCQ64")</f>
        <v/>
      </c>
      <c r="K64" s="2" t="inlineStr"/>
      <c r="L64" s="2" t="inlineStr"/>
      <c r="M64" s="2" t="inlineStr"/>
      <c r="N64" s="2" t="inlineStr">
        <is>
          <t>No</t>
        </is>
      </c>
      <c r="O64" s="2" t="inlineStr">
        <is>
          <t>Unattempted</t>
        </is>
      </c>
    </row>
    <row r="65">
      <c r="A65" s="4" t="inlineStr">
        <is>
          <t>Interview Questions</t>
        </is>
      </c>
      <c r="B65" s="4" t="inlineStr">
        <is>
          <t>Python Interview Questions</t>
        </is>
      </c>
      <c r="C65" s="4" t="inlineStr">
        <is>
          <t>Practice these 118 Python Interview Questions and prepare for freshers interviews. Use the detailed explanations for MCQs whose answer you don't know.</t>
        </is>
      </c>
      <c r="D65" s="4" t="inlineStr">
        <is>
          <t>Modules and packages - Modules and packages</t>
        </is>
      </c>
      <c r="E65" s="4" t="n">
        <v>64</v>
      </c>
      <c r="F65" s="4" t="inlineStr">
        <is>
          <t>Relative Imports</t>
        </is>
      </c>
      <c r="G65" s="4" t="inlineStr">
        <is>
          <t>PYMCQ65</t>
        </is>
      </c>
      <c r="H65" s="4" t="inlineStr"/>
      <c r="I65" s="4" t="inlineStr">
        <is>
          <t>Easy</t>
        </is>
      </c>
      <c r="J65" s="5">
        <f>HYPERLINK("https://www.codechef.com/problems/PYMCQ65", "https://www.codechef.com/problems/PYMCQ65")</f>
        <v/>
      </c>
      <c r="K65" s="4" t="inlineStr"/>
      <c r="L65" s="4" t="inlineStr"/>
      <c r="M65" s="4" t="inlineStr"/>
      <c r="N65" s="4" t="inlineStr">
        <is>
          <t>No</t>
        </is>
      </c>
      <c r="O65" s="4" t="inlineStr">
        <is>
          <t>Unattempted</t>
        </is>
      </c>
    </row>
    <row r="66">
      <c r="A66" s="2" t="inlineStr">
        <is>
          <t>Interview Questions</t>
        </is>
      </c>
      <c r="B66" s="2" t="inlineStr">
        <is>
          <t>Python Interview Questions</t>
        </is>
      </c>
      <c r="C66" s="2" t="inlineStr">
        <is>
          <t>Practice these 118 Python Interview Questions and prepare for freshers interviews. Use the detailed explanations for MCQs whose answer you don't know.</t>
        </is>
      </c>
      <c r="D66" s="2" t="inlineStr">
        <is>
          <t>Modules and packages - Modules and packages</t>
        </is>
      </c>
      <c r="E66" s="2" t="n">
        <v>65</v>
      </c>
      <c r="F66" s="2" t="inlineStr">
        <is>
          <t>OS Module Usage</t>
        </is>
      </c>
      <c r="G66" s="2" t="inlineStr">
        <is>
          <t>PYMCQ66</t>
        </is>
      </c>
      <c r="H66" s="2" t="inlineStr"/>
      <c r="I66" s="2" t="inlineStr">
        <is>
          <t>Easy</t>
        </is>
      </c>
      <c r="J66" s="3">
        <f>HYPERLINK("https://www.codechef.com/problems/PYMCQ66", "https://www.codechef.com/problems/PYMCQ66")</f>
        <v/>
      </c>
      <c r="K66" s="2" t="inlineStr"/>
      <c r="L66" s="2" t="inlineStr"/>
      <c r="M66" s="2" t="inlineStr"/>
      <c r="N66" s="2" t="inlineStr">
        <is>
          <t>No</t>
        </is>
      </c>
      <c r="O66" s="2" t="inlineStr">
        <is>
          <t>Unattempted</t>
        </is>
      </c>
    </row>
    <row r="67">
      <c r="A67" s="4" t="inlineStr">
        <is>
          <t>Interview Questions</t>
        </is>
      </c>
      <c r="B67" s="4" t="inlineStr">
        <is>
          <t>Python Interview Questions</t>
        </is>
      </c>
      <c r="C67" s="4" t="inlineStr">
        <is>
          <t>Practice these 118 Python Interview Questions and prepare for freshers interviews. Use the detailed explanations for MCQs whose answer you don't know.</t>
        </is>
      </c>
      <c r="D67" s="4" t="inlineStr">
        <is>
          <t>Modules and packages - Modules and packages</t>
        </is>
      </c>
      <c r="E67" s="4" t="n">
        <v>66</v>
      </c>
      <c r="F67" s="4" t="inlineStr">
        <is>
          <t>Sys Module Functionality</t>
        </is>
      </c>
      <c r="G67" s="4" t="inlineStr">
        <is>
          <t>PYMCQ67</t>
        </is>
      </c>
      <c r="H67" s="4" t="inlineStr"/>
      <c r="I67" s="4" t="inlineStr">
        <is>
          <t>Easy</t>
        </is>
      </c>
      <c r="J67" s="5">
        <f>HYPERLINK("https://www.codechef.com/problems/PYMCQ67", "https://www.codechef.com/problems/PYMCQ67")</f>
        <v/>
      </c>
      <c r="K67" s="4" t="inlineStr"/>
      <c r="L67" s="4" t="inlineStr"/>
      <c r="M67" s="4" t="inlineStr"/>
      <c r="N67" s="4" t="inlineStr">
        <is>
          <t>No</t>
        </is>
      </c>
      <c r="O67" s="4" t="inlineStr">
        <is>
          <t>Unattempted</t>
        </is>
      </c>
    </row>
    <row r="68">
      <c r="A68" s="2" t="inlineStr">
        <is>
          <t>Interview Questions</t>
        </is>
      </c>
      <c r="B68" s="2" t="inlineStr">
        <is>
          <t>Python Interview Questions</t>
        </is>
      </c>
      <c r="C68" s="2" t="inlineStr">
        <is>
          <t>Practice these 118 Python Interview Questions and prepare for freshers interviews. Use the detailed explanations for MCQs whose answer you don't know.</t>
        </is>
      </c>
      <c r="D68" s="2" t="inlineStr">
        <is>
          <t>Modules and packages - Modules and packages</t>
        </is>
      </c>
      <c r="E68" s="2" t="n">
        <v>67</v>
      </c>
      <c r="F68" s="2" t="inlineStr">
        <is>
          <t>Module Reloading</t>
        </is>
      </c>
      <c r="G68" s="2" t="inlineStr">
        <is>
          <t>PYMCQ68</t>
        </is>
      </c>
      <c r="H68" s="2" t="inlineStr"/>
      <c r="I68" s="2" t="inlineStr">
        <is>
          <t>Medium</t>
        </is>
      </c>
      <c r="J68" s="3">
        <f>HYPERLINK("https://www.codechef.com/problems/PYMCQ68", "https://www.codechef.com/problems/PYMCQ68")</f>
        <v/>
      </c>
      <c r="K68" s="2" t="inlineStr"/>
      <c r="L68" s="2" t="inlineStr"/>
      <c r="M68" s="2" t="inlineStr"/>
      <c r="N68" s="2" t="inlineStr">
        <is>
          <t>No</t>
        </is>
      </c>
      <c r="O68" s="2" t="inlineStr">
        <is>
          <t>Unattempted</t>
        </is>
      </c>
    </row>
    <row r="69">
      <c r="A69" s="4" t="inlineStr">
        <is>
          <t>Interview Questions</t>
        </is>
      </c>
      <c r="B69" s="4" t="inlineStr">
        <is>
          <t>Python Interview Questions</t>
        </is>
      </c>
      <c r="C69" s="4" t="inlineStr">
        <is>
          <t>Practice these 118 Python Interview Questions and prepare for freshers interviews. Use the detailed explanations for MCQs whose answer you don't know.</t>
        </is>
      </c>
      <c r="D69" s="4" t="inlineStr">
        <is>
          <t>Modules and packages - Modules and packages</t>
        </is>
      </c>
      <c r="E69" s="4" t="n">
        <v>68</v>
      </c>
      <c r="F69" s="4" t="inlineStr">
        <is>
          <t>Package Initialization</t>
        </is>
      </c>
      <c r="G69" s="4" t="inlineStr">
        <is>
          <t>PYMCQ69</t>
        </is>
      </c>
      <c r="H69" s="4" t="inlineStr"/>
      <c r="I69" s="4" t="inlineStr">
        <is>
          <t>Medium</t>
        </is>
      </c>
      <c r="J69" s="5">
        <f>HYPERLINK("https://www.codechef.com/problems/PYMCQ69", "https://www.codechef.com/problems/PYMCQ69")</f>
        <v/>
      </c>
      <c r="K69" s="4" t="inlineStr"/>
      <c r="L69" s="4" t="inlineStr"/>
      <c r="M69" s="4" t="inlineStr"/>
      <c r="N69" s="4" t="inlineStr">
        <is>
          <t>No</t>
        </is>
      </c>
      <c r="O69" s="4" t="inlineStr">
        <is>
          <t>Unattempted</t>
        </is>
      </c>
    </row>
    <row r="70">
      <c r="A70" s="2" t="inlineStr">
        <is>
          <t>Interview Questions</t>
        </is>
      </c>
      <c r="B70" s="2" t="inlineStr">
        <is>
          <t>Python Interview Questions</t>
        </is>
      </c>
      <c r="C70" s="2" t="inlineStr">
        <is>
          <t>Practice these 118 Python Interview Questions and prepare for freshers interviews. Use the detailed explanations for MCQs whose answer you don't know.</t>
        </is>
      </c>
      <c r="D70" s="2" t="inlineStr">
        <is>
          <t>Modules and packages - Modules and packages</t>
        </is>
      </c>
      <c r="E70" s="2" t="n">
        <v>69</v>
      </c>
      <c r="F70" s="2" t="inlineStr">
        <is>
          <t>Circular Imports</t>
        </is>
      </c>
      <c r="G70" s="2" t="inlineStr">
        <is>
          <t>PYMCQ70</t>
        </is>
      </c>
      <c r="H70" s="2" t="inlineStr"/>
      <c r="I70" s="2" t="inlineStr">
        <is>
          <t>Medium</t>
        </is>
      </c>
      <c r="J70" s="3">
        <f>HYPERLINK("https://www.codechef.com/problems/PYMCQ70", "https://www.codechef.com/problems/PYMCQ70")</f>
        <v/>
      </c>
      <c r="K70" s="2" t="inlineStr"/>
      <c r="L70" s="2" t="inlineStr"/>
      <c r="M70" s="2" t="inlineStr"/>
      <c r="N70" s="2" t="inlineStr">
        <is>
          <t>No</t>
        </is>
      </c>
      <c r="O70" s="2" t="inlineStr">
        <is>
          <t>Unattempted</t>
        </is>
      </c>
    </row>
    <row r="71">
      <c r="A71" s="4" t="inlineStr">
        <is>
          <t>Interview Questions</t>
        </is>
      </c>
      <c r="B71" s="4" t="inlineStr">
        <is>
          <t>Python Interview Questions</t>
        </is>
      </c>
      <c r="C71" s="4" t="inlineStr">
        <is>
          <t>Practice these 118 Python Interview Questions and prepare for freshers interviews. Use the detailed explanations for MCQs whose answer you don't know.</t>
        </is>
      </c>
      <c r="D71" s="4" t="inlineStr">
        <is>
          <t>Exception handling - Exception handling</t>
        </is>
      </c>
      <c r="E71" s="4" t="n">
        <v>70</v>
      </c>
      <c r="F71" s="4" t="inlineStr">
        <is>
          <t>Basic Exception Handling</t>
        </is>
      </c>
      <c r="G71" s="4" t="inlineStr">
        <is>
          <t>PYMCQ71</t>
        </is>
      </c>
      <c r="H71" s="4" t="inlineStr"/>
      <c r="I71" s="4" t="inlineStr">
        <is>
          <t>Easy</t>
        </is>
      </c>
      <c r="J71" s="5">
        <f>HYPERLINK("https://www.codechef.com/problems/PYMCQ71", "https://www.codechef.com/problems/PYMCQ71")</f>
        <v/>
      </c>
      <c r="K71" s="4" t="inlineStr"/>
      <c r="L71" s="4" t="inlineStr"/>
      <c r="M71" s="4" t="inlineStr"/>
      <c r="N71" s="4" t="inlineStr">
        <is>
          <t>No</t>
        </is>
      </c>
      <c r="O71" s="4" t="inlineStr">
        <is>
          <t>Unattempted</t>
        </is>
      </c>
    </row>
    <row r="72">
      <c r="A72" s="2" t="inlineStr">
        <is>
          <t>Interview Questions</t>
        </is>
      </c>
      <c r="B72" s="2" t="inlineStr">
        <is>
          <t>Python Interview Questions</t>
        </is>
      </c>
      <c r="C72" s="2" t="inlineStr">
        <is>
          <t>Practice these 118 Python Interview Questions and prepare for freshers interviews. Use the detailed explanations for MCQs whose answer you don't know.</t>
        </is>
      </c>
      <c r="D72" s="2" t="inlineStr">
        <is>
          <t>Exception handling - Exception handling</t>
        </is>
      </c>
      <c r="E72" s="2" t="n">
        <v>71</v>
      </c>
      <c r="F72" s="2" t="inlineStr">
        <is>
          <t>Multiple Exception Types</t>
        </is>
      </c>
      <c r="G72" s="2" t="inlineStr">
        <is>
          <t>PYMCQ72</t>
        </is>
      </c>
      <c r="H72" s="2" t="inlineStr"/>
      <c r="I72" s="2" t="inlineStr">
        <is>
          <t>Easy</t>
        </is>
      </c>
      <c r="J72" s="3">
        <f>HYPERLINK("https://www.codechef.com/problems/PYMCQ72", "https://www.codechef.com/problems/PYMCQ72")</f>
        <v/>
      </c>
      <c r="K72" s="2" t="inlineStr"/>
      <c r="L72" s="2" t="inlineStr"/>
      <c r="M72" s="2" t="inlineStr"/>
      <c r="N72" s="2" t="inlineStr">
        <is>
          <t>No</t>
        </is>
      </c>
      <c r="O72" s="2" t="inlineStr">
        <is>
          <t>Unattempted</t>
        </is>
      </c>
    </row>
    <row r="73">
      <c r="A73" s="4" t="inlineStr">
        <is>
          <t>Interview Questions</t>
        </is>
      </c>
      <c r="B73" s="4" t="inlineStr">
        <is>
          <t>Python Interview Questions</t>
        </is>
      </c>
      <c r="C73" s="4" t="inlineStr">
        <is>
          <t>Practice these 118 Python Interview Questions and prepare for freshers interviews. Use the detailed explanations for MCQs whose answer you don't know.</t>
        </is>
      </c>
      <c r="D73" s="4" t="inlineStr">
        <is>
          <t>Exception handling - Exception handling</t>
        </is>
      </c>
      <c r="E73" s="4" t="n">
        <v>72</v>
      </c>
      <c r="F73" s="4" t="inlineStr">
        <is>
          <t>Raising Exceptions</t>
        </is>
      </c>
      <c r="G73" s="4" t="inlineStr">
        <is>
          <t>PYMCQ73</t>
        </is>
      </c>
      <c r="H73" s="4" t="inlineStr"/>
      <c r="I73" s="4" t="inlineStr">
        <is>
          <t>Easy</t>
        </is>
      </c>
      <c r="J73" s="5">
        <f>HYPERLINK("https://www.codechef.com/problems/PYMCQ73", "https://www.codechef.com/problems/PYMCQ73")</f>
        <v/>
      </c>
      <c r="K73" s="4" t="inlineStr"/>
      <c r="L73" s="4" t="inlineStr"/>
      <c r="M73" s="4" t="inlineStr"/>
      <c r="N73" s="4" t="inlineStr">
        <is>
          <t>No</t>
        </is>
      </c>
      <c r="O73" s="4" t="inlineStr">
        <is>
          <t>Unattempted</t>
        </is>
      </c>
    </row>
    <row r="74">
      <c r="A74" s="2" t="inlineStr">
        <is>
          <t>Interview Questions</t>
        </is>
      </c>
      <c r="B74" s="2" t="inlineStr">
        <is>
          <t>Python Interview Questions</t>
        </is>
      </c>
      <c r="C74" s="2" t="inlineStr">
        <is>
          <t>Practice these 118 Python Interview Questions and prepare for freshers interviews. Use the detailed explanations for MCQs whose answer you don't know.</t>
        </is>
      </c>
      <c r="D74" s="2" t="inlineStr">
        <is>
          <t>Exception handling - Exception handling</t>
        </is>
      </c>
      <c r="E74" s="2" t="n">
        <v>73</v>
      </c>
      <c r="F74" s="2" t="inlineStr">
        <is>
          <t>Custom Exceptions</t>
        </is>
      </c>
      <c r="G74" s="2" t="inlineStr">
        <is>
          <t>PYMCQ74</t>
        </is>
      </c>
      <c r="H74" s="2" t="inlineStr"/>
      <c r="I74" s="2" t="inlineStr">
        <is>
          <t>Easy</t>
        </is>
      </c>
      <c r="J74" s="3">
        <f>HYPERLINK("https://www.codechef.com/problems/PYMCQ74", "https://www.codechef.com/problems/PYMCQ74")</f>
        <v/>
      </c>
      <c r="K74" s="2" t="inlineStr"/>
      <c r="L74" s="2" t="inlineStr"/>
      <c r="M74" s="2" t="inlineStr"/>
      <c r="N74" s="2" t="inlineStr">
        <is>
          <t>No</t>
        </is>
      </c>
      <c r="O74" s="2" t="inlineStr">
        <is>
          <t>Unattempted</t>
        </is>
      </c>
    </row>
    <row r="75">
      <c r="A75" s="4" t="inlineStr">
        <is>
          <t>Interview Questions</t>
        </is>
      </c>
      <c r="B75" s="4" t="inlineStr">
        <is>
          <t>Python Interview Questions</t>
        </is>
      </c>
      <c r="C75" s="4" t="inlineStr">
        <is>
          <t>Practice these 118 Python Interview Questions and prepare for freshers interviews. Use the detailed explanations for MCQs whose answer you don't know.</t>
        </is>
      </c>
      <c r="D75" s="4" t="inlineStr">
        <is>
          <t>Exception handling - Exception handling</t>
        </is>
      </c>
      <c r="E75" s="4" t="n">
        <v>74</v>
      </c>
      <c r="F75" s="4" t="inlineStr">
        <is>
          <t>Finally Clause</t>
        </is>
      </c>
      <c r="G75" s="4" t="inlineStr">
        <is>
          <t>PYMCQ75</t>
        </is>
      </c>
      <c r="H75" s="4" t="inlineStr"/>
      <c r="I75" s="4" t="inlineStr">
        <is>
          <t>Easy</t>
        </is>
      </c>
      <c r="J75" s="5">
        <f>HYPERLINK("https://www.codechef.com/problems/PYMCQ75", "https://www.codechef.com/problems/PYMCQ75")</f>
        <v/>
      </c>
      <c r="K75" s="4" t="inlineStr"/>
      <c r="L75" s="4" t="inlineStr"/>
      <c r="M75" s="4" t="inlineStr"/>
      <c r="N75" s="4" t="inlineStr">
        <is>
          <t>No</t>
        </is>
      </c>
      <c r="O75" s="4" t="inlineStr">
        <is>
          <t>Unattempted</t>
        </is>
      </c>
    </row>
    <row r="76">
      <c r="A76" s="2" t="inlineStr">
        <is>
          <t>Interview Questions</t>
        </is>
      </c>
      <c r="B76" s="2" t="inlineStr">
        <is>
          <t>Python Interview Questions</t>
        </is>
      </c>
      <c r="C76" s="2" t="inlineStr">
        <is>
          <t>Practice these 118 Python Interview Questions and prepare for freshers interviews. Use the detailed explanations for MCQs whose answer you don't know.</t>
        </is>
      </c>
      <c r="D76" s="2" t="inlineStr">
        <is>
          <t>Exception handling - Exception handling</t>
        </is>
      </c>
      <c r="E76" s="2" t="n">
        <v>75</v>
      </c>
      <c r="F76" s="2" t="inlineStr">
        <is>
          <t>Exception Hierarchy</t>
        </is>
      </c>
      <c r="G76" s="2" t="inlineStr">
        <is>
          <t>PYMCQ76</t>
        </is>
      </c>
      <c r="H76" s="2" t="inlineStr"/>
      <c r="I76" s="2" t="inlineStr">
        <is>
          <t>Easy</t>
        </is>
      </c>
      <c r="J76" s="3">
        <f>HYPERLINK("https://www.codechef.com/problems/PYMCQ76", "https://www.codechef.com/problems/PYMCQ76")</f>
        <v/>
      </c>
      <c r="K76" s="2" t="inlineStr"/>
      <c r="L76" s="2" t="inlineStr"/>
      <c r="M76" s="2" t="inlineStr"/>
      <c r="N76" s="2" t="inlineStr">
        <is>
          <t>No</t>
        </is>
      </c>
      <c r="O76" s="2" t="inlineStr">
        <is>
          <t>Unattempted</t>
        </is>
      </c>
    </row>
    <row r="77">
      <c r="A77" s="4" t="inlineStr">
        <is>
          <t>Interview Questions</t>
        </is>
      </c>
      <c r="B77" s="4" t="inlineStr">
        <is>
          <t>Python Interview Questions</t>
        </is>
      </c>
      <c r="C77" s="4" t="inlineStr">
        <is>
          <t>Practice these 118 Python Interview Questions and prepare for freshers interviews. Use the detailed explanations for MCQs whose answer you don't know.</t>
        </is>
      </c>
      <c r="D77" s="4" t="inlineStr">
        <is>
          <t>Exception handling - Exception handling</t>
        </is>
      </c>
      <c r="E77" s="4" t="n">
        <v>76</v>
      </c>
      <c r="F77" s="4" t="inlineStr">
        <is>
          <t>Bare Except</t>
        </is>
      </c>
      <c r="G77" s="4" t="inlineStr">
        <is>
          <t>PYMCQ77</t>
        </is>
      </c>
      <c r="H77" s="4" t="inlineStr"/>
      <c r="I77" s="4" t="inlineStr">
        <is>
          <t>Easy</t>
        </is>
      </c>
      <c r="J77" s="5">
        <f>HYPERLINK("https://www.codechef.com/problems/PYMCQ77", "https://www.codechef.com/problems/PYMCQ77")</f>
        <v/>
      </c>
      <c r="K77" s="4" t="inlineStr"/>
      <c r="L77" s="4" t="inlineStr"/>
      <c r="M77" s="4" t="inlineStr"/>
      <c r="N77" s="4" t="inlineStr">
        <is>
          <t>No</t>
        </is>
      </c>
      <c r="O77" s="4" t="inlineStr">
        <is>
          <t>Unattempted</t>
        </is>
      </c>
    </row>
    <row r="78">
      <c r="A78" s="2" t="inlineStr">
        <is>
          <t>Interview Questions</t>
        </is>
      </c>
      <c r="B78" s="2" t="inlineStr">
        <is>
          <t>Python Interview Questions</t>
        </is>
      </c>
      <c r="C78" s="2" t="inlineStr">
        <is>
          <t>Practice these 118 Python Interview Questions and prepare for freshers interviews. Use the detailed explanations for MCQs whose answer you don't know.</t>
        </is>
      </c>
      <c r="D78" s="2" t="inlineStr">
        <is>
          <t>Exception handling - Exception handling</t>
        </is>
      </c>
      <c r="E78" s="2" t="n">
        <v>77</v>
      </c>
      <c r="F78" s="2" t="inlineStr">
        <is>
          <t>Exception Object</t>
        </is>
      </c>
      <c r="G78" s="2" t="inlineStr">
        <is>
          <t>PYMCQ78</t>
        </is>
      </c>
      <c r="H78" s="2" t="inlineStr"/>
      <c r="I78" s="2" t="inlineStr">
        <is>
          <t>Easy</t>
        </is>
      </c>
      <c r="J78" s="3">
        <f>HYPERLINK("https://www.codechef.com/problems/PYMCQ78", "https://www.codechef.com/problems/PYMCQ78")</f>
        <v/>
      </c>
      <c r="K78" s="2" t="inlineStr"/>
      <c r="L78" s="2" t="inlineStr"/>
      <c r="M78" s="2" t="inlineStr"/>
      <c r="N78" s="2" t="inlineStr">
        <is>
          <t>No</t>
        </is>
      </c>
      <c r="O78" s="2" t="inlineStr">
        <is>
          <t>Unattempted</t>
        </is>
      </c>
    </row>
    <row r="79">
      <c r="A79" s="4" t="inlineStr">
        <is>
          <t>Interview Questions</t>
        </is>
      </c>
      <c r="B79" s="4" t="inlineStr">
        <is>
          <t>Python Interview Questions</t>
        </is>
      </c>
      <c r="C79" s="4" t="inlineStr">
        <is>
          <t>Practice these 118 Python Interview Questions and prepare for freshers interviews. Use the detailed explanations for MCQs whose answer you don't know.</t>
        </is>
      </c>
      <c r="D79" s="4" t="inlineStr">
        <is>
          <t>Exception handling - Exception handling</t>
        </is>
      </c>
      <c r="E79" s="4" t="n">
        <v>78</v>
      </c>
      <c r="F79" s="4" t="inlineStr">
        <is>
          <t>Nested Try-Except</t>
        </is>
      </c>
      <c r="G79" s="4" t="inlineStr">
        <is>
          <t>PYMCQ79</t>
        </is>
      </c>
      <c r="H79" s="4" t="inlineStr"/>
      <c r="I79" s="4" t="inlineStr">
        <is>
          <t>Medium</t>
        </is>
      </c>
      <c r="J79" s="5">
        <f>HYPERLINK("https://www.codechef.com/problems/PYMCQ79", "https://www.codechef.com/problems/PYMCQ79")</f>
        <v/>
      </c>
      <c r="K79" s="4" t="inlineStr"/>
      <c r="L79" s="4" t="inlineStr"/>
      <c r="M79" s="4" t="inlineStr"/>
      <c r="N79" s="4" t="inlineStr">
        <is>
          <t>No</t>
        </is>
      </c>
      <c r="O79" s="4" t="inlineStr">
        <is>
          <t>Unattempted</t>
        </is>
      </c>
    </row>
    <row r="80">
      <c r="A80" s="2" t="inlineStr">
        <is>
          <t>Interview Questions</t>
        </is>
      </c>
      <c r="B80" s="2" t="inlineStr">
        <is>
          <t>Python Interview Questions</t>
        </is>
      </c>
      <c r="C80" s="2" t="inlineStr">
        <is>
          <t>Practice these 118 Python Interview Questions and prepare for freshers interviews. Use the detailed explanations for MCQs whose answer you don't know.</t>
        </is>
      </c>
      <c r="D80" s="2" t="inlineStr">
        <is>
          <t>Exception handling - Exception handling</t>
        </is>
      </c>
      <c r="E80" s="2" t="n">
        <v>79</v>
      </c>
      <c r="F80" s="2" t="inlineStr">
        <is>
          <t>Else Clause in Try-Except</t>
        </is>
      </c>
      <c r="G80" s="2" t="inlineStr">
        <is>
          <t>PYMCQ80</t>
        </is>
      </c>
      <c r="H80" s="2" t="inlineStr"/>
      <c r="I80" s="2" t="inlineStr">
        <is>
          <t>Easy</t>
        </is>
      </c>
      <c r="J80" s="3">
        <f>HYPERLINK("https://www.codechef.com/problems/PYMCQ80", "https://www.codechef.com/problems/PYMCQ80")</f>
        <v/>
      </c>
      <c r="K80" s="2" t="inlineStr"/>
      <c r="L80" s="2" t="inlineStr"/>
      <c r="M80" s="2" t="inlineStr"/>
      <c r="N80" s="2" t="inlineStr">
        <is>
          <t>No</t>
        </is>
      </c>
      <c r="O80" s="2" t="inlineStr">
        <is>
          <t>Unattempted</t>
        </is>
      </c>
    </row>
    <row r="81">
      <c r="A81" s="4" t="inlineStr">
        <is>
          <t>Interview Questions</t>
        </is>
      </c>
      <c r="B81" s="4" t="inlineStr">
        <is>
          <t>Python Interview Questions</t>
        </is>
      </c>
      <c r="C81" s="4" t="inlineStr">
        <is>
          <t>Practice these 118 Python Interview Questions and prepare for freshers interviews. Use the detailed explanations for MCQs whose answer you don't know.</t>
        </is>
      </c>
      <c r="D81" s="4" t="inlineStr">
        <is>
          <t>Python standard library - Python standard library</t>
        </is>
      </c>
      <c r="E81" s="4" t="n">
        <v>80</v>
      </c>
      <c r="F81" s="4" t="inlineStr">
        <is>
          <t>Timedelta Calculation</t>
        </is>
      </c>
      <c r="G81" s="4" t="inlineStr">
        <is>
          <t>PYMCQ89</t>
        </is>
      </c>
      <c r="H81" s="4" t="inlineStr"/>
      <c r="I81" s="4" t="inlineStr">
        <is>
          <t>Easy</t>
        </is>
      </c>
      <c r="J81" s="5">
        <f>HYPERLINK("https://www.codechef.com/problems/PYMCQ89", "https://www.codechef.com/problems/PYMCQ89")</f>
        <v/>
      </c>
      <c r="K81" s="4" t="inlineStr"/>
      <c r="L81" s="4" t="inlineStr"/>
      <c r="M81" s="4" t="inlineStr"/>
      <c r="N81" s="4" t="inlineStr">
        <is>
          <t>No</t>
        </is>
      </c>
      <c r="O81" s="4" t="inlineStr">
        <is>
          <t>Unattempted</t>
        </is>
      </c>
    </row>
    <row r="82">
      <c r="A82" s="2" t="inlineStr">
        <is>
          <t>Interview Questions</t>
        </is>
      </c>
      <c r="B82" s="2" t="inlineStr">
        <is>
          <t>Python Interview Questions</t>
        </is>
      </c>
      <c r="C82" s="2" t="inlineStr">
        <is>
          <t>Practice these 118 Python Interview Questions and prepare for freshers interviews. Use the detailed explanations for MCQs whose answer you don't know.</t>
        </is>
      </c>
      <c r="D82" s="2" t="inlineStr">
        <is>
          <t>Python standard library - Python standard library</t>
        </is>
      </c>
      <c r="E82" s="2" t="n">
        <v>81</v>
      </c>
      <c r="F82" s="2" t="inlineStr">
        <is>
          <t>Random Sampling</t>
        </is>
      </c>
      <c r="G82" s="2" t="inlineStr">
        <is>
          <t>PYMCQ90</t>
        </is>
      </c>
      <c r="H82" s="2" t="inlineStr"/>
      <c r="I82" s="2" t="inlineStr">
        <is>
          <t>Easy</t>
        </is>
      </c>
      <c r="J82" s="3">
        <f>HYPERLINK("https://www.codechef.com/problems/PYMCQ90", "https://www.codechef.com/problems/PYMCQ90")</f>
        <v/>
      </c>
      <c r="K82" s="2" t="inlineStr"/>
      <c r="L82" s="2" t="inlineStr"/>
      <c r="M82" s="2" t="inlineStr"/>
      <c r="N82" s="2" t="inlineStr">
        <is>
          <t>No</t>
        </is>
      </c>
      <c r="O82" s="2" t="inlineStr">
        <is>
          <t>Unattempted</t>
        </is>
      </c>
    </row>
    <row r="83">
      <c r="A83" s="4" t="inlineStr">
        <is>
          <t>Interview Questions</t>
        </is>
      </c>
      <c r="B83" s="4" t="inlineStr">
        <is>
          <t>Python Interview Questions</t>
        </is>
      </c>
      <c r="C83" s="4" t="inlineStr">
        <is>
          <t>Practice these 118 Python Interview Questions and prepare for freshers interviews. Use the detailed explanations for MCQs whose answer you don't know.</t>
        </is>
      </c>
      <c r="D83" s="4" t="inlineStr">
        <is>
          <t>Python standard library - Python standard library</t>
        </is>
      </c>
      <c r="E83" s="4" t="n">
        <v>82</v>
      </c>
      <c r="F83" s="4" t="inlineStr">
        <is>
          <t>Math Function</t>
        </is>
      </c>
      <c r="G83" s="4" t="inlineStr">
        <is>
          <t>PYMCQ91</t>
        </is>
      </c>
      <c r="H83" s="4" t="inlineStr"/>
      <c r="I83" s="4" t="inlineStr">
        <is>
          <t>Easy</t>
        </is>
      </c>
      <c r="J83" s="5">
        <f>HYPERLINK("https://www.codechef.com/problems/PYMCQ91", "https://www.codechef.com/problems/PYMCQ91")</f>
        <v/>
      </c>
      <c r="K83" s="4" t="inlineStr"/>
      <c r="L83" s="4" t="inlineStr"/>
      <c r="M83" s="4" t="inlineStr"/>
      <c r="N83" s="4" t="inlineStr">
        <is>
          <t>No</t>
        </is>
      </c>
      <c r="O83" s="4" t="inlineStr">
        <is>
          <t>Unattempted</t>
        </is>
      </c>
    </row>
    <row r="84">
      <c r="A84" s="2" t="inlineStr">
        <is>
          <t>Interview Questions</t>
        </is>
      </c>
      <c r="B84" s="2" t="inlineStr">
        <is>
          <t>Python Interview Questions</t>
        </is>
      </c>
      <c r="C84" s="2" t="inlineStr">
        <is>
          <t>Practice these 118 Python Interview Questions and prepare for freshers interviews. Use the detailed explanations for MCQs whose answer you don't know.</t>
        </is>
      </c>
      <c r="D84" s="2" t="inlineStr">
        <is>
          <t>Python standard library - Python standard library</t>
        </is>
      </c>
      <c r="E84" s="2" t="n">
        <v>83</v>
      </c>
      <c r="F84" s="2" t="inlineStr">
        <is>
          <t>Collections Counter</t>
        </is>
      </c>
      <c r="G84" s="2" t="inlineStr">
        <is>
          <t>PYMCQ92</t>
        </is>
      </c>
      <c r="H84" s="2" t="inlineStr"/>
      <c r="I84" s="2" t="inlineStr">
        <is>
          <t>Easy</t>
        </is>
      </c>
      <c r="J84" s="3">
        <f>HYPERLINK("https://www.codechef.com/problems/PYMCQ92", "https://www.codechef.com/problems/PYMCQ92")</f>
        <v/>
      </c>
      <c r="K84" s="2" t="inlineStr"/>
      <c r="L84" s="2" t="inlineStr"/>
      <c r="M84" s="2" t="inlineStr"/>
      <c r="N84" s="2" t="inlineStr">
        <is>
          <t>No</t>
        </is>
      </c>
      <c r="O84" s="2" t="inlineStr">
        <is>
          <t>Unattempted</t>
        </is>
      </c>
    </row>
    <row r="85">
      <c r="A85" s="4" t="inlineStr">
        <is>
          <t>Interview Questions</t>
        </is>
      </c>
      <c r="B85" s="4" t="inlineStr">
        <is>
          <t>Python Interview Questions</t>
        </is>
      </c>
      <c r="C85" s="4" t="inlineStr">
        <is>
          <t>Practice these 118 Python Interview Questions and prepare for freshers interviews. Use the detailed explanations for MCQs whose answer you don't know.</t>
        </is>
      </c>
      <c r="D85" s="4" t="inlineStr">
        <is>
          <t>Python standard library - Python standard library</t>
        </is>
      </c>
      <c r="E85" s="4" t="n">
        <v>84</v>
      </c>
      <c r="F85" s="4" t="inlineStr">
        <is>
          <t>Datetime Formatting</t>
        </is>
      </c>
      <c r="G85" s="4" t="inlineStr">
        <is>
          <t>PYMCQ93</t>
        </is>
      </c>
      <c r="H85" s="4" t="inlineStr"/>
      <c r="I85" s="4" t="inlineStr">
        <is>
          <t>Easy</t>
        </is>
      </c>
      <c r="J85" s="5">
        <f>HYPERLINK("https://www.codechef.com/problems/PYMCQ93", "https://www.codechef.com/problems/PYMCQ93")</f>
        <v/>
      </c>
      <c r="K85" s="4" t="inlineStr"/>
      <c r="L85" s="4" t="inlineStr"/>
      <c r="M85" s="4" t="inlineStr"/>
      <c r="N85" s="4" t="inlineStr">
        <is>
          <t>No</t>
        </is>
      </c>
      <c r="O85" s="4" t="inlineStr">
        <is>
          <t>Unattempted</t>
        </is>
      </c>
    </row>
    <row r="86">
      <c r="A86" s="2" t="inlineStr">
        <is>
          <t>Interview Questions</t>
        </is>
      </c>
      <c r="B86" s="2" t="inlineStr">
        <is>
          <t>Python Interview Questions</t>
        </is>
      </c>
      <c r="C86" s="2" t="inlineStr">
        <is>
          <t>Practice these 118 Python Interview Questions and prepare for freshers interviews. Use the detailed explanations for MCQs whose answer you don't know.</t>
        </is>
      </c>
      <c r="D86" s="2" t="inlineStr">
        <is>
          <t>Python standard library - Python standard library</t>
        </is>
      </c>
      <c r="E86" s="2" t="n">
        <v>85</v>
      </c>
      <c r="F86" s="2" t="inlineStr">
        <is>
          <t>Random Seed</t>
        </is>
      </c>
      <c r="G86" s="2" t="inlineStr">
        <is>
          <t>PYMCQ94</t>
        </is>
      </c>
      <c r="H86" s="2" t="inlineStr"/>
      <c r="I86" s="2" t="inlineStr">
        <is>
          <t>Easy</t>
        </is>
      </c>
      <c r="J86" s="3">
        <f>HYPERLINK("https://www.codechef.com/problems/PYMCQ94", "https://www.codechef.com/problems/PYMCQ94")</f>
        <v/>
      </c>
      <c r="K86" s="2" t="inlineStr"/>
      <c r="L86" s="2" t="inlineStr"/>
      <c r="M86" s="2" t="inlineStr"/>
      <c r="N86" s="2" t="inlineStr">
        <is>
          <t>No</t>
        </is>
      </c>
      <c r="O86" s="2" t="inlineStr">
        <is>
          <t>Unattempted</t>
        </is>
      </c>
    </row>
    <row r="87">
      <c r="A87" s="4" t="inlineStr">
        <is>
          <t>Interview Questions</t>
        </is>
      </c>
      <c r="B87" s="4" t="inlineStr">
        <is>
          <t>Python Interview Questions</t>
        </is>
      </c>
      <c r="C87" s="4" t="inlineStr">
        <is>
          <t>Practice these 118 Python Interview Questions and prepare for freshers interviews. Use the detailed explanations for MCQs whose answer you don't know.</t>
        </is>
      </c>
      <c r="D87" s="4" t="inlineStr">
        <is>
          <t>Python standard library - Python standard library</t>
        </is>
      </c>
      <c r="E87" s="4" t="n">
        <v>86</v>
      </c>
      <c r="F87" s="4" t="inlineStr">
        <is>
          <t>Math Constants</t>
        </is>
      </c>
      <c r="G87" s="4" t="inlineStr">
        <is>
          <t>PYMCQ95</t>
        </is>
      </c>
      <c r="H87" s="4" t="inlineStr"/>
      <c r="I87" s="4" t="inlineStr">
        <is>
          <t>Easy</t>
        </is>
      </c>
      <c r="J87" s="5">
        <f>HYPERLINK("https://www.codechef.com/problems/PYMCQ95", "https://www.codechef.com/problems/PYMCQ95")</f>
        <v/>
      </c>
      <c r="K87" s="4" t="inlineStr"/>
      <c r="L87" s="4" t="inlineStr"/>
      <c r="M87" s="4" t="inlineStr"/>
      <c r="N87" s="4" t="inlineStr">
        <is>
          <t>No</t>
        </is>
      </c>
      <c r="O87" s="4" t="inlineStr">
        <is>
          <t>Unattempted</t>
        </is>
      </c>
    </row>
    <row r="88">
      <c r="A88" s="2" t="inlineStr">
        <is>
          <t>Interview Questions</t>
        </is>
      </c>
      <c r="B88" s="2" t="inlineStr">
        <is>
          <t>Python Interview Questions</t>
        </is>
      </c>
      <c r="C88" s="2" t="inlineStr">
        <is>
          <t>Practice these 118 Python Interview Questions and prepare for freshers interviews. Use the detailed explanations for MCQs whose answer you don't know.</t>
        </is>
      </c>
      <c r="D88" s="2" t="inlineStr">
        <is>
          <t>Python standard library - Python standard library</t>
        </is>
      </c>
      <c r="E88" s="2" t="n">
        <v>87</v>
      </c>
      <c r="F88" s="2" t="inlineStr">
        <is>
          <t>Collections deque</t>
        </is>
      </c>
      <c r="G88" s="2" t="inlineStr">
        <is>
          <t>PYMCQ96</t>
        </is>
      </c>
      <c r="H88" s="2" t="inlineStr"/>
      <c r="I88" s="2" t="inlineStr">
        <is>
          <t>Easy</t>
        </is>
      </c>
      <c r="J88" s="3">
        <f>HYPERLINK("https://www.codechef.com/problems/PYMCQ96", "https://www.codechef.com/problems/PYMCQ96")</f>
        <v/>
      </c>
      <c r="K88" s="2" t="inlineStr"/>
      <c r="L88" s="2" t="inlineStr"/>
      <c r="M88" s="2" t="inlineStr"/>
      <c r="N88" s="2" t="inlineStr">
        <is>
          <t>No</t>
        </is>
      </c>
      <c r="O88" s="2" t="inlineStr">
        <is>
          <t>Unattempted</t>
        </is>
      </c>
    </row>
    <row r="89">
      <c r="A89" s="4" t="inlineStr">
        <is>
          <t>Interview Questions</t>
        </is>
      </c>
      <c r="B89" s="4" t="inlineStr">
        <is>
          <t>Python Interview Questions</t>
        </is>
      </c>
      <c r="C89" s="4" t="inlineStr">
        <is>
          <t>Practice these 118 Python Interview Questions and prepare for freshers interviews. Use the detailed explanations for MCQs whose answer you don't know.</t>
        </is>
      </c>
      <c r="D89" s="4" t="inlineStr">
        <is>
          <t>Python standard library - Python standard library</t>
        </is>
      </c>
      <c r="E89" s="4" t="n">
        <v>88</v>
      </c>
      <c r="F89" s="4" t="inlineStr">
        <is>
          <t>Datetime Timezones</t>
        </is>
      </c>
      <c r="G89" s="4" t="inlineStr">
        <is>
          <t>PYMCQ97</t>
        </is>
      </c>
      <c r="H89" s="4" t="inlineStr"/>
      <c r="I89" s="4" t="inlineStr">
        <is>
          <t>Medium</t>
        </is>
      </c>
      <c r="J89" s="5">
        <f>HYPERLINK("https://www.codechef.com/problems/PYMCQ97", "https://www.codechef.com/problems/PYMCQ97")</f>
        <v/>
      </c>
      <c r="K89" s="4" t="inlineStr"/>
      <c r="L89" s="4" t="inlineStr"/>
      <c r="M89" s="4" t="inlineStr"/>
      <c r="N89" s="4" t="inlineStr">
        <is>
          <t>No</t>
        </is>
      </c>
      <c r="O89" s="4" t="inlineStr">
        <is>
          <t>Unattempted</t>
        </is>
      </c>
    </row>
    <row r="90">
      <c r="A90" s="2" t="inlineStr">
        <is>
          <t>Interview Questions</t>
        </is>
      </c>
      <c r="B90" s="2" t="inlineStr">
        <is>
          <t>Python Interview Questions</t>
        </is>
      </c>
      <c r="C90" s="2" t="inlineStr">
        <is>
          <t>Practice these 118 Python Interview Questions and prepare for freshers interviews. Use the detailed explanations for MCQs whose answer you don't know.</t>
        </is>
      </c>
      <c r="D90" s="2" t="inlineStr">
        <is>
          <t>Object-oriented programming concepts - Object-oriented programming concepts</t>
        </is>
      </c>
      <c r="E90" s="2" t="n">
        <v>89</v>
      </c>
      <c r="F90" s="2" t="inlineStr">
        <is>
          <t>Class Definition</t>
        </is>
      </c>
      <c r="G90" s="2" t="inlineStr">
        <is>
          <t>PYMCQ99</t>
        </is>
      </c>
      <c r="H90" s="2" t="inlineStr"/>
      <c r="I90" s="2" t="inlineStr">
        <is>
          <t>Easy</t>
        </is>
      </c>
      <c r="J90" s="3">
        <f>HYPERLINK("https://www.codechef.com/problems/PYMCQ99", "https://www.codechef.com/problems/PYMCQ99")</f>
        <v/>
      </c>
      <c r="K90" s="2" t="inlineStr"/>
      <c r="L90" s="2" t="inlineStr"/>
      <c r="M90" s="2" t="inlineStr"/>
      <c r="N90" s="2" t="inlineStr">
        <is>
          <t>No</t>
        </is>
      </c>
      <c r="O90" s="2" t="inlineStr">
        <is>
          <t>Unattempted</t>
        </is>
      </c>
    </row>
    <row r="91">
      <c r="A91" s="4" t="inlineStr">
        <is>
          <t>Interview Questions</t>
        </is>
      </c>
      <c r="B91" s="4" t="inlineStr">
        <is>
          <t>Python Interview Questions</t>
        </is>
      </c>
      <c r="C91" s="4" t="inlineStr">
        <is>
          <t>Practice these 118 Python Interview Questions and prepare for freshers interviews. Use the detailed explanations for MCQs whose answer you don't know.</t>
        </is>
      </c>
      <c r="D91" s="4" t="inlineStr">
        <is>
          <t>Object-oriented programming concepts - Object-oriented programming concepts</t>
        </is>
      </c>
      <c r="E91" s="4" t="n">
        <v>90</v>
      </c>
      <c r="F91" s="4" t="inlineStr">
        <is>
          <t>Object Creation</t>
        </is>
      </c>
      <c r="G91" s="4" t="inlineStr">
        <is>
          <t>PYMCQ100</t>
        </is>
      </c>
      <c r="H91" s="4" t="inlineStr"/>
      <c r="I91" s="4" t="inlineStr">
        <is>
          <t>Easy</t>
        </is>
      </c>
      <c r="J91" s="5">
        <f>HYPERLINK("https://www.codechef.com/problems/PYMCQ100", "https://www.codechef.com/problems/PYMCQ100")</f>
        <v/>
      </c>
      <c r="K91" s="4" t="inlineStr"/>
      <c r="L91" s="4" t="inlineStr"/>
      <c r="M91" s="4" t="inlineStr"/>
      <c r="N91" s="4" t="inlineStr">
        <is>
          <t>No</t>
        </is>
      </c>
      <c r="O91" s="4" t="inlineStr">
        <is>
          <t>Unattempted</t>
        </is>
      </c>
    </row>
    <row r="92">
      <c r="A92" s="2" t="inlineStr">
        <is>
          <t>Interview Questions</t>
        </is>
      </c>
      <c r="B92" s="2" t="inlineStr">
        <is>
          <t>Python Interview Questions</t>
        </is>
      </c>
      <c r="C92" s="2" t="inlineStr">
        <is>
          <t>Practice these 118 Python Interview Questions and prepare for freshers interviews. Use the detailed explanations for MCQs whose answer you don't know.</t>
        </is>
      </c>
      <c r="D92" s="2" t="inlineStr">
        <is>
          <t>Object-oriented programming concepts - Object-oriented programming concepts</t>
        </is>
      </c>
      <c r="E92" s="2" t="n">
        <v>91</v>
      </c>
      <c r="F92" s="2" t="inlineStr">
        <is>
          <t>Inheritance Syntax</t>
        </is>
      </c>
      <c r="G92" s="2" t="inlineStr">
        <is>
          <t>PYMCQ101</t>
        </is>
      </c>
      <c r="H92" s="2" t="inlineStr"/>
      <c r="I92" s="2" t="inlineStr">
        <is>
          <t>Easy</t>
        </is>
      </c>
      <c r="J92" s="3">
        <f>HYPERLINK("https://www.codechef.com/problems/PYMCQ101", "https://www.codechef.com/problems/PYMCQ101")</f>
        <v/>
      </c>
      <c r="K92" s="2" t="inlineStr"/>
      <c r="L92" s="2" t="inlineStr"/>
      <c r="M92" s="2" t="inlineStr"/>
      <c r="N92" s="2" t="inlineStr">
        <is>
          <t>No</t>
        </is>
      </c>
      <c r="O92" s="2" t="inlineStr">
        <is>
          <t>Unattempted</t>
        </is>
      </c>
    </row>
    <row r="93">
      <c r="A93" s="4" t="inlineStr">
        <is>
          <t>Interview Questions</t>
        </is>
      </c>
      <c r="B93" s="4" t="inlineStr">
        <is>
          <t>Python Interview Questions</t>
        </is>
      </c>
      <c r="C93" s="4" t="inlineStr">
        <is>
          <t>Practice these 118 Python Interview Questions and prepare for freshers interviews. Use the detailed explanations for MCQs whose answer you don't know.</t>
        </is>
      </c>
      <c r="D93" s="4" t="inlineStr">
        <is>
          <t>Object-oriented programming concepts - Object-oriented programming concepts</t>
        </is>
      </c>
      <c r="E93" s="4" t="n">
        <v>92</v>
      </c>
      <c r="F93" s="4" t="inlineStr">
        <is>
          <t>Encapsulation</t>
        </is>
      </c>
      <c r="G93" s="4" t="inlineStr">
        <is>
          <t>PYMCQ102</t>
        </is>
      </c>
      <c r="H93" s="4" t="inlineStr"/>
      <c r="I93" s="4" t="inlineStr">
        <is>
          <t>Easy</t>
        </is>
      </c>
      <c r="J93" s="5">
        <f>HYPERLINK("https://www.codechef.com/problems/PYMCQ102", "https://www.codechef.com/problems/PYMCQ102")</f>
        <v/>
      </c>
      <c r="K93" s="4" t="inlineStr"/>
      <c r="L93" s="4" t="inlineStr"/>
      <c r="M93" s="4" t="inlineStr"/>
      <c r="N93" s="4" t="inlineStr">
        <is>
          <t>No</t>
        </is>
      </c>
      <c r="O93" s="4" t="inlineStr">
        <is>
          <t>Unattempted</t>
        </is>
      </c>
    </row>
    <row r="94">
      <c r="A94" s="2" t="inlineStr">
        <is>
          <t>Interview Questions</t>
        </is>
      </c>
      <c r="B94" s="2" t="inlineStr">
        <is>
          <t>Python Interview Questions</t>
        </is>
      </c>
      <c r="C94" s="2" t="inlineStr">
        <is>
          <t>Practice these 118 Python Interview Questions and prepare for freshers interviews. Use the detailed explanations for MCQs whose answer you don't know.</t>
        </is>
      </c>
      <c r="D94" s="2" t="inlineStr">
        <is>
          <t>Object-oriented programming concepts - Object-oriented programming concepts</t>
        </is>
      </c>
      <c r="E94" s="2" t="n">
        <v>93</v>
      </c>
      <c r="F94" s="2" t="inlineStr">
        <is>
          <t>Polymorphism</t>
        </is>
      </c>
      <c r="G94" s="2" t="inlineStr">
        <is>
          <t>PYMCQ103</t>
        </is>
      </c>
      <c r="H94" s="2" t="inlineStr"/>
      <c r="I94" s="2" t="inlineStr">
        <is>
          <t>Easy</t>
        </is>
      </c>
      <c r="J94" s="3">
        <f>HYPERLINK("https://www.codechef.com/problems/PYMCQ103", "https://www.codechef.com/problems/PYMCQ103")</f>
        <v/>
      </c>
      <c r="K94" s="2" t="inlineStr"/>
      <c r="L94" s="2" t="inlineStr"/>
      <c r="M94" s="2" t="inlineStr"/>
      <c r="N94" s="2" t="inlineStr">
        <is>
          <t>No</t>
        </is>
      </c>
      <c r="O94" s="2" t="inlineStr">
        <is>
          <t>Unattempted</t>
        </is>
      </c>
    </row>
    <row r="95">
      <c r="A95" s="4" t="inlineStr">
        <is>
          <t>Interview Questions</t>
        </is>
      </c>
      <c r="B95" s="4" t="inlineStr">
        <is>
          <t>Python Interview Questions</t>
        </is>
      </c>
      <c r="C95" s="4" t="inlineStr">
        <is>
          <t>Practice these 118 Python Interview Questions and prepare for freshers interviews. Use the detailed explanations for MCQs whose answer you don't know.</t>
        </is>
      </c>
      <c r="D95" s="4" t="inlineStr">
        <is>
          <t>Object-oriented programming concepts - Object-oriented programming concepts</t>
        </is>
      </c>
      <c r="E95" s="4" t="n">
        <v>94</v>
      </c>
      <c r="F95" s="4" t="inlineStr">
        <is>
          <t>Magic Methods</t>
        </is>
      </c>
      <c r="G95" s="4" t="inlineStr">
        <is>
          <t>PYMCQ104</t>
        </is>
      </c>
      <c r="H95" s="4" t="inlineStr"/>
      <c r="I95" s="4" t="inlineStr">
        <is>
          <t>Easy</t>
        </is>
      </c>
      <c r="J95" s="5">
        <f>HYPERLINK("https://www.codechef.com/problems/PYMCQ104", "https://www.codechef.com/problems/PYMCQ104")</f>
        <v/>
      </c>
      <c r="K95" s="4" t="inlineStr"/>
      <c r="L95" s="4" t="inlineStr"/>
      <c r="M95" s="4" t="inlineStr"/>
      <c r="N95" s="4" t="inlineStr">
        <is>
          <t>No</t>
        </is>
      </c>
      <c r="O95" s="4" t="inlineStr">
        <is>
          <t>Unattempted</t>
        </is>
      </c>
    </row>
    <row r="96">
      <c r="A96" s="2" t="inlineStr">
        <is>
          <t>Interview Questions</t>
        </is>
      </c>
      <c r="B96" s="2" t="inlineStr">
        <is>
          <t>Python Interview Questions</t>
        </is>
      </c>
      <c r="C96" s="2" t="inlineStr">
        <is>
          <t>Practice these 118 Python Interview Questions and prepare for freshers interviews. Use the detailed explanations for MCQs whose answer you don't know.</t>
        </is>
      </c>
      <c r="D96" s="2" t="inlineStr">
        <is>
          <t>Object-oriented programming concepts - Object-oriented programming concepts</t>
        </is>
      </c>
      <c r="E96" s="2" t="n">
        <v>95</v>
      </c>
      <c r="F96" s="2" t="inlineStr">
        <is>
          <t>Method Overriding</t>
        </is>
      </c>
      <c r="G96" s="2" t="inlineStr">
        <is>
          <t>PYMCQ105</t>
        </is>
      </c>
      <c r="H96" s="2" t="inlineStr"/>
      <c r="I96" s="2" t="inlineStr">
        <is>
          <t>Easy</t>
        </is>
      </c>
      <c r="J96" s="3">
        <f>HYPERLINK("https://www.codechef.com/problems/PYMCQ105", "https://www.codechef.com/problems/PYMCQ105")</f>
        <v/>
      </c>
      <c r="K96" s="2" t="inlineStr"/>
      <c r="L96" s="2" t="inlineStr"/>
      <c r="M96" s="2" t="inlineStr"/>
      <c r="N96" s="2" t="inlineStr">
        <is>
          <t>No</t>
        </is>
      </c>
      <c r="O96" s="2" t="inlineStr">
        <is>
          <t>Unattempted</t>
        </is>
      </c>
    </row>
    <row r="97">
      <c r="A97" s="4" t="inlineStr">
        <is>
          <t>Interview Questions</t>
        </is>
      </c>
      <c r="B97" s="4" t="inlineStr">
        <is>
          <t>Python Interview Questions</t>
        </is>
      </c>
      <c r="C97" s="4" t="inlineStr">
        <is>
          <t>Practice these 118 Python Interview Questions and prepare for freshers interviews. Use the detailed explanations for MCQs whose answer you don't know.</t>
        </is>
      </c>
      <c r="D97" s="4" t="inlineStr">
        <is>
          <t>Object-oriented programming concepts - Object-oriented programming concepts</t>
        </is>
      </c>
      <c r="E97" s="4" t="n">
        <v>96</v>
      </c>
      <c r="F97" s="4" t="inlineStr">
        <is>
          <t>Self Parameter</t>
        </is>
      </c>
      <c r="G97" s="4" t="inlineStr">
        <is>
          <t>PYMCQ106</t>
        </is>
      </c>
      <c r="H97" s="4" t="inlineStr"/>
      <c r="I97" s="4" t="inlineStr">
        <is>
          <t>Easy</t>
        </is>
      </c>
      <c r="J97" s="5">
        <f>HYPERLINK("https://www.codechef.com/problems/PYMCQ106", "https://www.codechef.com/problems/PYMCQ106")</f>
        <v/>
      </c>
      <c r="K97" s="4" t="inlineStr"/>
      <c r="L97" s="4" t="inlineStr"/>
      <c r="M97" s="4" t="inlineStr"/>
      <c r="N97" s="4" t="inlineStr">
        <is>
          <t>No</t>
        </is>
      </c>
      <c r="O97" s="4" t="inlineStr">
        <is>
          <t>Unattempted</t>
        </is>
      </c>
    </row>
    <row r="98">
      <c r="A98" s="2" t="inlineStr">
        <is>
          <t>Interview Questions</t>
        </is>
      </c>
      <c r="B98" s="2" t="inlineStr">
        <is>
          <t>Python Interview Questions</t>
        </is>
      </c>
      <c r="C98" s="2" t="inlineStr">
        <is>
          <t>Practice these 118 Python Interview Questions and prepare for freshers interviews. Use the detailed explanations for MCQs whose answer you don't know.</t>
        </is>
      </c>
      <c r="D98" s="2" t="inlineStr">
        <is>
          <t>Object-oriented programming concepts - Object-oriented programming concepts</t>
        </is>
      </c>
      <c r="E98" s="2" t="n">
        <v>97</v>
      </c>
      <c r="F98" s="2" t="inlineStr">
        <is>
          <t>Class Variables vs Instance Variables</t>
        </is>
      </c>
      <c r="G98" s="2" t="inlineStr">
        <is>
          <t>PYMCQ107</t>
        </is>
      </c>
      <c r="H98" s="2" t="inlineStr"/>
      <c r="I98" s="2" t="inlineStr">
        <is>
          <t>Easy</t>
        </is>
      </c>
      <c r="J98" s="3">
        <f>HYPERLINK("https://www.codechef.com/problems/PYMCQ107", "https://www.codechef.com/problems/PYMCQ107")</f>
        <v/>
      </c>
      <c r="K98" s="2" t="inlineStr"/>
      <c r="L98" s="2" t="inlineStr"/>
      <c r="M98" s="2" t="inlineStr"/>
      <c r="N98" s="2" t="inlineStr">
        <is>
          <t>No</t>
        </is>
      </c>
      <c r="O98" s="2" t="inlineStr">
        <is>
          <t>Unattempted</t>
        </is>
      </c>
    </row>
    <row r="99">
      <c r="A99" s="4" t="inlineStr">
        <is>
          <t>Interview Questions</t>
        </is>
      </c>
      <c r="B99" s="4" t="inlineStr">
        <is>
          <t>Python Interview Questions</t>
        </is>
      </c>
      <c r="C99" s="4" t="inlineStr">
        <is>
          <t>Practice these 118 Python Interview Questions and prepare for freshers interviews. Use the detailed explanations for MCQs whose answer you don't know.</t>
        </is>
      </c>
      <c r="D99" s="4" t="inlineStr">
        <is>
          <t>Object-oriented programming concepts - Object-oriented programming concepts</t>
        </is>
      </c>
      <c r="E99" s="4" t="n">
        <v>98</v>
      </c>
      <c r="F99" s="4" t="inlineStr">
        <is>
          <t>Property Decorator</t>
        </is>
      </c>
      <c r="G99" s="4" t="inlineStr">
        <is>
          <t>PYMCQ108</t>
        </is>
      </c>
      <c r="H99" s="4" t="inlineStr"/>
      <c r="I99" s="4" t="inlineStr">
        <is>
          <t>Medium</t>
        </is>
      </c>
      <c r="J99" s="5">
        <f>HYPERLINK("https://www.codechef.com/problems/PYMCQ108", "https://www.codechef.com/problems/PYMCQ108")</f>
        <v/>
      </c>
      <c r="K99" s="4" t="inlineStr"/>
      <c r="L99" s="4" t="inlineStr"/>
      <c r="M99" s="4" t="inlineStr"/>
      <c r="N99" s="4" t="inlineStr">
        <is>
          <t>No</t>
        </is>
      </c>
      <c r="O99" s="4" t="inlineStr">
        <is>
          <t>Unattempted</t>
        </is>
      </c>
    </row>
    <row r="100">
      <c r="A100" s="2" t="inlineStr">
        <is>
          <t>Interview Questions</t>
        </is>
      </c>
      <c r="B100" s="2" t="inlineStr">
        <is>
          <t>Python Interview Questions</t>
        </is>
      </c>
      <c r="C100" s="2" t="inlineStr">
        <is>
          <t>Practice these 118 Python Interview Questions and prepare for freshers interviews. Use the detailed explanations for MCQs whose answer you don't know.</t>
        </is>
      </c>
      <c r="D100" s="2" t="inlineStr">
        <is>
          <t>Virtual environments - Virtual environments</t>
        </is>
      </c>
      <c r="E100" s="2" t="n">
        <v>99</v>
      </c>
      <c r="F100" s="2" t="inlineStr">
        <is>
          <t>Virtual Environment Creation</t>
        </is>
      </c>
      <c r="G100" s="2" t="inlineStr">
        <is>
          <t>PYMCQ109</t>
        </is>
      </c>
      <c r="H100" s="2" t="inlineStr"/>
      <c r="I100" s="2" t="inlineStr">
        <is>
          <t>Easy</t>
        </is>
      </c>
      <c r="J100" s="3">
        <f>HYPERLINK("https://www.codechef.com/problems/PYMCQ109", "https://www.codechef.com/problems/PYMCQ109")</f>
        <v/>
      </c>
      <c r="K100" s="2" t="inlineStr"/>
      <c r="L100" s="2" t="inlineStr"/>
      <c r="M100" s="2" t="inlineStr"/>
      <c r="N100" s="2" t="inlineStr">
        <is>
          <t>No</t>
        </is>
      </c>
      <c r="O100" s="2" t="inlineStr">
        <is>
          <t>Unattempted</t>
        </is>
      </c>
    </row>
    <row r="101">
      <c r="A101" s="4" t="inlineStr">
        <is>
          <t>Interview Questions</t>
        </is>
      </c>
      <c r="B101" s="4" t="inlineStr">
        <is>
          <t>Python Interview Questions</t>
        </is>
      </c>
      <c r="C101" s="4" t="inlineStr">
        <is>
          <t>Practice these 118 Python Interview Questions and prepare for freshers interviews. Use the detailed explanations for MCQs whose answer you don't know.</t>
        </is>
      </c>
      <c r="D101" s="4" t="inlineStr">
        <is>
          <t>Virtual environments - Virtual environments</t>
        </is>
      </c>
      <c r="E101" s="4" t="n">
        <v>100</v>
      </c>
      <c r="F101" s="4" t="inlineStr">
        <is>
          <t>Activating Virtual Environment</t>
        </is>
      </c>
      <c r="G101" s="4" t="inlineStr">
        <is>
          <t>PYMCQ110</t>
        </is>
      </c>
      <c r="H101" s="4" t="inlineStr"/>
      <c r="I101" s="4" t="inlineStr">
        <is>
          <t>Easy</t>
        </is>
      </c>
      <c r="J101" s="5">
        <f>HYPERLINK("https://www.codechef.com/problems/PYMCQ110", "https://www.codechef.com/problems/PYMCQ110")</f>
        <v/>
      </c>
      <c r="K101" s="4" t="inlineStr"/>
      <c r="L101" s="4" t="inlineStr"/>
      <c r="M101" s="4" t="inlineStr"/>
      <c r="N101" s="4" t="inlineStr">
        <is>
          <t>No</t>
        </is>
      </c>
      <c r="O101" s="4" t="inlineStr">
        <is>
          <t>Unattempted</t>
        </is>
      </c>
    </row>
    <row r="102">
      <c r="A102" s="2" t="inlineStr">
        <is>
          <t>Interview Questions</t>
        </is>
      </c>
      <c r="B102" s="2" t="inlineStr">
        <is>
          <t>Python Interview Questions</t>
        </is>
      </c>
      <c r="C102" s="2" t="inlineStr">
        <is>
          <t>Practice these 118 Python Interview Questions and prepare for freshers interviews. Use the detailed explanations for MCQs whose answer you don't know.</t>
        </is>
      </c>
      <c r="D102" s="2" t="inlineStr">
        <is>
          <t>Virtual environments - Virtual environments</t>
        </is>
      </c>
      <c r="E102" s="2" t="n">
        <v>101</v>
      </c>
      <c r="F102" s="2" t="inlineStr">
        <is>
          <t>Package Installation in Virtual Environment</t>
        </is>
      </c>
      <c r="G102" s="2" t="inlineStr">
        <is>
          <t>PYMCQ111</t>
        </is>
      </c>
      <c r="H102" s="2" t="inlineStr"/>
      <c r="I102" s="2" t="inlineStr">
        <is>
          <t>Easy</t>
        </is>
      </c>
      <c r="J102" s="3">
        <f>HYPERLINK("https://www.codechef.com/problems/PYMCQ111", "https://www.codechef.com/problems/PYMCQ111")</f>
        <v/>
      </c>
      <c r="K102" s="2" t="inlineStr"/>
      <c r="L102" s="2" t="inlineStr"/>
      <c r="M102" s="2" t="inlineStr"/>
      <c r="N102" s="2" t="inlineStr">
        <is>
          <t>No</t>
        </is>
      </c>
      <c r="O102" s="2" t="inlineStr">
        <is>
          <t>Unattempted</t>
        </is>
      </c>
    </row>
    <row r="103">
      <c r="A103" s="4" t="inlineStr">
        <is>
          <t>Interview Questions</t>
        </is>
      </c>
      <c r="B103" s="4" t="inlineStr">
        <is>
          <t>Python Interview Questions</t>
        </is>
      </c>
      <c r="C103" s="4" t="inlineStr">
        <is>
          <t>Practice these 118 Python Interview Questions and prepare for freshers interviews. Use the detailed explanations for MCQs whose answer you don't know.</t>
        </is>
      </c>
      <c r="D103" s="4" t="inlineStr">
        <is>
          <t>Virtual environments - Virtual environments</t>
        </is>
      </c>
      <c r="E103" s="4" t="n">
        <v>102</v>
      </c>
      <c r="F103" s="4" t="inlineStr">
        <is>
          <t>Purpose of requirements.txt</t>
        </is>
      </c>
      <c r="G103" s="4" t="inlineStr">
        <is>
          <t>PYMCQ112</t>
        </is>
      </c>
      <c r="H103" s="4" t="inlineStr"/>
      <c r="I103" s="4" t="inlineStr">
        <is>
          <t>Easy</t>
        </is>
      </c>
      <c r="J103" s="5">
        <f>HYPERLINK("https://www.codechef.com/problems/PYMCQ112", "https://www.codechef.com/problems/PYMCQ112")</f>
        <v/>
      </c>
      <c r="K103" s="4" t="inlineStr"/>
      <c r="L103" s="4" t="inlineStr"/>
      <c r="M103" s="4" t="inlineStr"/>
      <c r="N103" s="4" t="inlineStr">
        <is>
          <t>No</t>
        </is>
      </c>
      <c r="O103" s="4" t="inlineStr">
        <is>
          <t>Unattempted</t>
        </is>
      </c>
    </row>
    <row r="104">
      <c r="A104" s="2" t="inlineStr">
        <is>
          <t>Interview Questions</t>
        </is>
      </c>
      <c r="B104" s="2" t="inlineStr">
        <is>
          <t>Python Interview Questions</t>
        </is>
      </c>
      <c r="C104" s="2" t="inlineStr">
        <is>
          <t>Practice these 118 Python Interview Questions and prepare for freshers interviews. Use the detailed explanations for MCQs whose answer you don't know.</t>
        </is>
      </c>
      <c r="D104" s="2" t="inlineStr">
        <is>
          <t>Virtual environments - Virtual environments</t>
        </is>
      </c>
      <c r="E104" s="2" t="n">
        <v>103</v>
      </c>
      <c r="F104" s="2" t="inlineStr">
        <is>
          <t>Generating requirements.txt</t>
        </is>
      </c>
      <c r="G104" s="2" t="inlineStr">
        <is>
          <t>PYMCQ113</t>
        </is>
      </c>
      <c r="H104" s="2" t="inlineStr"/>
      <c r="I104" s="2" t="inlineStr">
        <is>
          <t>Easy</t>
        </is>
      </c>
      <c r="J104" s="3">
        <f>HYPERLINK("https://www.codechef.com/problems/PYMCQ113", "https://www.codechef.com/problems/PYMCQ113")</f>
        <v/>
      </c>
      <c r="K104" s="2" t="inlineStr"/>
      <c r="L104" s="2" t="inlineStr"/>
      <c r="M104" s="2" t="inlineStr"/>
      <c r="N104" s="2" t="inlineStr">
        <is>
          <t>No</t>
        </is>
      </c>
      <c r="O104" s="2" t="inlineStr">
        <is>
          <t>Unattempted</t>
        </is>
      </c>
    </row>
    <row r="105">
      <c r="A105" s="4" t="inlineStr">
        <is>
          <t>Interview Questions</t>
        </is>
      </c>
      <c r="B105" s="4" t="inlineStr">
        <is>
          <t>Python Interview Questions</t>
        </is>
      </c>
      <c r="C105" s="4" t="inlineStr">
        <is>
          <t>Practice these 118 Python Interview Questions and prepare for freshers interviews. Use the detailed explanations for MCQs whose answer you don't know.</t>
        </is>
      </c>
      <c r="D105" s="4" t="inlineStr">
        <is>
          <t>Virtual environments - Virtual environments</t>
        </is>
      </c>
      <c r="E105" s="4" t="n">
        <v>104</v>
      </c>
      <c r="F105" s="4" t="inlineStr">
        <is>
          <t>Virtual Environment Location</t>
        </is>
      </c>
      <c r="G105" s="4" t="inlineStr">
        <is>
          <t>PYMCQ114</t>
        </is>
      </c>
      <c r="H105" s="4" t="inlineStr"/>
      <c r="I105" s="4" t="inlineStr">
        <is>
          <t>Easy</t>
        </is>
      </c>
      <c r="J105" s="5">
        <f>HYPERLINK("https://www.codechef.com/problems/PYMCQ114", "https://www.codechef.com/problems/PYMCQ114")</f>
        <v/>
      </c>
      <c r="K105" s="4" t="inlineStr"/>
      <c r="L105" s="4" t="inlineStr"/>
      <c r="M105" s="4" t="inlineStr"/>
      <c r="N105" s="4" t="inlineStr">
        <is>
          <t>No</t>
        </is>
      </c>
      <c r="O105" s="4" t="inlineStr">
        <is>
          <t>Unattempted</t>
        </is>
      </c>
    </row>
    <row r="106">
      <c r="A106" s="2" t="inlineStr">
        <is>
          <t>Interview Questions</t>
        </is>
      </c>
      <c r="B106" s="2" t="inlineStr">
        <is>
          <t>Python Interview Questions</t>
        </is>
      </c>
      <c r="C106" s="2" t="inlineStr">
        <is>
          <t>Practice these 118 Python Interview Questions and prepare for freshers interviews. Use the detailed explanations for MCQs whose answer you don't know.</t>
        </is>
      </c>
      <c r="D106" s="2" t="inlineStr">
        <is>
          <t>Virtual environments - Virtual environments</t>
        </is>
      </c>
      <c r="E106" s="2" t="n">
        <v>105</v>
      </c>
      <c r="F106" s="2" t="inlineStr">
        <is>
          <t>Deactivating Virtual Environment</t>
        </is>
      </c>
      <c r="G106" s="2" t="inlineStr">
        <is>
          <t>PYMCQ115</t>
        </is>
      </c>
      <c r="H106" s="2" t="inlineStr"/>
      <c r="I106" s="2" t="inlineStr">
        <is>
          <t>Easy</t>
        </is>
      </c>
      <c r="J106" s="3">
        <f>HYPERLINK("https://www.codechef.com/problems/PYMCQ115", "https://www.codechef.com/problems/PYMCQ115")</f>
        <v/>
      </c>
      <c r="K106" s="2" t="inlineStr"/>
      <c r="L106" s="2" t="inlineStr"/>
      <c r="M106" s="2" t="inlineStr"/>
      <c r="N106" s="2" t="inlineStr">
        <is>
          <t>No</t>
        </is>
      </c>
      <c r="O106" s="2" t="inlineStr">
        <is>
          <t>Unattempted</t>
        </is>
      </c>
    </row>
    <row r="107">
      <c r="A107" s="4" t="inlineStr">
        <is>
          <t>Interview Questions</t>
        </is>
      </c>
      <c r="B107" s="4" t="inlineStr">
        <is>
          <t>Python Interview Questions</t>
        </is>
      </c>
      <c r="C107" s="4" t="inlineStr">
        <is>
          <t>Practice these 118 Python Interview Questions and prepare for freshers interviews. Use the detailed explanations for MCQs whose answer you don't know.</t>
        </is>
      </c>
      <c r="D107" s="4" t="inlineStr">
        <is>
          <t>Virtual environments - Virtual environments</t>
        </is>
      </c>
      <c r="E107" s="4" t="n">
        <v>106</v>
      </c>
      <c r="F107" s="4" t="inlineStr">
        <is>
          <t>Upgrading pip in Virtual Environment</t>
        </is>
      </c>
      <c r="G107" s="4" t="inlineStr">
        <is>
          <t>PYMCQ116</t>
        </is>
      </c>
      <c r="H107" s="4" t="inlineStr"/>
      <c r="I107" s="4" t="inlineStr">
        <is>
          <t>Easy</t>
        </is>
      </c>
      <c r="J107" s="5">
        <f>HYPERLINK("https://www.codechef.com/problems/PYMCQ116", "https://www.codechef.com/problems/PYMCQ116")</f>
        <v/>
      </c>
      <c r="K107" s="4" t="inlineStr"/>
      <c r="L107" s="4" t="inlineStr"/>
      <c r="M107" s="4" t="inlineStr"/>
      <c r="N107" s="4" t="inlineStr">
        <is>
          <t>No</t>
        </is>
      </c>
      <c r="O107" s="4" t="inlineStr">
        <is>
          <t>Unattempted</t>
        </is>
      </c>
    </row>
    <row r="108">
      <c r="A108" s="2" t="inlineStr">
        <is>
          <t>Interview Questions</t>
        </is>
      </c>
      <c r="B108" s="2" t="inlineStr">
        <is>
          <t>Python Interview Questions</t>
        </is>
      </c>
      <c r="C108" s="2" t="inlineStr">
        <is>
          <t>Practice these 118 Python Interview Questions and prepare for freshers interviews. Use the detailed explanations for MCQs whose answer you don't know.</t>
        </is>
      </c>
      <c r="D108" s="2" t="inlineStr">
        <is>
          <t>Virtual environments - Virtual environments</t>
        </is>
      </c>
      <c r="E108" s="2" t="n">
        <v>107</v>
      </c>
      <c r="F108" s="2" t="inlineStr">
        <is>
          <t>Virtual Environment and Global Packages</t>
        </is>
      </c>
      <c r="G108" s="2" t="inlineStr">
        <is>
          <t>PYMCQ117</t>
        </is>
      </c>
      <c r="H108" s="2" t="inlineStr"/>
      <c r="I108" s="2" t="inlineStr">
        <is>
          <t>Easy</t>
        </is>
      </c>
      <c r="J108" s="3">
        <f>HYPERLINK("https://www.codechef.com/problems/PYMCQ117", "https://www.codechef.com/problems/PYMCQ117")</f>
        <v/>
      </c>
      <c r="K108" s="2" t="inlineStr"/>
      <c r="L108" s="2" t="inlineStr"/>
      <c r="M108" s="2" t="inlineStr"/>
      <c r="N108" s="2" t="inlineStr">
        <is>
          <t>No</t>
        </is>
      </c>
      <c r="O108" s="2" t="inlineStr">
        <is>
          <t>Unattempted</t>
        </is>
      </c>
    </row>
    <row r="109">
      <c r="A109" s="4" t="inlineStr">
        <is>
          <t>Interview Questions</t>
        </is>
      </c>
      <c r="B109" s="4" t="inlineStr">
        <is>
          <t>Python Interview Questions</t>
        </is>
      </c>
      <c r="C109" s="4" t="inlineStr">
        <is>
          <t>Practice these 118 Python Interview Questions and prepare for freshers interviews. Use the detailed explanations for MCQs whose answer you don't know.</t>
        </is>
      </c>
      <c r="D109" s="4" t="inlineStr">
        <is>
          <t>Virtual environments - Virtual environments</t>
        </is>
      </c>
      <c r="E109" s="4" t="n">
        <v>108</v>
      </c>
      <c r="F109" s="4" t="inlineStr">
        <is>
          <t>Managing Multiple Python Versions</t>
        </is>
      </c>
      <c r="G109" s="4" t="inlineStr">
        <is>
          <t>PYMCQ118</t>
        </is>
      </c>
      <c r="H109" s="4" t="inlineStr"/>
      <c r="I109" s="4" t="inlineStr">
        <is>
          <t>Easy</t>
        </is>
      </c>
      <c r="J109" s="5">
        <f>HYPERLINK("https://www.codechef.com/problems/PYMCQ118", "https://www.codechef.com/problems/PYMCQ118")</f>
        <v/>
      </c>
      <c r="K109" s="4" t="inlineStr"/>
      <c r="L109" s="4" t="inlineStr"/>
      <c r="M109" s="4" t="inlineStr"/>
      <c r="N109" s="4" t="inlineStr">
        <is>
          <t>No</t>
        </is>
      </c>
      <c r="O109" s="4" t="inlineStr">
        <is>
          <t>Unattempted</t>
        </is>
      </c>
    </row>
    <row r="110">
      <c r="A110" s="2" t="inlineStr">
        <is>
          <t>Interview Questions</t>
        </is>
      </c>
      <c r="B110" s="2" t="inlineStr">
        <is>
          <t>Python Interview Questions</t>
        </is>
      </c>
      <c r="C110" s="2" t="inlineStr">
        <is>
          <t>Practice these 118 Python Interview Questions and prepare for freshers interviews. Use the detailed explanations for MCQs whose answer you don't know.</t>
        </is>
      </c>
      <c r="D110" s="2" t="inlineStr">
        <is>
          <t>Basic understanding of PEP 8 - Basic understanding of PEP 8</t>
        </is>
      </c>
      <c r="E110" s="2" t="n">
        <v>109</v>
      </c>
      <c r="F110" s="2" t="inlineStr">
        <is>
          <t>Indentation Rule</t>
        </is>
      </c>
      <c r="G110" s="2" t="inlineStr">
        <is>
          <t>PYMCQ119</t>
        </is>
      </c>
      <c r="H110" s="2" t="inlineStr"/>
      <c r="I110" s="2" t="inlineStr">
        <is>
          <t>Easy</t>
        </is>
      </c>
      <c r="J110" s="3">
        <f>HYPERLINK("https://www.codechef.com/problems/PYMCQ119", "https://www.codechef.com/problems/PYMCQ119")</f>
        <v/>
      </c>
      <c r="K110" s="2" t="inlineStr"/>
      <c r="L110" s="2" t="inlineStr"/>
      <c r="M110" s="2" t="inlineStr"/>
      <c r="N110" s="2" t="inlineStr">
        <is>
          <t>No</t>
        </is>
      </c>
      <c r="O110" s="2" t="inlineStr">
        <is>
          <t>Unattempted</t>
        </is>
      </c>
    </row>
    <row r="111">
      <c r="A111" s="4" t="inlineStr">
        <is>
          <t>Interview Questions</t>
        </is>
      </c>
      <c r="B111" s="4" t="inlineStr">
        <is>
          <t>Python Interview Questions</t>
        </is>
      </c>
      <c r="C111" s="4" t="inlineStr">
        <is>
          <t>Practice these 118 Python Interview Questions and prepare for freshers interviews. Use the detailed explanations for MCQs whose answer you don't know.</t>
        </is>
      </c>
      <c r="D111" s="4" t="inlineStr">
        <is>
          <t>Basic understanding of PEP 8 - Basic understanding of PEP 8</t>
        </is>
      </c>
      <c r="E111" s="4" t="n">
        <v>110</v>
      </c>
      <c r="F111" s="4" t="inlineStr">
        <is>
          <t>Naming Convention for Functions</t>
        </is>
      </c>
      <c r="G111" s="4" t="inlineStr">
        <is>
          <t>PYMCQ120</t>
        </is>
      </c>
      <c r="H111" s="4" t="inlineStr"/>
      <c r="I111" s="4" t="inlineStr">
        <is>
          <t>Easy</t>
        </is>
      </c>
      <c r="J111" s="5">
        <f>HYPERLINK("https://www.codechef.com/problems/PYMCQ120", "https://www.codechef.com/problems/PYMCQ120")</f>
        <v/>
      </c>
      <c r="K111" s="4" t="inlineStr"/>
      <c r="L111" s="4" t="inlineStr"/>
      <c r="M111" s="4" t="inlineStr"/>
      <c r="N111" s="4" t="inlineStr">
        <is>
          <t>No</t>
        </is>
      </c>
      <c r="O111" s="4" t="inlineStr">
        <is>
          <t>Unattempted</t>
        </is>
      </c>
    </row>
    <row r="112">
      <c r="A112" s="2" t="inlineStr">
        <is>
          <t>Interview Questions</t>
        </is>
      </c>
      <c r="B112" s="2" t="inlineStr">
        <is>
          <t>Python Interview Questions</t>
        </is>
      </c>
      <c r="C112" s="2" t="inlineStr">
        <is>
          <t>Practice these 118 Python Interview Questions and prepare for freshers interviews. Use the detailed explanations for MCQs whose answer you don't know.</t>
        </is>
      </c>
      <c r="D112" s="2" t="inlineStr">
        <is>
          <t>Basic understanding of PEP 8 - Basic understanding of PEP 8</t>
        </is>
      </c>
      <c r="E112" s="2" t="n">
        <v>111</v>
      </c>
      <c r="F112" s="2" t="inlineStr">
        <is>
          <t>Maximum Line Length</t>
        </is>
      </c>
      <c r="G112" s="2" t="inlineStr">
        <is>
          <t>PYMCQ121</t>
        </is>
      </c>
      <c r="H112" s="2" t="inlineStr"/>
      <c r="I112" s="2" t="inlineStr">
        <is>
          <t>Easy</t>
        </is>
      </c>
      <c r="J112" s="3">
        <f>HYPERLINK("https://www.codechef.com/problems/PYMCQ121", "https://www.codechef.com/problems/PYMCQ121")</f>
        <v/>
      </c>
      <c r="K112" s="2" t="inlineStr"/>
      <c r="L112" s="2" t="inlineStr"/>
      <c r="M112" s="2" t="inlineStr"/>
      <c r="N112" s="2" t="inlineStr">
        <is>
          <t>No</t>
        </is>
      </c>
      <c r="O112" s="2" t="inlineStr">
        <is>
          <t>Unattempted</t>
        </is>
      </c>
    </row>
    <row r="113">
      <c r="A113" s="4" t="inlineStr">
        <is>
          <t>Interview Questions</t>
        </is>
      </c>
      <c r="B113" s="4" t="inlineStr">
        <is>
          <t>Python Interview Questions</t>
        </is>
      </c>
      <c r="C113" s="4" t="inlineStr">
        <is>
          <t>Practice these 118 Python Interview Questions and prepare for freshers interviews. Use the detailed explanations for MCQs whose answer you don't know.</t>
        </is>
      </c>
      <c r="D113" s="4" t="inlineStr">
        <is>
          <t>Basic understanding of PEP 8 - Basic understanding of PEP 8</t>
        </is>
      </c>
      <c r="E113" s="4" t="n">
        <v>112</v>
      </c>
      <c r="F113" s="4" t="inlineStr">
        <is>
          <t>Import Statement Formatting</t>
        </is>
      </c>
      <c r="G113" s="4" t="inlineStr">
        <is>
          <t>PYMCQ122</t>
        </is>
      </c>
      <c r="H113" s="4" t="inlineStr"/>
      <c r="I113" s="4" t="inlineStr">
        <is>
          <t>Easy</t>
        </is>
      </c>
      <c r="J113" s="5">
        <f>HYPERLINK("https://www.codechef.com/problems/PYMCQ122", "https://www.codechef.com/problems/PYMCQ122")</f>
        <v/>
      </c>
      <c r="K113" s="4" t="inlineStr"/>
      <c r="L113" s="4" t="inlineStr"/>
      <c r="M113" s="4" t="inlineStr"/>
      <c r="N113" s="4" t="inlineStr">
        <is>
          <t>No</t>
        </is>
      </c>
      <c r="O113" s="4" t="inlineStr">
        <is>
          <t>Unattempted</t>
        </is>
      </c>
    </row>
    <row r="114">
      <c r="A114" s="2" t="inlineStr">
        <is>
          <t>Interview Questions</t>
        </is>
      </c>
      <c r="B114" s="2" t="inlineStr">
        <is>
          <t>Python Interview Questions</t>
        </is>
      </c>
      <c r="C114" s="2" t="inlineStr">
        <is>
          <t>Practice these 118 Python Interview Questions and prepare for freshers interviews. Use the detailed explanations for MCQs whose answer you don't know.</t>
        </is>
      </c>
      <c r="D114" s="2" t="inlineStr">
        <is>
          <t>Basic understanding of PEP 8 - Basic understanding of PEP 8</t>
        </is>
      </c>
      <c r="E114" s="2" t="n">
        <v>113</v>
      </c>
      <c r="F114" s="2" t="inlineStr">
        <is>
          <t>Class Naming Convention</t>
        </is>
      </c>
      <c r="G114" s="2" t="inlineStr">
        <is>
          <t>PYMCQ123</t>
        </is>
      </c>
      <c r="H114" s="2" t="inlineStr"/>
      <c r="I114" s="2" t="inlineStr">
        <is>
          <t>Easy</t>
        </is>
      </c>
      <c r="J114" s="3">
        <f>HYPERLINK("https://www.codechef.com/problems/PYMCQ123", "https://www.codechef.com/problems/PYMCQ123")</f>
        <v/>
      </c>
      <c r="K114" s="2" t="inlineStr"/>
      <c r="L114" s="2" t="inlineStr"/>
      <c r="M114" s="2" t="inlineStr"/>
      <c r="N114" s="2" t="inlineStr">
        <is>
          <t>No</t>
        </is>
      </c>
      <c r="O114" s="2" t="inlineStr">
        <is>
          <t>Unattempted</t>
        </is>
      </c>
    </row>
    <row r="115">
      <c r="A115" s="4" t="inlineStr">
        <is>
          <t>Interview Questions</t>
        </is>
      </c>
      <c r="B115" s="4" t="inlineStr">
        <is>
          <t>Python Interview Questions</t>
        </is>
      </c>
      <c r="C115" s="4" t="inlineStr">
        <is>
          <t>Practice these 118 Python Interview Questions and prepare for freshers interviews. Use the detailed explanations for MCQs whose answer you don't know.</t>
        </is>
      </c>
      <c r="D115" s="4" t="inlineStr">
        <is>
          <t>Basic understanding of PEP 8 - Basic understanding of PEP 8</t>
        </is>
      </c>
      <c r="E115" s="4" t="n">
        <v>114</v>
      </c>
      <c r="F115" s="4" t="inlineStr">
        <is>
          <t>Variable Naming Convention</t>
        </is>
      </c>
      <c r="G115" s="4" t="inlineStr">
        <is>
          <t>PYMCQ124</t>
        </is>
      </c>
      <c r="H115" s="4" t="inlineStr"/>
      <c r="I115" s="4" t="inlineStr">
        <is>
          <t>Easy</t>
        </is>
      </c>
      <c r="J115" s="5">
        <f>HYPERLINK("https://www.codechef.com/problems/PYMCQ124", "https://www.codechef.com/problems/PYMCQ124")</f>
        <v/>
      </c>
      <c r="K115" s="4" t="inlineStr"/>
      <c r="L115" s="4" t="inlineStr"/>
      <c r="M115" s="4" t="inlineStr"/>
      <c r="N115" s="4" t="inlineStr">
        <is>
          <t>No</t>
        </is>
      </c>
      <c r="O115" s="4" t="inlineStr">
        <is>
          <t>Unattempted</t>
        </is>
      </c>
    </row>
    <row r="116">
      <c r="A116" s="2" t="inlineStr">
        <is>
          <t>Interview Questions</t>
        </is>
      </c>
      <c r="B116" s="2" t="inlineStr">
        <is>
          <t>Python Interview Questions</t>
        </is>
      </c>
      <c r="C116" s="2" t="inlineStr">
        <is>
          <t>Practice these 118 Python Interview Questions and prepare for freshers interviews. Use the detailed explanations for MCQs whose answer you don't know.</t>
        </is>
      </c>
      <c r="D116" s="2" t="inlineStr">
        <is>
          <t>Basic understanding of PEP 8 - Basic understanding of PEP 8</t>
        </is>
      </c>
      <c r="E116" s="2" t="n">
        <v>115</v>
      </c>
      <c r="F116" s="2" t="inlineStr">
        <is>
          <t>Whitespace in Expressions</t>
        </is>
      </c>
      <c r="G116" s="2" t="inlineStr">
        <is>
          <t>PYMCQ125</t>
        </is>
      </c>
      <c r="H116" s="2" t="inlineStr"/>
      <c r="I116" s="2" t="inlineStr">
        <is>
          <t>Easy</t>
        </is>
      </c>
      <c r="J116" s="3">
        <f>HYPERLINK("https://www.codechef.com/problems/PYMCQ125", "https://www.codechef.com/problems/PYMCQ125")</f>
        <v/>
      </c>
      <c r="K116" s="2" t="inlineStr"/>
      <c r="L116" s="2" t="inlineStr"/>
      <c r="M116" s="2" t="inlineStr"/>
      <c r="N116" s="2" t="inlineStr">
        <is>
          <t>No</t>
        </is>
      </c>
      <c r="O116" s="2" t="inlineStr">
        <is>
          <t>Unattempted</t>
        </is>
      </c>
    </row>
    <row r="117">
      <c r="A117" s="4" t="inlineStr">
        <is>
          <t>Interview Questions</t>
        </is>
      </c>
      <c r="B117" s="4" t="inlineStr">
        <is>
          <t>Python Interview Questions</t>
        </is>
      </c>
      <c r="C117" s="4" t="inlineStr">
        <is>
          <t>Practice these 118 Python Interview Questions and prepare for freshers interviews. Use the detailed explanations for MCQs whose answer you don't know.</t>
        </is>
      </c>
      <c r="D117" s="4" t="inlineStr">
        <is>
          <t>Basic understanding of PEP 8 - Basic understanding of PEP 8</t>
        </is>
      </c>
      <c r="E117" s="4" t="n">
        <v>116</v>
      </c>
      <c r="F117" s="4" t="inlineStr">
        <is>
          <t>Comment Formatting</t>
        </is>
      </c>
      <c r="G117" s="4" t="inlineStr">
        <is>
          <t>PYMCQ126</t>
        </is>
      </c>
      <c r="H117" s="4" t="inlineStr"/>
      <c r="I117" s="4" t="inlineStr">
        <is>
          <t>Easy</t>
        </is>
      </c>
      <c r="J117" s="5">
        <f>HYPERLINK("https://www.codechef.com/problems/PYMCQ126", "https://www.codechef.com/problems/PYMCQ126")</f>
        <v/>
      </c>
      <c r="K117" s="4" t="inlineStr"/>
      <c r="L117" s="4" t="inlineStr"/>
      <c r="M117" s="4" t="inlineStr"/>
      <c r="N117" s="4" t="inlineStr">
        <is>
          <t>No</t>
        </is>
      </c>
      <c r="O117" s="4" t="inlineStr">
        <is>
          <t>Unattempted</t>
        </is>
      </c>
    </row>
    <row r="118">
      <c r="A118" s="2" t="inlineStr">
        <is>
          <t>Interview Questions</t>
        </is>
      </c>
      <c r="B118" s="2" t="inlineStr">
        <is>
          <t>Python Interview Questions</t>
        </is>
      </c>
      <c r="C118" s="2" t="inlineStr">
        <is>
          <t>Practice these 118 Python Interview Questions and prepare for freshers interviews. Use the detailed explanations for MCQs whose answer you don't know.</t>
        </is>
      </c>
      <c r="D118" s="2" t="inlineStr">
        <is>
          <t>Basic understanding of PEP 8 - Basic understanding of PEP 8</t>
        </is>
      </c>
      <c r="E118" s="2" t="n">
        <v>117</v>
      </c>
      <c r="F118" s="2" t="inlineStr">
        <is>
          <t>Function Argument Formatting</t>
        </is>
      </c>
      <c r="G118" s="2" t="inlineStr">
        <is>
          <t>PYMCQ127</t>
        </is>
      </c>
      <c r="H118" s="2" t="inlineStr"/>
      <c r="I118" s="2" t="inlineStr">
        <is>
          <t>Easy</t>
        </is>
      </c>
      <c r="J118" s="3">
        <f>HYPERLINK("https://www.codechef.com/problems/PYMCQ127", "https://www.codechef.com/problems/PYMCQ127")</f>
        <v/>
      </c>
      <c r="K118" s="2" t="inlineStr"/>
      <c r="L118" s="2" t="inlineStr"/>
      <c r="M118" s="2" t="inlineStr"/>
      <c r="N118" s="2" t="inlineStr">
        <is>
          <t>No</t>
        </is>
      </c>
      <c r="O118" s="2" t="inlineStr">
        <is>
          <t>Unattempted</t>
        </is>
      </c>
    </row>
    <row r="119">
      <c r="A119" s="4" t="inlineStr">
        <is>
          <t>Interview Questions</t>
        </is>
      </c>
      <c r="B119" s="4" t="inlineStr">
        <is>
          <t>Python Interview Questions</t>
        </is>
      </c>
      <c r="C119" s="4" t="inlineStr">
        <is>
          <t>Practice these 118 Python Interview Questions and prepare for freshers interviews. Use the detailed explanations for MCQs whose answer you don't know.</t>
        </is>
      </c>
      <c r="D119" s="4" t="inlineStr">
        <is>
          <t>Basic understanding of PEP 8 - Basic understanding of PEP 8</t>
        </is>
      </c>
      <c r="E119" s="4" t="n">
        <v>118</v>
      </c>
      <c r="F119" s="4" t="inlineStr">
        <is>
          <t>Module Level Dunder Names</t>
        </is>
      </c>
      <c r="G119" s="4" t="inlineStr">
        <is>
          <t>PYMCQ128</t>
        </is>
      </c>
      <c r="H119" s="4" t="inlineStr"/>
      <c r="I119" s="4" t="inlineStr">
        <is>
          <t>Easy</t>
        </is>
      </c>
      <c r="J119" s="5">
        <f>HYPERLINK("https://www.codechef.com/problems/PYMCQ128", "https://www.codechef.com/problems/PYMCQ128")</f>
        <v/>
      </c>
      <c r="K119" s="4" t="inlineStr"/>
      <c r="L119" s="4" t="inlineStr"/>
      <c r="M119" s="4" t="inlineStr"/>
      <c r="N119" s="4" t="inlineStr">
        <is>
          <t>No</t>
        </is>
      </c>
      <c r="O119" s="4" t="inlineStr">
        <is>
          <t>Unattempted</t>
        </is>
      </c>
    </row>
    <row r="120">
      <c r="A120" s="2" t="inlineStr">
        <is>
          <t>Interview Questions</t>
        </is>
      </c>
      <c r="B120" s="2" t="inlineStr">
        <is>
          <t>Java Interview Questions for Freshers</t>
        </is>
      </c>
      <c r="C120" s="2" t="inlineStr">
        <is>
          <t>Practice these 146 Java MCQs with detailed explanations and prepare yourself for fresher interviews in Java.</t>
        </is>
      </c>
      <c r="D120" s="2" t="inlineStr">
        <is>
          <t>Java basics (data types, variables, operators) - Java Basics</t>
        </is>
      </c>
      <c r="E120" s="2" t="n">
        <v>1</v>
      </c>
      <c r="F120" s="2" t="inlineStr">
        <is>
          <t>Data Type Identification</t>
        </is>
      </c>
      <c r="G120" s="2" t="inlineStr">
        <is>
          <t>JAVAMCQ01</t>
        </is>
      </c>
      <c r="H120" s="2" t="inlineStr"/>
      <c r="I120" s="2" t="inlineStr">
        <is>
          <t>Easy</t>
        </is>
      </c>
      <c r="J120" s="3">
        <f>HYPERLINK("https://www.codechef.com/problems/JAVAMCQ01", "https://www.codechef.com/problems/JAVAMCQ01")</f>
        <v/>
      </c>
      <c r="K120" s="2" t="inlineStr"/>
      <c r="L120" s="2" t="inlineStr"/>
      <c r="M120" s="2" t="inlineStr"/>
      <c r="N120" s="2" t="inlineStr">
        <is>
          <t>No</t>
        </is>
      </c>
      <c r="O120" s="2" t="inlineStr">
        <is>
          <t>Unattempted</t>
        </is>
      </c>
    </row>
    <row r="121">
      <c r="A121" s="4" t="inlineStr">
        <is>
          <t>Interview Questions</t>
        </is>
      </c>
      <c r="B121" s="4" t="inlineStr">
        <is>
          <t>Java Interview Questions for Freshers</t>
        </is>
      </c>
      <c r="C121" s="4" t="inlineStr">
        <is>
          <t>Practice these 146 Java MCQs with detailed explanations and prepare yourself for fresher interviews in Java.</t>
        </is>
      </c>
      <c r="D121" s="4" t="inlineStr">
        <is>
          <t>Java basics (data types, variables, operators) - Java Basics</t>
        </is>
      </c>
      <c r="E121" s="4" t="n">
        <v>2</v>
      </c>
      <c r="F121" s="4" t="inlineStr">
        <is>
          <t>Variable Declaration</t>
        </is>
      </c>
      <c r="G121" s="4" t="inlineStr">
        <is>
          <t>JAVAMCQ02</t>
        </is>
      </c>
      <c r="H121" s="4" t="inlineStr"/>
      <c r="I121" s="4" t="inlineStr">
        <is>
          <t>Easy</t>
        </is>
      </c>
      <c r="J121" s="5">
        <f>HYPERLINK("https://www.codechef.com/problems/JAVAMCQ02", "https://www.codechef.com/problems/JAVAMCQ02")</f>
        <v/>
      </c>
      <c r="K121" s="4" t="inlineStr"/>
      <c r="L121" s="4" t="inlineStr"/>
      <c r="M121" s="4" t="inlineStr"/>
      <c r="N121" s="4" t="inlineStr">
        <is>
          <t>No</t>
        </is>
      </c>
      <c r="O121" s="4" t="inlineStr">
        <is>
          <t>Unattempted</t>
        </is>
      </c>
    </row>
    <row r="122">
      <c r="A122" s="2" t="inlineStr">
        <is>
          <t>Interview Questions</t>
        </is>
      </c>
      <c r="B122" s="2" t="inlineStr">
        <is>
          <t>Java Interview Questions for Freshers</t>
        </is>
      </c>
      <c r="C122" s="2" t="inlineStr">
        <is>
          <t>Practice these 146 Java MCQs with detailed explanations and prepare yourself for fresher interviews in Java.</t>
        </is>
      </c>
      <c r="D122" s="2" t="inlineStr">
        <is>
          <t>Java basics (data types, variables, operators) - Java Basics</t>
        </is>
      </c>
      <c r="E122" s="2" t="n">
        <v>3</v>
      </c>
      <c r="F122" s="2" t="inlineStr">
        <is>
          <t>Operator Precedence</t>
        </is>
      </c>
      <c r="G122" s="2" t="inlineStr">
        <is>
          <t>JAVAMCQ03</t>
        </is>
      </c>
      <c r="H122" s="2" t="inlineStr"/>
      <c r="I122" s="2" t="inlineStr">
        <is>
          <t>Easy</t>
        </is>
      </c>
      <c r="J122" s="3">
        <f>HYPERLINK("https://www.codechef.com/problems/JAVAMCQ03", "https://www.codechef.com/problems/JAVAMCQ03")</f>
        <v/>
      </c>
      <c r="K122" s="2" t="inlineStr"/>
      <c r="L122" s="2" t="inlineStr"/>
      <c r="M122" s="2" t="inlineStr"/>
      <c r="N122" s="2" t="inlineStr">
        <is>
          <t>No</t>
        </is>
      </c>
      <c r="O122" s="2" t="inlineStr">
        <is>
          <t>Unattempted</t>
        </is>
      </c>
    </row>
    <row r="123">
      <c r="A123" s="4" t="inlineStr">
        <is>
          <t>Interview Questions</t>
        </is>
      </c>
      <c r="B123" s="4" t="inlineStr">
        <is>
          <t>Java Interview Questions for Freshers</t>
        </is>
      </c>
      <c r="C123" s="4" t="inlineStr">
        <is>
          <t>Practice these 146 Java MCQs with detailed explanations and prepare yourself for fresher interviews in Java.</t>
        </is>
      </c>
      <c r="D123" s="4" t="inlineStr">
        <is>
          <t>Java basics (data types, variables, operators) - Java Basics</t>
        </is>
      </c>
      <c r="E123" s="4" t="n">
        <v>4</v>
      </c>
      <c r="F123" s="4" t="inlineStr">
        <is>
          <t>Type Casting</t>
        </is>
      </c>
      <c r="G123" s="4" t="inlineStr">
        <is>
          <t>JAVAMCQ04</t>
        </is>
      </c>
      <c r="H123" s="4" t="inlineStr"/>
      <c r="I123" s="4" t="inlineStr">
        <is>
          <t>Easy</t>
        </is>
      </c>
      <c r="J123" s="5">
        <f>HYPERLINK("https://www.codechef.com/problems/JAVAMCQ04", "https://www.codechef.com/problems/JAVAMCQ04")</f>
        <v/>
      </c>
      <c r="K123" s="4" t="inlineStr"/>
      <c r="L123" s="4" t="inlineStr"/>
      <c r="M123" s="4" t="inlineStr"/>
      <c r="N123" s="4" t="inlineStr">
        <is>
          <t>No</t>
        </is>
      </c>
      <c r="O123" s="4" t="inlineStr">
        <is>
          <t>Unattempted</t>
        </is>
      </c>
    </row>
    <row r="124">
      <c r="A124" s="2" t="inlineStr">
        <is>
          <t>Interview Questions</t>
        </is>
      </c>
      <c r="B124" s="2" t="inlineStr">
        <is>
          <t>Java Interview Questions for Freshers</t>
        </is>
      </c>
      <c r="C124" s="2" t="inlineStr">
        <is>
          <t>Practice these 146 Java MCQs with detailed explanations and prepare yourself for fresher interviews in Java.</t>
        </is>
      </c>
      <c r="D124" s="2" t="inlineStr">
        <is>
          <t>Java basics (data types, variables, operators) - Java Basics</t>
        </is>
      </c>
      <c r="E124" s="2" t="n">
        <v>5</v>
      </c>
      <c r="F124" s="2" t="inlineStr">
        <is>
          <t>Boolean Operators</t>
        </is>
      </c>
      <c r="G124" s="2" t="inlineStr">
        <is>
          <t>JAVAMCQ05</t>
        </is>
      </c>
      <c r="H124" s="2" t="inlineStr"/>
      <c r="I124" s="2" t="inlineStr">
        <is>
          <t>Easy</t>
        </is>
      </c>
      <c r="J124" s="3">
        <f>HYPERLINK("https://www.codechef.com/problems/JAVAMCQ05", "https://www.codechef.com/problems/JAVAMCQ05")</f>
        <v/>
      </c>
      <c r="K124" s="2" t="inlineStr"/>
      <c r="L124" s="2" t="inlineStr"/>
      <c r="M124" s="2" t="inlineStr"/>
      <c r="N124" s="2" t="inlineStr">
        <is>
          <t>No</t>
        </is>
      </c>
      <c r="O124" s="2" t="inlineStr">
        <is>
          <t>Unattempted</t>
        </is>
      </c>
    </row>
    <row r="125">
      <c r="A125" s="4" t="inlineStr">
        <is>
          <t>Interview Questions</t>
        </is>
      </c>
      <c r="B125" s="4" t="inlineStr">
        <is>
          <t>Java Interview Questions for Freshers</t>
        </is>
      </c>
      <c r="C125" s="4" t="inlineStr">
        <is>
          <t>Practice these 146 Java MCQs with detailed explanations and prepare yourself for fresher interviews in Java.</t>
        </is>
      </c>
      <c r="D125" s="4" t="inlineStr">
        <is>
          <t>Java basics (data types, variables, operators) - Java Basics</t>
        </is>
      </c>
      <c r="E125" s="4" t="n">
        <v>6</v>
      </c>
      <c r="F125" s="4" t="inlineStr">
        <is>
          <t>String Concatenation</t>
        </is>
      </c>
      <c r="G125" s="4" t="inlineStr">
        <is>
          <t>JAVAMCQ06</t>
        </is>
      </c>
      <c r="H125" s="4" t="inlineStr"/>
      <c r="I125" s="4" t="inlineStr">
        <is>
          <t>Easy</t>
        </is>
      </c>
      <c r="J125" s="5">
        <f>HYPERLINK("https://www.codechef.com/problems/JAVAMCQ06", "https://www.codechef.com/problems/JAVAMCQ06")</f>
        <v/>
      </c>
      <c r="K125" s="4" t="inlineStr"/>
      <c r="L125" s="4" t="inlineStr"/>
      <c r="M125" s="4" t="inlineStr"/>
      <c r="N125" s="4" t="inlineStr">
        <is>
          <t>No</t>
        </is>
      </c>
      <c r="O125" s="4" t="inlineStr">
        <is>
          <t>Unattempted</t>
        </is>
      </c>
    </row>
    <row r="126">
      <c r="A126" s="2" t="inlineStr">
        <is>
          <t>Interview Questions</t>
        </is>
      </c>
      <c r="B126" s="2" t="inlineStr">
        <is>
          <t>Java Interview Questions for Freshers</t>
        </is>
      </c>
      <c r="C126" s="2" t="inlineStr">
        <is>
          <t>Practice these 146 Java MCQs with detailed explanations and prepare yourself for fresher interviews in Java.</t>
        </is>
      </c>
      <c r="D126" s="2" t="inlineStr">
        <is>
          <t>Java basics (data types, variables, operators) - Java Basics</t>
        </is>
      </c>
      <c r="E126" s="2" t="n">
        <v>7</v>
      </c>
      <c r="F126" s="2" t="inlineStr">
        <is>
          <t>Increment Operator</t>
        </is>
      </c>
      <c r="G126" s="2" t="inlineStr">
        <is>
          <t>JAVAMCQ07</t>
        </is>
      </c>
      <c r="H126" s="2" t="inlineStr"/>
      <c r="I126" s="2" t="inlineStr">
        <is>
          <t>Medium</t>
        </is>
      </c>
      <c r="J126" s="3">
        <f>HYPERLINK("https://www.codechef.com/problems/JAVAMCQ07", "https://www.codechef.com/problems/JAVAMCQ07")</f>
        <v/>
      </c>
      <c r="K126" s="2" t="inlineStr"/>
      <c r="L126" s="2" t="inlineStr"/>
      <c r="M126" s="2" t="inlineStr"/>
      <c r="N126" s="2" t="inlineStr">
        <is>
          <t>No</t>
        </is>
      </c>
      <c r="O126" s="2" t="inlineStr">
        <is>
          <t>Unattempted</t>
        </is>
      </c>
    </row>
    <row r="127">
      <c r="A127" s="4" t="inlineStr">
        <is>
          <t>Interview Questions</t>
        </is>
      </c>
      <c r="B127" s="4" t="inlineStr">
        <is>
          <t>Java Interview Questions for Freshers</t>
        </is>
      </c>
      <c r="C127" s="4" t="inlineStr">
        <is>
          <t>Practice these 146 Java MCQs with detailed explanations and prepare yourself for fresher interviews in Java.</t>
        </is>
      </c>
      <c r="D127" s="4" t="inlineStr">
        <is>
          <t>Java basics (data types, variables, operators) - Java Basics</t>
        </is>
      </c>
      <c r="E127" s="4" t="n">
        <v>8</v>
      </c>
      <c r="F127" s="4" t="inlineStr">
        <is>
          <t>Floating-Point Precision</t>
        </is>
      </c>
      <c r="G127" s="4" t="inlineStr">
        <is>
          <t>JAVAMCQ08</t>
        </is>
      </c>
      <c r="H127" s="4" t="inlineStr"/>
      <c r="I127" s="4" t="inlineStr">
        <is>
          <t>Medium</t>
        </is>
      </c>
      <c r="J127" s="5">
        <f>HYPERLINK("https://www.codechef.com/problems/JAVAMCQ08", "https://www.codechef.com/problems/JAVAMCQ08")</f>
        <v/>
      </c>
      <c r="K127" s="4" t="inlineStr"/>
      <c r="L127" s="4" t="inlineStr"/>
      <c r="M127" s="4" t="inlineStr"/>
      <c r="N127" s="4" t="inlineStr">
        <is>
          <t>No</t>
        </is>
      </c>
      <c r="O127" s="4" t="inlineStr">
        <is>
          <t>Unattempted</t>
        </is>
      </c>
    </row>
    <row r="128">
      <c r="A128" s="2" t="inlineStr">
        <is>
          <t>Interview Questions</t>
        </is>
      </c>
      <c r="B128" s="2" t="inlineStr">
        <is>
          <t>Java Interview Questions for Freshers</t>
        </is>
      </c>
      <c r="C128" s="2" t="inlineStr">
        <is>
          <t>Practice these 146 Java MCQs with detailed explanations and prepare yourself for fresher interviews in Java.</t>
        </is>
      </c>
      <c r="D128" s="2" t="inlineStr">
        <is>
          <t>Java basics (data types, variables, operators) - Java Basics</t>
        </is>
      </c>
      <c r="E128" s="2" t="n">
        <v>9</v>
      </c>
      <c r="F128" s="2" t="inlineStr">
        <is>
          <t>Character Data Type</t>
        </is>
      </c>
      <c r="G128" s="2" t="inlineStr">
        <is>
          <t>JAVAMCQ09</t>
        </is>
      </c>
      <c r="H128" s="2" t="inlineStr"/>
      <c r="I128" s="2" t="inlineStr">
        <is>
          <t>Easy</t>
        </is>
      </c>
      <c r="J128" s="3">
        <f>HYPERLINK("https://www.codechef.com/problems/JAVAMCQ09", "https://www.codechef.com/problems/JAVAMCQ09")</f>
        <v/>
      </c>
      <c r="K128" s="2" t="inlineStr"/>
      <c r="L128" s="2" t="inlineStr"/>
      <c r="M128" s="2" t="inlineStr"/>
      <c r="N128" s="2" t="inlineStr">
        <is>
          <t>No</t>
        </is>
      </c>
      <c r="O128" s="2" t="inlineStr">
        <is>
          <t>Unattempted</t>
        </is>
      </c>
    </row>
    <row r="129">
      <c r="A129" s="4" t="inlineStr">
        <is>
          <t>Interview Questions</t>
        </is>
      </c>
      <c r="B129" s="4" t="inlineStr">
        <is>
          <t>Java Interview Questions for Freshers</t>
        </is>
      </c>
      <c r="C129" s="4" t="inlineStr">
        <is>
          <t>Practice these 146 Java MCQs with detailed explanations and prepare yourself for fresher interviews in Java.</t>
        </is>
      </c>
      <c r="D129" s="4" t="inlineStr">
        <is>
          <t>Java basics (data types, variables, operators) - Java Basics</t>
        </is>
      </c>
      <c r="E129" s="4" t="n">
        <v>10</v>
      </c>
      <c r="F129" s="4" t="inlineStr">
        <is>
          <t>Compound Assignment Operators</t>
        </is>
      </c>
      <c r="G129" s="4" t="inlineStr">
        <is>
          <t>JAVAMCQ10</t>
        </is>
      </c>
      <c r="H129" s="4" t="inlineStr"/>
      <c r="I129" s="4" t="inlineStr">
        <is>
          <t>Easy</t>
        </is>
      </c>
      <c r="J129" s="5">
        <f>HYPERLINK("https://www.codechef.com/problems/JAVAMCQ10", "https://www.codechef.com/problems/JAVAMCQ10")</f>
        <v/>
      </c>
      <c r="K129" s="4" t="inlineStr"/>
      <c r="L129" s="4" t="inlineStr"/>
      <c r="M129" s="4" t="inlineStr"/>
      <c r="N129" s="4" t="inlineStr">
        <is>
          <t>No</t>
        </is>
      </c>
      <c r="O129" s="4" t="inlineStr">
        <is>
          <t>Unattempted</t>
        </is>
      </c>
    </row>
    <row r="130">
      <c r="A130" s="2" t="inlineStr">
        <is>
          <t>Interview Questions</t>
        </is>
      </c>
      <c r="B130" s="2" t="inlineStr">
        <is>
          <t>Java Interview Questions for Freshers</t>
        </is>
      </c>
      <c r="C130" s="2" t="inlineStr">
        <is>
          <t>Practice these 146 Java MCQs with detailed explanations and prepare yourself for fresher interviews in Java.</t>
        </is>
      </c>
      <c r="D130" s="2" t="inlineStr">
        <is>
          <t>Control flow statements - Control flow statements</t>
        </is>
      </c>
      <c r="E130" s="2" t="n">
        <v>11</v>
      </c>
      <c r="F130" s="2" t="inlineStr">
        <is>
          <t>Loop Selection</t>
        </is>
      </c>
      <c r="G130" s="2" t="inlineStr">
        <is>
          <t>JAVAMCQ11</t>
        </is>
      </c>
      <c r="H130" s="2" t="inlineStr"/>
      <c r="I130" s="2" t="inlineStr">
        <is>
          <t>Easy</t>
        </is>
      </c>
      <c r="J130" s="3">
        <f>HYPERLINK("https://www.codechef.com/problems/JAVAMCQ11", "https://www.codechef.com/problems/JAVAMCQ11")</f>
        <v/>
      </c>
      <c r="K130" s="2" t="inlineStr"/>
      <c r="L130" s="2" t="inlineStr"/>
      <c r="M130" s="2" t="inlineStr"/>
      <c r="N130" s="2" t="inlineStr">
        <is>
          <t>No</t>
        </is>
      </c>
      <c r="O130" s="2" t="inlineStr">
        <is>
          <t>Unattempted</t>
        </is>
      </c>
    </row>
    <row r="131">
      <c r="A131" s="4" t="inlineStr">
        <is>
          <t>Interview Questions</t>
        </is>
      </c>
      <c r="B131" s="4" t="inlineStr">
        <is>
          <t>Java Interview Questions for Freshers</t>
        </is>
      </c>
      <c r="C131" s="4" t="inlineStr">
        <is>
          <t>Practice these 146 Java MCQs with detailed explanations and prepare yourself for fresher interviews in Java.</t>
        </is>
      </c>
      <c r="D131" s="4" t="inlineStr">
        <is>
          <t>Control flow statements - Control flow statements</t>
        </is>
      </c>
      <c r="E131" s="4" t="n">
        <v>12</v>
      </c>
      <c r="F131" s="4" t="inlineStr">
        <is>
          <t>Switch Statement</t>
        </is>
      </c>
      <c r="G131" s="4" t="inlineStr">
        <is>
          <t>JAVAMCQ12</t>
        </is>
      </c>
      <c r="H131" s="4" t="inlineStr"/>
      <c r="I131" s="4" t="inlineStr">
        <is>
          <t>Easy</t>
        </is>
      </c>
      <c r="J131" s="5">
        <f>HYPERLINK("https://www.codechef.com/problems/JAVAMCQ12", "https://www.codechef.com/problems/JAVAMCQ12")</f>
        <v/>
      </c>
      <c r="K131" s="4" t="inlineStr"/>
      <c r="L131" s="4" t="inlineStr"/>
      <c r="M131" s="4" t="inlineStr"/>
      <c r="N131" s="4" t="inlineStr">
        <is>
          <t>No</t>
        </is>
      </c>
      <c r="O131" s="4" t="inlineStr">
        <is>
          <t>Unattempted</t>
        </is>
      </c>
    </row>
    <row r="132">
      <c r="A132" s="2" t="inlineStr">
        <is>
          <t>Interview Questions</t>
        </is>
      </c>
      <c r="B132" s="2" t="inlineStr">
        <is>
          <t>Java Interview Questions for Freshers</t>
        </is>
      </c>
      <c r="C132" s="2" t="inlineStr">
        <is>
          <t>Practice these 146 Java MCQs with detailed explanations and prepare yourself for fresher interviews in Java.</t>
        </is>
      </c>
      <c r="D132" s="2" t="inlineStr">
        <is>
          <t>Control flow statements - Control flow statements</t>
        </is>
      </c>
      <c r="E132" s="2" t="n">
        <v>13</v>
      </c>
      <c r="F132" s="2" t="inlineStr">
        <is>
          <t>Conditional Statement</t>
        </is>
      </c>
      <c r="G132" s="2" t="inlineStr">
        <is>
          <t>JAVAMCQ13</t>
        </is>
      </c>
      <c r="H132" s="2" t="inlineStr"/>
      <c r="I132" s="2" t="inlineStr">
        <is>
          <t>Easy</t>
        </is>
      </c>
      <c r="J132" s="3">
        <f>HYPERLINK("https://www.codechef.com/problems/JAVAMCQ13", "https://www.codechef.com/problems/JAVAMCQ13")</f>
        <v/>
      </c>
      <c r="K132" s="2" t="inlineStr"/>
      <c r="L132" s="2" t="inlineStr"/>
      <c r="M132" s="2" t="inlineStr"/>
      <c r="N132" s="2" t="inlineStr">
        <is>
          <t>No</t>
        </is>
      </c>
      <c r="O132" s="2" t="inlineStr">
        <is>
          <t>Unattempted</t>
        </is>
      </c>
    </row>
    <row r="133">
      <c r="A133" s="4" t="inlineStr">
        <is>
          <t>Interview Questions</t>
        </is>
      </c>
      <c r="B133" s="4" t="inlineStr">
        <is>
          <t>Java Interview Questions for Freshers</t>
        </is>
      </c>
      <c r="C133" s="4" t="inlineStr">
        <is>
          <t>Practice these 146 Java MCQs with detailed explanations and prepare yourself for fresher interviews in Java.</t>
        </is>
      </c>
      <c r="D133" s="4" t="inlineStr">
        <is>
          <t>Control flow statements - Control flow statements</t>
        </is>
      </c>
      <c r="E133" s="4" t="n">
        <v>14</v>
      </c>
      <c r="F133" s="4" t="inlineStr">
        <is>
          <t>Loop Continuation</t>
        </is>
      </c>
      <c r="G133" s="4" t="inlineStr">
        <is>
          <t>JAVAMCQ14</t>
        </is>
      </c>
      <c r="H133" s="4" t="inlineStr"/>
      <c r="I133" s="4" t="inlineStr">
        <is>
          <t>Easy</t>
        </is>
      </c>
      <c r="J133" s="5">
        <f>HYPERLINK("https://www.codechef.com/problems/JAVAMCQ14", "https://www.codechef.com/problems/JAVAMCQ14")</f>
        <v/>
      </c>
      <c r="K133" s="4" t="inlineStr"/>
      <c r="L133" s="4" t="inlineStr"/>
      <c r="M133" s="4" t="inlineStr"/>
      <c r="N133" s="4" t="inlineStr">
        <is>
          <t>No</t>
        </is>
      </c>
      <c r="O133" s="4" t="inlineStr">
        <is>
          <t>Unattempted</t>
        </is>
      </c>
    </row>
    <row r="134">
      <c r="A134" s="2" t="inlineStr">
        <is>
          <t>Interview Questions</t>
        </is>
      </c>
      <c r="B134" s="2" t="inlineStr">
        <is>
          <t>Java Interview Questions for Freshers</t>
        </is>
      </c>
      <c r="C134" s="2" t="inlineStr">
        <is>
          <t>Practice these 146 Java MCQs with detailed explanations and prepare yourself for fresher interviews in Java.</t>
        </is>
      </c>
      <c r="D134" s="2" t="inlineStr">
        <is>
          <t>Control flow statements - Control flow statements</t>
        </is>
      </c>
      <c r="E134" s="2" t="n">
        <v>15</v>
      </c>
      <c r="F134" s="2" t="inlineStr">
        <is>
          <t>Enhanced For Loop</t>
        </is>
      </c>
      <c r="G134" s="2" t="inlineStr">
        <is>
          <t>JAVAMCQ15</t>
        </is>
      </c>
      <c r="H134" s="2" t="inlineStr"/>
      <c r="I134" s="2" t="inlineStr">
        <is>
          <t>Easy</t>
        </is>
      </c>
      <c r="J134" s="3">
        <f>HYPERLINK("https://www.codechef.com/problems/JAVAMCQ15", "https://www.codechef.com/problems/JAVAMCQ15")</f>
        <v/>
      </c>
      <c r="K134" s="2" t="inlineStr"/>
      <c r="L134" s="2" t="inlineStr"/>
      <c r="M134" s="2" t="inlineStr"/>
      <c r="N134" s="2" t="inlineStr">
        <is>
          <t>No</t>
        </is>
      </c>
      <c r="O134" s="2" t="inlineStr">
        <is>
          <t>Unattempted</t>
        </is>
      </c>
    </row>
    <row r="135">
      <c r="A135" s="4" t="inlineStr">
        <is>
          <t>Interview Questions</t>
        </is>
      </c>
      <c r="B135" s="4" t="inlineStr">
        <is>
          <t>Java Interview Questions for Freshers</t>
        </is>
      </c>
      <c r="C135" s="4" t="inlineStr">
        <is>
          <t>Practice these 146 Java MCQs with detailed explanations and prepare yourself for fresher interviews in Java.</t>
        </is>
      </c>
      <c r="D135" s="4" t="inlineStr">
        <is>
          <t>Control flow statements - Control flow statements</t>
        </is>
      </c>
      <c r="E135" s="4" t="n">
        <v>16</v>
      </c>
      <c r="F135" s="4" t="inlineStr">
        <is>
          <t>Do-While Loop</t>
        </is>
      </c>
      <c r="G135" s="4" t="inlineStr">
        <is>
          <t>JAVAMCQ16</t>
        </is>
      </c>
      <c r="H135" s="4" t="inlineStr"/>
      <c r="I135" s="4" t="inlineStr">
        <is>
          <t>Easy</t>
        </is>
      </c>
      <c r="J135" s="5">
        <f>HYPERLINK("https://www.codechef.com/problems/JAVAMCQ16", "https://www.codechef.com/problems/JAVAMCQ16")</f>
        <v/>
      </c>
      <c r="K135" s="4" t="inlineStr"/>
      <c r="L135" s="4" t="inlineStr"/>
      <c r="M135" s="4" t="inlineStr"/>
      <c r="N135" s="4" t="inlineStr">
        <is>
          <t>No</t>
        </is>
      </c>
      <c r="O135" s="4" t="inlineStr">
        <is>
          <t>Unattempted</t>
        </is>
      </c>
    </row>
    <row r="136">
      <c r="A136" s="2" t="inlineStr">
        <is>
          <t>Interview Questions</t>
        </is>
      </c>
      <c r="B136" s="2" t="inlineStr">
        <is>
          <t>Java Interview Questions for Freshers</t>
        </is>
      </c>
      <c r="C136" s="2" t="inlineStr">
        <is>
          <t>Practice these 146 Java MCQs with detailed explanations and prepare yourself for fresher interviews in Java.</t>
        </is>
      </c>
      <c r="D136" s="2" t="inlineStr">
        <is>
          <t>Control flow statements - Control flow statements</t>
        </is>
      </c>
      <c r="E136" s="2" t="n">
        <v>17</v>
      </c>
      <c r="F136" s="2" t="inlineStr">
        <is>
          <t>Switch Expression</t>
        </is>
      </c>
      <c r="G136" s="2" t="inlineStr">
        <is>
          <t>JAVAMCQ17</t>
        </is>
      </c>
      <c r="H136" s="2" t="inlineStr"/>
      <c r="I136" s="2" t="inlineStr">
        <is>
          <t>Easy</t>
        </is>
      </c>
      <c r="J136" s="3">
        <f>HYPERLINK("https://www.codechef.com/problems/JAVAMCQ17", "https://www.codechef.com/problems/JAVAMCQ17")</f>
        <v/>
      </c>
      <c r="K136" s="2" t="inlineStr"/>
      <c r="L136" s="2" t="inlineStr"/>
      <c r="M136" s="2" t="inlineStr"/>
      <c r="N136" s="2" t="inlineStr">
        <is>
          <t>No</t>
        </is>
      </c>
      <c r="O136" s="2" t="inlineStr">
        <is>
          <t>Unattempted</t>
        </is>
      </c>
    </row>
    <row r="137">
      <c r="A137" s="4" t="inlineStr">
        <is>
          <t>Interview Questions</t>
        </is>
      </c>
      <c r="B137" s="4" t="inlineStr">
        <is>
          <t>Java Interview Questions for Freshers</t>
        </is>
      </c>
      <c r="C137" s="4" t="inlineStr">
        <is>
          <t>Practice these 146 Java MCQs with detailed explanations and prepare yourself for fresher interviews in Java.</t>
        </is>
      </c>
      <c r="D137" s="4" t="inlineStr">
        <is>
          <t>Control flow statements - Control flow statements</t>
        </is>
      </c>
      <c r="E137" s="4" t="n">
        <v>18</v>
      </c>
      <c r="F137" s="4" t="inlineStr">
        <is>
          <t>Loop Termination</t>
        </is>
      </c>
      <c r="G137" s="4" t="inlineStr">
        <is>
          <t>JAVAMCQ18</t>
        </is>
      </c>
      <c r="H137" s="4" t="inlineStr"/>
      <c r="I137" s="4" t="inlineStr">
        <is>
          <t>Easy</t>
        </is>
      </c>
      <c r="J137" s="5">
        <f>HYPERLINK("https://www.codechef.com/problems/JAVAMCQ18", "https://www.codechef.com/problems/JAVAMCQ18")</f>
        <v/>
      </c>
      <c r="K137" s="4" t="inlineStr"/>
      <c r="L137" s="4" t="inlineStr"/>
      <c r="M137" s="4" t="inlineStr"/>
      <c r="N137" s="4" t="inlineStr">
        <is>
          <t>No</t>
        </is>
      </c>
      <c r="O137" s="4" t="inlineStr">
        <is>
          <t>Unattempted</t>
        </is>
      </c>
    </row>
    <row r="138">
      <c r="A138" s="2" t="inlineStr">
        <is>
          <t>Interview Questions</t>
        </is>
      </c>
      <c r="B138" s="2" t="inlineStr">
        <is>
          <t>Java Interview Questions for Freshers</t>
        </is>
      </c>
      <c r="C138" s="2" t="inlineStr">
        <is>
          <t>Practice these 146 Java MCQs with detailed explanations and prepare yourself for fresher interviews in Java.</t>
        </is>
      </c>
      <c r="D138" s="2" t="inlineStr">
        <is>
          <t>Control flow statements - Control flow statements</t>
        </is>
      </c>
      <c r="E138" s="2" t="n">
        <v>19</v>
      </c>
      <c r="F138" s="2" t="inlineStr">
        <is>
          <t>Nested Control Statements</t>
        </is>
      </c>
      <c r="G138" s="2" t="inlineStr">
        <is>
          <t>JAVAMCQ19</t>
        </is>
      </c>
      <c r="H138" s="2" t="inlineStr"/>
      <c r="I138" s="2" t="inlineStr">
        <is>
          <t>Easy</t>
        </is>
      </c>
      <c r="J138" s="3">
        <f>HYPERLINK("https://www.codechef.com/problems/JAVAMCQ19", "https://www.codechef.com/problems/JAVAMCQ19")</f>
        <v/>
      </c>
      <c r="K138" s="2" t="inlineStr"/>
      <c r="L138" s="2" t="inlineStr"/>
      <c r="M138" s="2" t="inlineStr"/>
      <c r="N138" s="2" t="inlineStr">
        <is>
          <t>No</t>
        </is>
      </c>
      <c r="O138" s="2" t="inlineStr">
        <is>
          <t>Unattempted</t>
        </is>
      </c>
    </row>
    <row r="139">
      <c r="A139" s="4" t="inlineStr">
        <is>
          <t>Interview Questions</t>
        </is>
      </c>
      <c r="B139" s="4" t="inlineStr">
        <is>
          <t>Java Interview Questions for Freshers</t>
        </is>
      </c>
      <c r="C139" s="4" t="inlineStr">
        <is>
          <t>Practice these 146 Java MCQs with detailed explanations and prepare yourself for fresher interviews in Java.</t>
        </is>
      </c>
      <c r="D139" s="4" t="inlineStr">
        <is>
          <t>Control flow statements - Control flow statements</t>
        </is>
      </c>
      <c r="E139" s="4" t="n">
        <v>20</v>
      </c>
      <c r="F139" s="4" t="inlineStr">
        <is>
          <t>Ternary Operator</t>
        </is>
      </c>
      <c r="G139" s="4" t="inlineStr">
        <is>
          <t>JAVAMCQ20</t>
        </is>
      </c>
      <c r="H139" s="4" t="inlineStr"/>
      <c r="I139" s="4" t="inlineStr">
        <is>
          <t>Easy</t>
        </is>
      </c>
      <c r="J139" s="5">
        <f>HYPERLINK("https://www.codechef.com/problems/JAVAMCQ20", "https://www.codechef.com/problems/JAVAMCQ20")</f>
        <v/>
      </c>
      <c r="K139" s="4" t="inlineStr"/>
      <c r="L139" s="4" t="inlineStr"/>
      <c r="M139" s="4" t="inlineStr"/>
      <c r="N139" s="4" t="inlineStr">
        <is>
          <t>No</t>
        </is>
      </c>
      <c r="O139" s="4" t="inlineStr">
        <is>
          <t>Unattempted</t>
        </is>
      </c>
    </row>
    <row r="140">
      <c r="A140" s="2" t="inlineStr">
        <is>
          <t>Interview Questions</t>
        </is>
      </c>
      <c r="B140" s="2" t="inlineStr">
        <is>
          <t>Java Interview Questions for Freshers</t>
        </is>
      </c>
      <c r="C140" s="2" t="inlineStr">
        <is>
          <t>Practice these 146 Java MCQs with detailed explanations and prepare yourself for fresher interviews in Java.</t>
        </is>
      </c>
      <c r="D140" s="2" t="inlineStr">
        <is>
          <t>Arrays and collections - Array and Collections</t>
        </is>
      </c>
      <c r="E140" s="2" t="n">
        <v>21</v>
      </c>
      <c r="F140" s="2" t="inlineStr">
        <is>
          <t>Array Declaration</t>
        </is>
      </c>
      <c r="G140" s="2" t="inlineStr">
        <is>
          <t>JAVAMCQ21</t>
        </is>
      </c>
      <c r="H140" s="2" t="inlineStr"/>
      <c r="I140" s="2" t="inlineStr">
        <is>
          <t>Easy</t>
        </is>
      </c>
      <c r="J140" s="3">
        <f>HYPERLINK("https://www.codechef.com/problems/JAVAMCQ21", "https://www.codechef.com/problems/JAVAMCQ21")</f>
        <v/>
      </c>
      <c r="K140" s="2" t="inlineStr"/>
      <c r="L140" s="2" t="inlineStr"/>
      <c r="M140" s="2" t="inlineStr"/>
      <c r="N140" s="2" t="inlineStr">
        <is>
          <t>No</t>
        </is>
      </c>
      <c r="O140" s="2" t="inlineStr">
        <is>
          <t>Unattempted</t>
        </is>
      </c>
    </row>
    <row r="141">
      <c r="A141" s="4" t="inlineStr">
        <is>
          <t>Interview Questions</t>
        </is>
      </c>
      <c r="B141" s="4" t="inlineStr">
        <is>
          <t>Java Interview Questions for Freshers</t>
        </is>
      </c>
      <c r="C141" s="4" t="inlineStr">
        <is>
          <t>Practice these 146 Java MCQs with detailed explanations and prepare yourself for fresher interviews in Java.</t>
        </is>
      </c>
      <c r="D141" s="4" t="inlineStr">
        <is>
          <t>Arrays and collections - Array and Collections</t>
        </is>
      </c>
      <c r="E141" s="4" t="n">
        <v>22</v>
      </c>
      <c r="F141" s="4" t="inlineStr">
        <is>
          <t>ArrayList vs LinkedList</t>
        </is>
      </c>
      <c r="G141" s="4" t="inlineStr">
        <is>
          <t>JAVAMCQ22</t>
        </is>
      </c>
      <c r="H141" s="4" t="inlineStr"/>
      <c r="I141" s="4" t="inlineStr">
        <is>
          <t>Easy</t>
        </is>
      </c>
      <c r="J141" s="5">
        <f>HYPERLINK("https://www.codechef.com/problems/JAVAMCQ22", "https://www.codechef.com/problems/JAVAMCQ22")</f>
        <v/>
      </c>
      <c r="K141" s="4" t="inlineStr"/>
      <c r="L141" s="4" t="inlineStr"/>
      <c r="M141" s="4" t="inlineStr"/>
      <c r="N141" s="4" t="inlineStr">
        <is>
          <t>No</t>
        </is>
      </c>
      <c r="O141" s="4" t="inlineStr">
        <is>
          <t>Unattempted</t>
        </is>
      </c>
    </row>
    <row r="142">
      <c r="A142" s="2" t="inlineStr">
        <is>
          <t>Interview Questions</t>
        </is>
      </c>
      <c r="B142" s="2" t="inlineStr">
        <is>
          <t>Java Interview Questions for Freshers</t>
        </is>
      </c>
      <c r="C142" s="2" t="inlineStr">
        <is>
          <t>Practice these 146 Java MCQs with detailed explanations and prepare yourself for fresher interviews in Java.</t>
        </is>
      </c>
      <c r="D142" s="2" t="inlineStr">
        <is>
          <t>Arrays and collections - Array and Collections</t>
        </is>
      </c>
      <c r="E142" s="2" t="n">
        <v>23</v>
      </c>
      <c r="F142" s="2" t="inlineStr">
        <is>
          <t>HashSet Characteristics</t>
        </is>
      </c>
      <c r="G142" s="2" t="inlineStr">
        <is>
          <t>JAVAMCQ23</t>
        </is>
      </c>
      <c r="H142" s="2" t="inlineStr"/>
      <c r="I142" s="2" t="inlineStr">
        <is>
          <t>Easy</t>
        </is>
      </c>
      <c r="J142" s="3">
        <f>HYPERLINK("https://www.codechef.com/problems/JAVAMCQ23", "https://www.codechef.com/problems/JAVAMCQ23")</f>
        <v/>
      </c>
      <c r="K142" s="2" t="inlineStr"/>
      <c r="L142" s="2" t="inlineStr"/>
      <c r="M142" s="2" t="inlineStr"/>
      <c r="N142" s="2" t="inlineStr">
        <is>
          <t>No</t>
        </is>
      </c>
      <c r="O142" s="2" t="inlineStr">
        <is>
          <t>Unattempted</t>
        </is>
      </c>
    </row>
    <row r="143">
      <c r="A143" s="4" t="inlineStr">
        <is>
          <t>Interview Questions</t>
        </is>
      </c>
      <c r="B143" s="4" t="inlineStr">
        <is>
          <t>Java Interview Questions for Freshers</t>
        </is>
      </c>
      <c r="C143" s="4" t="inlineStr">
        <is>
          <t>Practice these 146 Java MCQs with detailed explanations and prepare yourself for fresher interviews in Java.</t>
        </is>
      </c>
      <c r="D143" s="4" t="inlineStr">
        <is>
          <t>Arrays and collections - Array and Collections</t>
        </is>
      </c>
      <c r="E143" s="4" t="n">
        <v>24</v>
      </c>
      <c r="F143" s="4" t="inlineStr">
        <is>
          <t>TreeMap Ordering</t>
        </is>
      </c>
      <c r="G143" s="4" t="inlineStr">
        <is>
          <t>JAVAMCQ24</t>
        </is>
      </c>
      <c r="H143" s="4" t="inlineStr"/>
      <c r="I143" s="4" t="inlineStr">
        <is>
          <t>Easy</t>
        </is>
      </c>
      <c r="J143" s="5">
        <f>HYPERLINK("https://www.codechef.com/problems/JAVAMCQ24", "https://www.codechef.com/problems/JAVAMCQ24")</f>
        <v/>
      </c>
      <c r="K143" s="4" t="inlineStr"/>
      <c r="L143" s="4" t="inlineStr"/>
      <c r="M143" s="4" t="inlineStr"/>
      <c r="N143" s="4" t="inlineStr">
        <is>
          <t>No</t>
        </is>
      </c>
      <c r="O143" s="4" t="inlineStr">
        <is>
          <t>Unattempted</t>
        </is>
      </c>
    </row>
    <row r="144">
      <c r="A144" s="2" t="inlineStr">
        <is>
          <t>Interview Questions</t>
        </is>
      </c>
      <c r="B144" s="2" t="inlineStr">
        <is>
          <t>Java Interview Questions for Freshers</t>
        </is>
      </c>
      <c r="C144" s="2" t="inlineStr">
        <is>
          <t>Practice these 146 Java MCQs with detailed explanations and prepare yourself for fresher interviews in Java.</t>
        </is>
      </c>
      <c r="D144" s="2" t="inlineStr">
        <is>
          <t>Arrays and collections - Array and Collections</t>
        </is>
      </c>
      <c r="E144" s="2" t="n">
        <v>25</v>
      </c>
      <c r="F144" s="2" t="inlineStr">
        <is>
          <t>Collection Interface</t>
        </is>
      </c>
      <c r="G144" s="2" t="inlineStr">
        <is>
          <t>JAVAMCQ25</t>
        </is>
      </c>
      <c r="H144" s="2" t="inlineStr"/>
      <c r="I144" s="2" t="inlineStr">
        <is>
          <t>Easy</t>
        </is>
      </c>
      <c r="J144" s="3">
        <f>HYPERLINK("https://www.codechef.com/problems/JAVAMCQ25", "https://www.codechef.com/problems/JAVAMCQ25")</f>
        <v/>
      </c>
      <c r="K144" s="2" t="inlineStr"/>
      <c r="L144" s="2" t="inlineStr"/>
      <c r="M144" s="2" t="inlineStr"/>
      <c r="N144" s="2" t="inlineStr">
        <is>
          <t>No</t>
        </is>
      </c>
      <c r="O144" s="2" t="inlineStr">
        <is>
          <t>Unattempted</t>
        </is>
      </c>
    </row>
    <row r="145">
      <c r="A145" s="4" t="inlineStr">
        <is>
          <t>Interview Questions</t>
        </is>
      </c>
      <c r="B145" s="4" t="inlineStr">
        <is>
          <t>Java Interview Questions for Freshers</t>
        </is>
      </c>
      <c r="C145" s="4" t="inlineStr">
        <is>
          <t>Practice these 146 Java MCQs with detailed explanations and prepare yourself for fresher interviews in Java.</t>
        </is>
      </c>
      <c r="D145" s="4" t="inlineStr">
        <is>
          <t>Arrays and collections - Array and Collections</t>
        </is>
      </c>
      <c r="E145" s="4" t="n">
        <v>26</v>
      </c>
      <c r="F145" s="4" t="inlineStr">
        <is>
          <t>Array Initialization</t>
        </is>
      </c>
      <c r="G145" s="4" t="inlineStr">
        <is>
          <t>JAVAMCQ26</t>
        </is>
      </c>
      <c r="H145" s="4" t="inlineStr"/>
      <c r="I145" s="4" t="inlineStr">
        <is>
          <t>Easy</t>
        </is>
      </c>
      <c r="J145" s="5">
        <f>HYPERLINK("https://www.codechef.com/problems/JAVAMCQ26", "https://www.codechef.com/problems/JAVAMCQ26")</f>
        <v/>
      </c>
      <c r="K145" s="4" t="inlineStr"/>
      <c r="L145" s="4" t="inlineStr"/>
      <c r="M145" s="4" t="inlineStr"/>
      <c r="N145" s="4" t="inlineStr">
        <is>
          <t>No</t>
        </is>
      </c>
      <c r="O145" s="4" t="inlineStr">
        <is>
          <t>Unattempted</t>
        </is>
      </c>
    </row>
    <row r="146">
      <c r="A146" s="2" t="inlineStr">
        <is>
          <t>Interview Questions</t>
        </is>
      </c>
      <c r="B146" s="2" t="inlineStr">
        <is>
          <t>Java Interview Questions for Freshers</t>
        </is>
      </c>
      <c r="C146" s="2" t="inlineStr">
        <is>
          <t>Practice these 146 Java MCQs with detailed explanations and prepare yourself for fresher interviews in Java.</t>
        </is>
      </c>
      <c r="D146" s="2" t="inlineStr">
        <is>
          <t>Arrays and collections - Array and Collections</t>
        </is>
      </c>
      <c r="E146" s="2" t="n">
        <v>27</v>
      </c>
      <c r="F146" s="2" t="inlineStr">
        <is>
          <t>Vector vs ArrayList</t>
        </is>
      </c>
      <c r="G146" s="2" t="inlineStr">
        <is>
          <t>JAVAMCQ27</t>
        </is>
      </c>
      <c r="H146" s="2" t="inlineStr"/>
      <c r="I146" s="2" t="inlineStr">
        <is>
          <t>Easy</t>
        </is>
      </c>
      <c r="J146" s="3">
        <f>HYPERLINK("https://www.codechef.com/problems/JAVAMCQ27", "https://www.codechef.com/problems/JAVAMCQ27")</f>
        <v/>
      </c>
      <c r="K146" s="2" t="inlineStr"/>
      <c r="L146" s="2" t="inlineStr"/>
      <c r="M146" s="2" t="inlineStr"/>
      <c r="N146" s="2" t="inlineStr">
        <is>
          <t>No</t>
        </is>
      </c>
      <c r="O146" s="2" t="inlineStr">
        <is>
          <t>Unattempted</t>
        </is>
      </c>
    </row>
    <row r="147">
      <c r="A147" s="4" t="inlineStr">
        <is>
          <t>Interview Questions</t>
        </is>
      </c>
      <c r="B147" s="4" t="inlineStr">
        <is>
          <t>Java Interview Questions for Freshers</t>
        </is>
      </c>
      <c r="C147" s="4" t="inlineStr">
        <is>
          <t>Practice these 146 Java MCQs with detailed explanations and prepare yourself for fresher interviews in Java.</t>
        </is>
      </c>
      <c r="D147" s="4" t="inlineStr">
        <is>
          <t>Arrays and collections - Array and Collections</t>
        </is>
      </c>
      <c r="E147" s="4" t="n">
        <v>28</v>
      </c>
      <c r="F147" s="4" t="inlineStr">
        <is>
          <t>HashMap vs Hashtable</t>
        </is>
      </c>
      <c r="G147" s="4" t="inlineStr">
        <is>
          <t>JAVAMCQ28</t>
        </is>
      </c>
      <c r="H147" s="4" t="inlineStr"/>
      <c r="I147" s="4" t="inlineStr">
        <is>
          <t>Easy</t>
        </is>
      </c>
      <c r="J147" s="5">
        <f>HYPERLINK("https://www.codechef.com/problems/JAVAMCQ28", "https://www.codechef.com/problems/JAVAMCQ28")</f>
        <v/>
      </c>
      <c r="K147" s="4" t="inlineStr"/>
      <c r="L147" s="4" t="inlineStr"/>
      <c r="M147" s="4" t="inlineStr"/>
      <c r="N147" s="4" t="inlineStr">
        <is>
          <t>No</t>
        </is>
      </c>
      <c r="O147" s="4" t="inlineStr">
        <is>
          <t>Unattempted</t>
        </is>
      </c>
    </row>
    <row r="148">
      <c r="A148" s="2" t="inlineStr">
        <is>
          <t>Interview Questions</t>
        </is>
      </c>
      <c r="B148" s="2" t="inlineStr">
        <is>
          <t>Java Interview Questions for Freshers</t>
        </is>
      </c>
      <c r="C148" s="2" t="inlineStr">
        <is>
          <t>Practice these 146 Java MCQs with detailed explanations and prepare yourself for fresher interviews in Java.</t>
        </is>
      </c>
      <c r="D148" s="2" t="inlineStr">
        <is>
          <t>Arrays and collections - Array and Collections</t>
        </is>
      </c>
      <c r="E148" s="2" t="n">
        <v>29</v>
      </c>
      <c r="F148" s="2" t="inlineStr">
        <is>
          <t>Array Bounds</t>
        </is>
      </c>
      <c r="G148" s="2" t="inlineStr">
        <is>
          <t>JAVAMCQ29</t>
        </is>
      </c>
      <c r="H148" s="2" t="inlineStr"/>
      <c r="I148" s="2" t="inlineStr">
        <is>
          <t>Easy</t>
        </is>
      </c>
      <c r="J148" s="3">
        <f>HYPERLINK("https://www.codechef.com/problems/JAVAMCQ29", "https://www.codechef.com/problems/JAVAMCQ29")</f>
        <v/>
      </c>
      <c r="K148" s="2" t="inlineStr"/>
      <c r="L148" s="2" t="inlineStr"/>
      <c r="M148" s="2" t="inlineStr"/>
      <c r="N148" s="2" t="inlineStr">
        <is>
          <t>No</t>
        </is>
      </c>
      <c r="O148" s="2" t="inlineStr">
        <is>
          <t>Unattempted</t>
        </is>
      </c>
    </row>
    <row r="149">
      <c r="A149" s="4" t="inlineStr">
        <is>
          <t>Interview Questions</t>
        </is>
      </c>
      <c r="B149" s="4" t="inlineStr">
        <is>
          <t>Java Interview Questions for Freshers</t>
        </is>
      </c>
      <c r="C149" s="4" t="inlineStr">
        <is>
          <t>Practice these 146 Java MCQs with detailed explanations and prepare yourself for fresher interviews in Java.</t>
        </is>
      </c>
      <c r="D149" s="4" t="inlineStr">
        <is>
          <t>Arrays and collections - Array and Collections</t>
        </is>
      </c>
      <c r="E149" s="4" t="n">
        <v>30</v>
      </c>
      <c r="F149" s="4" t="inlineStr">
        <is>
          <t>List to Array Conversion</t>
        </is>
      </c>
      <c r="G149" s="4" t="inlineStr">
        <is>
          <t>JAVAMCQ30</t>
        </is>
      </c>
      <c r="H149" s="4" t="inlineStr"/>
      <c r="I149" s="4" t="inlineStr">
        <is>
          <t>Easy</t>
        </is>
      </c>
      <c r="J149" s="5">
        <f>HYPERLINK("https://www.codechef.com/problems/JAVAMCQ30", "https://www.codechef.com/problems/JAVAMCQ30")</f>
        <v/>
      </c>
      <c r="K149" s="4" t="inlineStr"/>
      <c r="L149" s="4" t="inlineStr"/>
      <c r="M149" s="4" t="inlineStr"/>
      <c r="N149" s="4" t="inlineStr">
        <is>
          <t>No</t>
        </is>
      </c>
      <c r="O149" s="4" t="inlineStr">
        <is>
          <t>Unattempted</t>
        </is>
      </c>
    </row>
    <row r="150">
      <c r="A150" s="2" t="inlineStr">
        <is>
          <t>Interview Questions</t>
        </is>
      </c>
      <c r="B150" s="2" t="inlineStr">
        <is>
          <t>Java Interview Questions for Freshers</t>
        </is>
      </c>
      <c r="C150" s="2" t="inlineStr">
        <is>
          <t>Practice these 146 Java MCQs with detailed explanations and prepare yourself for fresher interviews in Java.</t>
        </is>
      </c>
      <c r="D150" s="2" t="inlineStr">
        <is>
          <t>String manipulation and String pool - String manipulation and String pool</t>
        </is>
      </c>
      <c r="E150" s="2" t="n">
        <v>31</v>
      </c>
      <c r="F150" s="2" t="inlineStr">
        <is>
          <t>String Immutability</t>
        </is>
      </c>
      <c r="G150" s="2" t="inlineStr">
        <is>
          <t>JAVAMCQ31</t>
        </is>
      </c>
      <c r="H150" s="2" t="inlineStr"/>
      <c r="I150" s="2" t="inlineStr">
        <is>
          <t>Easy</t>
        </is>
      </c>
      <c r="J150" s="3">
        <f>HYPERLINK("https://www.codechef.com/problems/JAVAMCQ31", "https://www.codechef.com/problems/JAVAMCQ31")</f>
        <v/>
      </c>
      <c r="K150" s="2" t="inlineStr"/>
      <c r="L150" s="2" t="inlineStr"/>
      <c r="M150" s="2" t="inlineStr"/>
      <c r="N150" s="2" t="inlineStr">
        <is>
          <t>No</t>
        </is>
      </c>
      <c r="O150" s="2" t="inlineStr">
        <is>
          <t>Unattempted</t>
        </is>
      </c>
    </row>
    <row r="151">
      <c r="A151" s="4" t="inlineStr">
        <is>
          <t>Interview Questions</t>
        </is>
      </c>
      <c r="B151" s="4" t="inlineStr">
        <is>
          <t>Java Interview Questions for Freshers</t>
        </is>
      </c>
      <c r="C151" s="4" t="inlineStr">
        <is>
          <t>Practice these 146 Java MCQs with detailed explanations and prepare yourself for fresher interviews in Java.</t>
        </is>
      </c>
      <c r="D151" s="4" t="inlineStr">
        <is>
          <t>String manipulation and String pool - String manipulation and String pool</t>
        </is>
      </c>
      <c r="E151" s="4" t="n">
        <v>32</v>
      </c>
      <c r="F151" s="4" t="inlineStr">
        <is>
          <t>String Pool Concept</t>
        </is>
      </c>
      <c r="G151" s="4" t="inlineStr">
        <is>
          <t>JAVAMCQ32</t>
        </is>
      </c>
      <c r="H151" s="4" t="inlineStr"/>
      <c r="I151" s="4" t="inlineStr">
        <is>
          <t>Easy</t>
        </is>
      </c>
      <c r="J151" s="5">
        <f>HYPERLINK("https://www.codechef.com/problems/JAVAMCQ32", "https://www.codechef.com/problems/JAVAMCQ32")</f>
        <v/>
      </c>
      <c r="K151" s="4" t="inlineStr"/>
      <c r="L151" s="4" t="inlineStr"/>
      <c r="M151" s="4" t="inlineStr"/>
      <c r="N151" s="4" t="inlineStr">
        <is>
          <t>No</t>
        </is>
      </c>
      <c r="O151" s="4" t="inlineStr">
        <is>
          <t>Unattempted</t>
        </is>
      </c>
    </row>
    <row r="152">
      <c r="A152" s="2" t="inlineStr">
        <is>
          <t>Interview Questions</t>
        </is>
      </c>
      <c r="B152" s="2" t="inlineStr">
        <is>
          <t>Java Interview Questions for Freshers</t>
        </is>
      </c>
      <c r="C152" s="2" t="inlineStr">
        <is>
          <t>Practice these 146 Java MCQs with detailed explanations and prepare yourself for fresher interviews in Java.</t>
        </is>
      </c>
      <c r="D152" s="2" t="inlineStr">
        <is>
          <t>String manipulation and String pool - String manipulation and String pool</t>
        </is>
      </c>
      <c r="E152" s="2" t="n">
        <v>33</v>
      </c>
      <c r="F152" s="2" t="inlineStr">
        <is>
          <t>String Creation</t>
        </is>
      </c>
      <c r="G152" s="2" t="inlineStr">
        <is>
          <t>JAVAMCQ33</t>
        </is>
      </c>
      <c r="H152" s="2" t="inlineStr"/>
      <c r="I152" s="2" t="inlineStr">
        <is>
          <t>Easy</t>
        </is>
      </c>
      <c r="J152" s="3">
        <f>HYPERLINK("https://www.codechef.com/problems/JAVAMCQ33", "https://www.codechef.com/problems/JAVAMCQ33")</f>
        <v/>
      </c>
      <c r="K152" s="2" t="inlineStr"/>
      <c r="L152" s="2" t="inlineStr"/>
      <c r="M152" s="2" t="inlineStr"/>
      <c r="N152" s="2" t="inlineStr">
        <is>
          <t>No</t>
        </is>
      </c>
      <c r="O152" s="2" t="inlineStr">
        <is>
          <t>Unattempted</t>
        </is>
      </c>
    </row>
    <row r="153">
      <c r="A153" s="4" t="inlineStr">
        <is>
          <t>Interview Questions</t>
        </is>
      </c>
      <c r="B153" s="4" t="inlineStr">
        <is>
          <t>Java Interview Questions for Freshers</t>
        </is>
      </c>
      <c r="C153" s="4" t="inlineStr">
        <is>
          <t>Practice these 146 Java MCQs with detailed explanations and prepare yourself for fresher interviews in Java.</t>
        </is>
      </c>
      <c r="D153" s="4" t="inlineStr">
        <is>
          <t>String manipulation and String pool - String manipulation and String pool</t>
        </is>
      </c>
      <c r="E153" s="4" t="n">
        <v>34</v>
      </c>
      <c r="F153" s="4" t="inlineStr">
        <is>
          <t>String Interning</t>
        </is>
      </c>
      <c r="G153" s="4" t="inlineStr">
        <is>
          <t>JAVAMCQ34</t>
        </is>
      </c>
      <c r="H153" s="4" t="inlineStr"/>
      <c r="I153" s="4" t="inlineStr">
        <is>
          <t>Medium</t>
        </is>
      </c>
      <c r="J153" s="5">
        <f>HYPERLINK("https://www.codechef.com/problems/JAVAMCQ34", "https://www.codechef.com/problems/JAVAMCQ34")</f>
        <v/>
      </c>
      <c r="K153" s="4" t="inlineStr"/>
      <c r="L153" s="4" t="inlineStr"/>
      <c r="M153" s="4" t="inlineStr"/>
      <c r="N153" s="4" t="inlineStr">
        <is>
          <t>No</t>
        </is>
      </c>
      <c r="O153" s="4" t="inlineStr">
        <is>
          <t>Unattempted</t>
        </is>
      </c>
    </row>
    <row r="154">
      <c r="A154" s="2" t="inlineStr">
        <is>
          <t>Interview Questions</t>
        </is>
      </c>
      <c r="B154" s="2" t="inlineStr">
        <is>
          <t>Java Interview Questions for Freshers</t>
        </is>
      </c>
      <c r="C154" s="2" t="inlineStr">
        <is>
          <t>Practice these 146 Java MCQs with detailed explanations and prepare yourself for fresher interviews in Java.</t>
        </is>
      </c>
      <c r="D154" s="2" t="inlineStr">
        <is>
          <t>String manipulation and String pool - String manipulation and String pool</t>
        </is>
      </c>
      <c r="E154" s="2" t="n">
        <v>35</v>
      </c>
      <c r="F154" s="2" t="inlineStr">
        <is>
          <t>String Comparison</t>
        </is>
      </c>
      <c r="G154" s="2" t="inlineStr">
        <is>
          <t>JAVAMCQ35</t>
        </is>
      </c>
      <c r="H154" s="2" t="inlineStr"/>
      <c r="I154" s="2" t="inlineStr">
        <is>
          <t>Easy</t>
        </is>
      </c>
      <c r="J154" s="3">
        <f>HYPERLINK("https://www.codechef.com/problems/JAVAMCQ35", "https://www.codechef.com/problems/JAVAMCQ35")</f>
        <v/>
      </c>
      <c r="K154" s="2" t="inlineStr"/>
      <c r="L154" s="2" t="inlineStr"/>
      <c r="M154" s="2" t="inlineStr"/>
      <c r="N154" s="2" t="inlineStr">
        <is>
          <t>No</t>
        </is>
      </c>
      <c r="O154" s="2" t="inlineStr">
        <is>
          <t>Unattempted</t>
        </is>
      </c>
    </row>
    <row r="155">
      <c r="A155" s="4" t="inlineStr">
        <is>
          <t>Interview Questions</t>
        </is>
      </c>
      <c r="B155" s="4" t="inlineStr">
        <is>
          <t>Java Interview Questions for Freshers</t>
        </is>
      </c>
      <c r="C155" s="4" t="inlineStr">
        <is>
          <t>Practice these 146 Java MCQs with detailed explanations and prepare yourself for fresher interviews in Java.</t>
        </is>
      </c>
      <c r="D155" s="4" t="inlineStr">
        <is>
          <t>String manipulation and String pool - String manipulation and String pool</t>
        </is>
      </c>
      <c r="E155" s="4" t="n">
        <v>36</v>
      </c>
      <c r="F155" s="4" t="inlineStr">
        <is>
          <t>String Concatenation</t>
        </is>
      </c>
      <c r="G155" s="4" t="inlineStr">
        <is>
          <t>JAVAMCQ36</t>
        </is>
      </c>
      <c r="H155" s="4" t="inlineStr"/>
      <c r="I155" s="4" t="inlineStr">
        <is>
          <t>Easy</t>
        </is>
      </c>
      <c r="J155" s="5">
        <f>HYPERLINK("https://www.codechef.com/problems/JAVAMCQ36", "https://www.codechef.com/problems/JAVAMCQ36")</f>
        <v/>
      </c>
      <c r="K155" s="4" t="inlineStr"/>
      <c r="L155" s="4" t="inlineStr"/>
      <c r="M155" s="4" t="inlineStr"/>
      <c r="N155" s="4" t="inlineStr">
        <is>
          <t>No</t>
        </is>
      </c>
      <c r="O155" s="4" t="inlineStr">
        <is>
          <t>Unattempted</t>
        </is>
      </c>
    </row>
    <row r="156">
      <c r="A156" s="2" t="inlineStr">
        <is>
          <t>Interview Questions</t>
        </is>
      </c>
      <c r="B156" s="2" t="inlineStr">
        <is>
          <t>Java Interview Questions for Freshers</t>
        </is>
      </c>
      <c r="C156" s="2" t="inlineStr">
        <is>
          <t>Practice these 146 Java MCQs with detailed explanations and prepare yourself for fresher interviews in Java.</t>
        </is>
      </c>
      <c r="D156" s="2" t="inlineStr">
        <is>
          <t>String manipulation and String pool - String manipulation and String pool</t>
        </is>
      </c>
      <c r="E156" s="2" t="n">
        <v>37</v>
      </c>
      <c r="F156" s="2" t="inlineStr">
        <is>
          <t>String Methods</t>
        </is>
      </c>
      <c r="G156" s="2" t="inlineStr">
        <is>
          <t>JAVAMCQ37</t>
        </is>
      </c>
      <c r="H156" s="2" t="inlineStr"/>
      <c r="I156" s="2" t="inlineStr">
        <is>
          <t>Easy</t>
        </is>
      </c>
      <c r="J156" s="3">
        <f>HYPERLINK("https://www.codechef.com/problems/JAVAMCQ37", "https://www.codechef.com/problems/JAVAMCQ37")</f>
        <v/>
      </c>
      <c r="K156" s="2" t="inlineStr"/>
      <c r="L156" s="2" t="inlineStr"/>
      <c r="M156" s="2" t="inlineStr"/>
      <c r="N156" s="2" t="inlineStr">
        <is>
          <t>No</t>
        </is>
      </c>
      <c r="O156" s="2" t="inlineStr">
        <is>
          <t>Unattempted</t>
        </is>
      </c>
    </row>
    <row r="157">
      <c r="A157" s="4" t="inlineStr">
        <is>
          <t>Interview Questions</t>
        </is>
      </c>
      <c r="B157" s="4" t="inlineStr">
        <is>
          <t>Java Interview Questions for Freshers</t>
        </is>
      </c>
      <c r="C157" s="4" t="inlineStr">
        <is>
          <t>Practice these 146 Java MCQs with detailed explanations and prepare yourself for fresher interviews in Java.</t>
        </is>
      </c>
      <c r="D157" s="4" t="inlineStr">
        <is>
          <t>String manipulation and String pool - String manipulation and String pool</t>
        </is>
      </c>
      <c r="E157" s="4" t="n">
        <v>38</v>
      </c>
      <c r="F157" s="4" t="inlineStr">
        <is>
          <t>String Manipulation</t>
        </is>
      </c>
      <c r="G157" s="4" t="inlineStr">
        <is>
          <t>JAVAMCQ38</t>
        </is>
      </c>
      <c r="H157" s="4" t="inlineStr"/>
      <c r="I157" s="4" t="inlineStr">
        <is>
          <t>Easy</t>
        </is>
      </c>
      <c r="J157" s="5">
        <f>HYPERLINK("https://www.codechef.com/problems/JAVAMCQ38", "https://www.codechef.com/problems/JAVAMCQ38")</f>
        <v/>
      </c>
      <c r="K157" s="4" t="inlineStr"/>
      <c r="L157" s="4" t="inlineStr"/>
      <c r="M157" s="4" t="inlineStr"/>
      <c r="N157" s="4" t="inlineStr">
        <is>
          <t>No</t>
        </is>
      </c>
      <c r="O157" s="4" t="inlineStr">
        <is>
          <t>Unattempted</t>
        </is>
      </c>
    </row>
    <row r="158">
      <c r="A158" s="2" t="inlineStr">
        <is>
          <t>Interview Questions</t>
        </is>
      </c>
      <c r="B158" s="2" t="inlineStr">
        <is>
          <t>Java Interview Questions for Freshers</t>
        </is>
      </c>
      <c r="C158" s="2" t="inlineStr">
        <is>
          <t>Practice these 146 Java MCQs with detailed explanations and prepare yourself for fresher interviews in Java.</t>
        </is>
      </c>
      <c r="D158" s="2" t="inlineStr">
        <is>
          <t>String manipulation and String pool - String manipulation and String pool</t>
        </is>
      </c>
      <c r="E158" s="2" t="n">
        <v>39</v>
      </c>
      <c r="F158" s="2" t="inlineStr">
        <is>
          <t>String Pool vs Heap</t>
        </is>
      </c>
      <c r="G158" s="2" t="inlineStr">
        <is>
          <t>JAVAMCQ39</t>
        </is>
      </c>
      <c r="H158" s="2" t="inlineStr"/>
      <c r="I158" s="2" t="inlineStr">
        <is>
          <t>Medium</t>
        </is>
      </c>
      <c r="J158" s="3">
        <f>HYPERLINK("https://www.codechef.com/problems/JAVAMCQ39", "https://www.codechef.com/problems/JAVAMCQ39")</f>
        <v/>
      </c>
      <c r="K158" s="2" t="inlineStr"/>
      <c r="L158" s="2" t="inlineStr"/>
      <c r="M158" s="2" t="inlineStr"/>
      <c r="N158" s="2" t="inlineStr">
        <is>
          <t>No</t>
        </is>
      </c>
      <c r="O158" s="2" t="inlineStr">
        <is>
          <t>Unattempted</t>
        </is>
      </c>
    </row>
    <row r="159">
      <c r="A159" s="4" t="inlineStr">
        <is>
          <t>Interview Questions</t>
        </is>
      </c>
      <c r="B159" s="4" t="inlineStr">
        <is>
          <t>Java Interview Questions for Freshers</t>
        </is>
      </c>
      <c r="C159" s="4" t="inlineStr">
        <is>
          <t>Practice these 146 Java MCQs with detailed explanations and prepare yourself for fresher interviews in Java.</t>
        </is>
      </c>
      <c r="D159" s="4" t="inlineStr">
        <is>
          <t>String manipulation and String pool - String manipulation and String pool</t>
        </is>
      </c>
      <c r="E159" s="4" t="n">
        <v>40</v>
      </c>
      <c r="F159" s="4" t="inlineStr">
        <is>
          <t>String Performance</t>
        </is>
      </c>
      <c r="G159" s="4" t="inlineStr">
        <is>
          <t>JAVAMCQ40</t>
        </is>
      </c>
      <c r="H159" s="4" t="inlineStr"/>
      <c r="I159" s="4" t="inlineStr">
        <is>
          <t>Easy</t>
        </is>
      </c>
      <c r="J159" s="5">
        <f>HYPERLINK("https://www.codechef.com/problems/JAVAMCQ40", "https://www.codechef.com/problems/JAVAMCQ40")</f>
        <v/>
      </c>
      <c r="K159" s="4" t="inlineStr"/>
      <c r="L159" s="4" t="inlineStr"/>
      <c r="M159" s="4" t="inlineStr"/>
      <c r="N159" s="4" t="inlineStr">
        <is>
          <t>No</t>
        </is>
      </c>
      <c r="O159" s="4" t="inlineStr">
        <is>
          <t>Unattempted</t>
        </is>
      </c>
    </row>
    <row r="160">
      <c r="A160" s="2" t="inlineStr">
        <is>
          <t>Interview Questions</t>
        </is>
      </c>
      <c r="B160" s="2" t="inlineStr">
        <is>
          <t>Java Interview Questions for Freshers</t>
        </is>
      </c>
      <c r="C160" s="2" t="inlineStr">
        <is>
          <t>Practice these 146 Java MCQs with detailed explanations and prepare yourself for fresher interviews in Java.</t>
        </is>
      </c>
      <c r="D160" s="2" t="inlineStr">
        <is>
          <t>Object-Oriented Programming (OOP) concepts - Object-Oriented Programming (OOP) concepts</t>
        </is>
      </c>
      <c r="E160" s="2" t="n">
        <v>41</v>
      </c>
      <c r="F160" s="2" t="inlineStr">
        <is>
          <t>Inheritance in Java</t>
        </is>
      </c>
      <c r="G160" s="2" t="inlineStr">
        <is>
          <t>JAVAMCQ41</t>
        </is>
      </c>
      <c r="H160" s="2" t="inlineStr"/>
      <c r="I160" s="2" t="inlineStr">
        <is>
          <t>Easy</t>
        </is>
      </c>
      <c r="J160" s="3">
        <f>HYPERLINK("https://www.codechef.com/problems/JAVAMCQ41", "https://www.codechef.com/problems/JAVAMCQ41")</f>
        <v/>
      </c>
      <c r="K160" s="2" t="inlineStr"/>
      <c r="L160" s="2" t="inlineStr"/>
      <c r="M160" s="2" t="inlineStr"/>
      <c r="N160" s="2" t="inlineStr">
        <is>
          <t>No</t>
        </is>
      </c>
      <c r="O160" s="2" t="inlineStr">
        <is>
          <t>Unattempted</t>
        </is>
      </c>
    </row>
    <row r="161">
      <c r="A161" s="4" t="inlineStr">
        <is>
          <t>Interview Questions</t>
        </is>
      </c>
      <c r="B161" s="4" t="inlineStr">
        <is>
          <t>Java Interview Questions for Freshers</t>
        </is>
      </c>
      <c r="C161" s="4" t="inlineStr">
        <is>
          <t>Practice these 146 Java MCQs with detailed explanations and prepare yourself for fresher interviews in Java.</t>
        </is>
      </c>
      <c r="D161" s="4" t="inlineStr">
        <is>
          <t>Object-Oriented Programming (OOP) concepts - Object-Oriented Programming (OOP) concepts</t>
        </is>
      </c>
      <c r="E161" s="4" t="n">
        <v>42</v>
      </c>
      <c r="F161" s="4" t="inlineStr">
        <is>
          <t>Encapsulation in Java</t>
        </is>
      </c>
      <c r="G161" s="4" t="inlineStr">
        <is>
          <t>JAVAMCQ42</t>
        </is>
      </c>
      <c r="H161" s="4" t="inlineStr"/>
      <c r="I161" s="4" t="inlineStr">
        <is>
          <t>Easy</t>
        </is>
      </c>
      <c r="J161" s="5">
        <f>HYPERLINK("https://www.codechef.com/problems/JAVAMCQ42", "https://www.codechef.com/problems/JAVAMCQ42")</f>
        <v/>
      </c>
      <c r="K161" s="4" t="inlineStr"/>
      <c r="L161" s="4" t="inlineStr"/>
      <c r="M161" s="4" t="inlineStr"/>
      <c r="N161" s="4" t="inlineStr">
        <is>
          <t>No</t>
        </is>
      </c>
      <c r="O161" s="4" t="inlineStr">
        <is>
          <t>Unattempted</t>
        </is>
      </c>
    </row>
    <row r="162">
      <c r="A162" s="2" t="inlineStr">
        <is>
          <t>Interview Questions</t>
        </is>
      </c>
      <c r="B162" s="2" t="inlineStr">
        <is>
          <t>Java Interview Questions for Freshers</t>
        </is>
      </c>
      <c r="C162" s="2" t="inlineStr">
        <is>
          <t>Practice these 146 Java MCQs with detailed explanations and prepare yourself for fresher interviews in Java.</t>
        </is>
      </c>
      <c r="D162" s="2" t="inlineStr">
        <is>
          <t>Object-Oriented Programming (OOP) concepts - Object-Oriented Programming (OOP) concepts</t>
        </is>
      </c>
      <c r="E162" s="2" t="n">
        <v>43</v>
      </c>
      <c r="F162" s="2" t="inlineStr">
        <is>
          <t>Polymorphism in Java</t>
        </is>
      </c>
      <c r="G162" s="2" t="inlineStr">
        <is>
          <t>JAVAMCQ43</t>
        </is>
      </c>
      <c r="H162" s="2" t="inlineStr"/>
      <c r="I162" s="2" t="inlineStr">
        <is>
          <t>Easy</t>
        </is>
      </c>
      <c r="J162" s="3">
        <f>HYPERLINK("https://www.codechef.com/problems/JAVAMCQ43", "https://www.codechef.com/problems/JAVAMCQ43")</f>
        <v/>
      </c>
      <c r="K162" s="2" t="inlineStr"/>
      <c r="L162" s="2" t="inlineStr"/>
      <c r="M162" s="2" t="inlineStr"/>
      <c r="N162" s="2" t="inlineStr">
        <is>
          <t>No</t>
        </is>
      </c>
      <c r="O162" s="2" t="inlineStr">
        <is>
          <t>Unattempted</t>
        </is>
      </c>
    </row>
    <row r="163">
      <c r="A163" s="4" t="inlineStr">
        <is>
          <t>Interview Questions</t>
        </is>
      </c>
      <c r="B163" s="4" t="inlineStr">
        <is>
          <t>Java Interview Questions for Freshers</t>
        </is>
      </c>
      <c r="C163" s="4" t="inlineStr">
        <is>
          <t>Practice these 146 Java MCQs with detailed explanations and prepare yourself for fresher interviews in Java.</t>
        </is>
      </c>
      <c r="D163" s="4" t="inlineStr">
        <is>
          <t>Object-Oriented Programming (OOP) concepts - Object-Oriented Programming (OOP) concepts</t>
        </is>
      </c>
      <c r="E163" s="4" t="n">
        <v>44</v>
      </c>
      <c r="F163" s="4" t="inlineStr">
        <is>
          <t>Abstraction in Java</t>
        </is>
      </c>
      <c r="G163" s="4" t="inlineStr">
        <is>
          <t>JAVAMCQ44</t>
        </is>
      </c>
      <c r="H163" s="4" t="inlineStr"/>
      <c r="I163" s="4" t="inlineStr">
        <is>
          <t>Easy</t>
        </is>
      </c>
      <c r="J163" s="5">
        <f>HYPERLINK("https://www.codechef.com/problems/JAVAMCQ44", "https://www.codechef.com/problems/JAVAMCQ44")</f>
        <v/>
      </c>
      <c r="K163" s="4" t="inlineStr"/>
      <c r="L163" s="4" t="inlineStr"/>
      <c r="M163" s="4" t="inlineStr"/>
      <c r="N163" s="4" t="inlineStr">
        <is>
          <t>No</t>
        </is>
      </c>
      <c r="O163" s="4" t="inlineStr">
        <is>
          <t>Unattempted</t>
        </is>
      </c>
    </row>
    <row r="164">
      <c r="A164" s="2" t="inlineStr">
        <is>
          <t>Interview Questions</t>
        </is>
      </c>
      <c r="B164" s="2" t="inlineStr">
        <is>
          <t>Java Interview Questions for Freshers</t>
        </is>
      </c>
      <c r="C164" s="2" t="inlineStr">
        <is>
          <t>Practice these 146 Java MCQs with detailed explanations and prepare yourself for fresher interviews in Java.</t>
        </is>
      </c>
      <c r="D164" s="2" t="inlineStr">
        <is>
          <t>Object-Oriented Programming (OOP) concepts - Object-Oriented Programming (OOP) concepts</t>
        </is>
      </c>
      <c r="E164" s="2" t="n">
        <v>45</v>
      </c>
      <c r="F164" s="2" t="inlineStr">
        <is>
          <t>Interfaces in Java</t>
        </is>
      </c>
      <c r="G164" s="2" t="inlineStr">
        <is>
          <t>JAVAMCQ45</t>
        </is>
      </c>
      <c r="H164" s="2" t="inlineStr"/>
      <c r="I164" s="2" t="inlineStr">
        <is>
          <t>Easy</t>
        </is>
      </c>
      <c r="J164" s="3">
        <f>HYPERLINK("https://www.codechef.com/problems/JAVAMCQ45", "https://www.codechef.com/problems/JAVAMCQ45")</f>
        <v/>
      </c>
      <c r="K164" s="2" t="inlineStr"/>
      <c r="L164" s="2" t="inlineStr"/>
      <c r="M164" s="2" t="inlineStr"/>
      <c r="N164" s="2" t="inlineStr">
        <is>
          <t>No</t>
        </is>
      </c>
      <c r="O164" s="2" t="inlineStr">
        <is>
          <t>Unattempted</t>
        </is>
      </c>
    </row>
    <row r="165">
      <c r="A165" s="4" t="inlineStr">
        <is>
          <t>Interview Questions</t>
        </is>
      </c>
      <c r="B165" s="4" t="inlineStr">
        <is>
          <t>Java Interview Questions for Freshers</t>
        </is>
      </c>
      <c r="C165" s="4" t="inlineStr">
        <is>
          <t>Practice these 146 Java MCQs with detailed explanations and prepare yourself for fresher interviews in Java.</t>
        </is>
      </c>
      <c r="D165" s="4" t="inlineStr">
        <is>
          <t>Object-Oriented Programming (OOP) concepts - Object-Oriented Programming (OOP) concepts</t>
        </is>
      </c>
      <c r="E165" s="4" t="n">
        <v>46</v>
      </c>
      <c r="F165" s="4" t="inlineStr">
        <is>
          <t>Method Overloading in Java</t>
        </is>
      </c>
      <c r="G165" s="4" t="inlineStr">
        <is>
          <t>JAVAMCQ46</t>
        </is>
      </c>
      <c r="H165" s="4" t="inlineStr"/>
      <c r="I165" s="4" t="inlineStr">
        <is>
          <t>Easy</t>
        </is>
      </c>
      <c r="J165" s="5">
        <f>HYPERLINK("https://www.codechef.com/problems/JAVAMCQ46", "https://www.codechef.com/problems/JAVAMCQ46")</f>
        <v/>
      </c>
      <c r="K165" s="4" t="inlineStr"/>
      <c r="L165" s="4" t="inlineStr"/>
      <c r="M165" s="4" t="inlineStr"/>
      <c r="N165" s="4" t="inlineStr">
        <is>
          <t>No</t>
        </is>
      </c>
      <c r="O165" s="4" t="inlineStr">
        <is>
          <t>Unattempted</t>
        </is>
      </c>
    </row>
    <row r="166">
      <c r="A166" s="2" t="inlineStr">
        <is>
          <t>Interview Questions</t>
        </is>
      </c>
      <c r="B166" s="2" t="inlineStr">
        <is>
          <t>Java Interview Questions for Freshers</t>
        </is>
      </c>
      <c r="C166" s="2" t="inlineStr">
        <is>
          <t>Practice these 146 Java MCQs with detailed explanations and prepare yourself for fresher interviews in Java.</t>
        </is>
      </c>
      <c r="D166" s="2" t="inlineStr">
        <is>
          <t>Object-Oriented Programming (OOP) concepts - Object-Oriented Programming (OOP) concepts</t>
        </is>
      </c>
      <c r="E166" s="2" t="n">
        <v>47</v>
      </c>
      <c r="F166" s="2" t="inlineStr">
        <is>
          <t>Constructor in Java</t>
        </is>
      </c>
      <c r="G166" s="2" t="inlineStr">
        <is>
          <t>JAVAMCQ47</t>
        </is>
      </c>
      <c r="H166" s="2" t="inlineStr"/>
      <c r="I166" s="2" t="inlineStr">
        <is>
          <t>Easy</t>
        </is>
      </c>
      <c r="J166" s="3">
        <f>HYPERLINK("https://www.codechef.com/problems/JAVAMCQ47", "https://www.codechef.com/problems/JAVAMCQ47")</f>
        <v/>
      </c>
      <c r="K166" s="2" t="inlineStr"/>
      <c r="L166" s="2" t="inlineStr"/>
      <c r="M166" s="2" t="inlineStr"/>
      <c r="N166" s="2" t="inlineStr">
        <is>
          <t>No</t>
        </is>
      </c>
      <c r="O166" s="2" t="inlineStr">
        <is>
          <t>Unattempted</t>
        </is>
      </c>
    </row>
    <row r="167">
      <c r="A167" s="4" t="inlineStr">
        <is>
          <t>Interview Questions</t>
        </is>
      </c>
      <c r="B167" s="4" t="inlineStr">
        <is>
          <t>Java Interview Questions for Freshers</t>
        </is>
      </c>
      <c r="C167" s="4" t="inlineStr">
        <is>
          <t>Practice these 146 Java MCQs with detailed explanations and prepare yourself for fresher interviews in Java.</t>
        </is>
      </c>
      <c r="D167" s="4" t="inlineStr">
        <is>
          <t>Object-Oriented Programming (OOP) concepts - Object-Oriented Programming (OOP) concepts</t>
        </is>
      </c>
      <c r="E167" s="4" t="n">
        <v>48</v>
      </c>
      <c r="F167" s="4" t="inlineStr">
        <is>
          <t>Static Members in Java</t>
        </is>
      </c>
      <c r="G167" s="4" t="inlineStr">
        <is>
          <t>JAVAMCQ48</t>
        </is>
      </c>
      <c r="H167" s="4" t="inlineStr"/>
      <c r="I167" s="4" t="inlineStr">
        <is>
          <t>Easy</t>
        </is>
      </c>
      <c r="J167" s="5">
        <f>HYPERLINK("https://www.codechef.com/problems/JAVAMCQ48", "https://www.codechef.com/problems/JAVAMCQ48")</f>
        <v/>
      </c>
      <c r="K167" s="4" t="inlineStr"/>
      <c r="L167" s="4" t="inlineStr"/>
      <c r="M167" s="4" t="inlineStr"/>
      <c r="N167" s="4" t="inlineStr">
        <is>
          <t>No</t>
        </is>
      </c>
      <c r="O167" s="4" t="inlineStr">
        <is>
          <t>Unattempted</t>
        </is>
      </c>
    </row>
    <row r="168">
      <c r="A168" s="2" t="inlineStr">
        <is>
          <t>Interview Questions</t>
        </is>
      </c>
      <c r="B168" s="2" t="inlineStr">
        <is>
          <t>Java Interview Questions for Freshers</t>
        </is>
      </c>
      <c r="C168" s="2" t="inlineStr">
        <is>
          <t>Practice these 146 Java MCQs with detailed explanations and prepare yourself for fresher interviews in Java.</t>
        </is>
      </c>
      <c r="D168" s="2" t="inlineStr">
        <is>
          <t>Object-Oriented Programming (OOP) concepts - Object-Oriented Programming (OOP) concepts</t>
        </is>
      </c>
      <c r="E168" s="2" t="n">
        <v>49</v>
      </c>
      <c r="F168" s="2" t="inlineStr">
        <is>
          <t>Final Keyword in Java</t>
        </is>
      </c>
      <c r="G168" s="2" t="inlineStr">
        <is>
          <t>JAVAMCQ49</t>
        </is>
      </c>
      <c r="H168" s="2" t="inlineStr"/>
      <c r="I168" s="2" t="inlineStr">
        <is>
          <t>Easy</t>
        </is>
      </c>
      <c r="J168" s="3">
        <f>HYPERLINK("https://www.codechef.com/problems/JAVAMCQ49", "https://www.codechef.com/problems/JAVAMCQ49")</f>
        <v/>
      </c>
      <c r="K168" s="2" t="inlineStr"/>
      <c r="L168" s="2" t="inlineStr"/>
      <c r="M168" s="2" t="inlineStr"/>
      <c r="N168" s="2" t="inlineStr">
        <is>
          <t>No</t>
        </is>
      </c>
      <c r="O168" s="2" t="inlineStr">
        <is>
          <t>Unattempted</t>
        </is>
      </c>
    </row>
    <row r="169">
      <c r="A169" s="4" t="inlineStr">
        <is>
          <t>Interview Questions</t>
        </is>
      </c>
      <c r="B169" s="4" t="inlineStr">
        <is>
          <t>Java Interview Questions for Freshers</t>
        </is>
      </c>
      <c r="C169" s="4" t="inlineStr">
        <is>
          <t>Practice these 146 Java MCQs with detailed explanations and prepare yourself for fresher interviews in Java.</t>
        </is>
      </c>
      <c r="D169" s="4" t="inlineStr">
        <is>
          <t>Object-Oriented Programming (OOP) concepts - Object-Oriented Programming (OOP) concepts</t>
        </is>
      </c>
      <c r="E169" s="4" t="n">
        <v>50</v>
      </c>
      <c r="F169" s="4" t="inlineStr">
        <is>
          <t>Method Overriding in Java</t>
        </is>
      </c>
      <c r="G169" s="4" t="inlineStr">
        <is>
          <t>JAVAMCQ50</t>
        </is>
      </c>
      <c r="H169" s="4" t="inlineStr"/>
      <c r="I169" s="4" t="inlineStr">
        <is>
          <t>Easy</t>
        </is>
      </c>
      <c r="J169" s="5">
        <f>HYPERLINK("https://www.codechef.com/problems/JAVAMCQ50", "https://www.codechef.com/problems/JAVAMCQ50")</f>
        <v/>
      </c>
      <c r="K169" s="4" t="inlineStr"/>
      <c r="L169" s="4" t="inlineStr"/>
      <c r="M169" s="4" t="inlineStr"/>
      <c r="N169" s="4" t="inlineStr">
        <is>
          <t>No</t>
        </is>
      </c>
      <c r="O169" s="4" t="inlineStr">
        <is>
          <t>Unattempted</t>
        </is>
      </c>
    </row>
    <row r="170">
      <c r="A170" s="2" t="inlineStr">
        <is>
          <t>Interview Questions</t>
        </is>
      </c>
      <c r="B170" s="2" t="inlineStr">
        <is>
          <t>Java Interview Questions for Freshers</t>
        </is>
      </c>
      <c r="C170" s="2" t="inlineStr">
        <is>
          <t>Practice these 146 Java MCQs with detailed explanations and prepare yourself for fresher interviews in Java.</t>
        </is>
      </c>
      <c r="D170" s="2" t="inlineStr">
        <is>
          <t>Inheritance and interfaces - Inheritance and interfaces</t>
        </is>
      </c>
      <c r="E170" s="2" t="n">
        <v>51</v>
      </c>
      <c r="F170" s="2" t="inlineStr">
        <is>
          <t>Interface Implementation</t>
        </is>
      </c>
      <c r="G170" s="2" t="inlineStr">
        <is>
          <t>JAVAMCQ52</t>
        </is>
      </c>
      <c r="H170" s="2" t="inlineStr"/>
      <c r="I170" s="2" t="inlineStr">
        <is>
          <t>Easy</t>
        </is>
      </c>
      <c r="J170" s="3">
        <f>HYPERLINK("https://www.codechef.com/problems/JAVAMCQ52", "https://www.codechef.com/problems/JAVAMCQ52")</f>
        <v/>
      </c>
      <c r="K170" s="2" t="inlineStr"/>
      <c r="L170" s="2" t="inlineStr"/>
      <c r="M170" s="2" t="inlineStr"/>
      <c r="N170" s="2" t="inlineStr">
        <is>
          <t>No</t>
        </is>
      </c>
      <c r="O170" s="2" t="inlineStr">
        <is>
          <t>Unattempted</t>
        </is>
      </c>
    </row>
    <row r="171">
      <c r="A171" s="4" t="inlineStr">
        <is>
          <t>Interview Questions</t>
        </is>
      </c>
      <c r="B171" s="4" t="inlineStr">
        <is>
          <t>Java Interview Questions for Freshers</t>
        </is>
      </c>
      <c r="C171" s="4" t="inlineStr">
        <is>
          <t>Practice these 146 Java MCQs with detailed explanations and prepare yourself for fresher interviews in Java.</t>
        </is>
      </c>
      <c r="D171" s="4" t="inlineStr">
        <is>
          <t>Inheritance and interfaces - Inheritance and interfaces</t>
        </is>
      </c>
      <c r="E171" s="4" t="n">
        <v>52</v>
      </c>
      <c r="F171" s="4" t="inlineStr">
        <is>
          <t>Multiple Inheritance</t>
        </is>
      </c>
      <c r="G171" s="4" t="inlineStr">
        <is>
          <t>JAVAMCQ53</t>
        </is>
      </c>
      <c r="H171" s="4" t="inlineStr"/>
      <c r="I171" s="4" t="inlineStr">
        <is>
          <t>Medium</t>
        </is>
      </c>
      <c r="J171" s="5">
        <f>HYPERLINK("https://www.codechef.com/problems/JAVAMCQ53", "https://www.codechef.com/problems/JAVAMCQ53")</f>
        <v/>
      </c>
      <c r="K171" s="4" t="inlineStr"/>
      <c r="L171" s="4" t="inlineStr"/>
      <c r="M171" s="4" t="inlineStr"/>
      <c r="N171" s="4" t="inlineStr">
        <is>
          <t>No</t>
        </is>
      </c>
      <c r="O171" s="4" t="inlineStr">
        <is>
          <t>Unattempted</t>
        </is>
      </c>
    </row>
    <row r="172">
      <c r="A172" s="2" t="inlineStr">
        <is>
          <t>Interview Questions</t>
        </is>
      </c>
      <c r="B172" s="2" t="inlineStr">
        <is>
          <t>Java Interview Questions for Freshers</t>
        </is>
      </c>
      <c r="C172" s="2" t="inlineStr">
        <is>
          <t>Practice these 146 Java MCQs with detailed explanations and prepare yourself for fresher interviews in Java.</t>
        </is>
      </c>
      <c r="D172" s="2" t="inlineStr">
        <is>
          <t>Inheritance and interfaces - Inheritance and interfaces</t>
        </is>
      </c>
      <c r="E172" s="2" t="n">
        <v>53</v>
      </c>
      <c r="F172" s="2" t="inlineStr">
        <is>
          <t>Abstract Classes vs Interfaces</t>
        </is>
      </c>
      <c r="G172" s="2" t="inlineStr">
        <is>
          <t>JAVAMCQ54</t>
        </is>
      </c>
      <c r="H172" s="2" t="inlineStr"/>
      <c r="I172" s="2" t="inlineStr">
        <is>
          <t>Medium</t>
        </is>
      </c>
      <c r="J172" s="3">
        <f>HYPERLINK("https://www.codechef.com/problems/JAVAMCQ54", "https://www.codechef.com/problems/JAVAMCQ54")</f>
        <v/>
      </c>
      <c r="K172" s="2" t="inlineStr"/>
      <c r="L172" s="2" t="inlineStr"/>
      <c r="M172" s="2" t="inlineStr"/>
      <c r="N172" s="2" t="inlineStr">
        <is>
          <t>No</t>
        </is>
      </c>
      <c r="O172" s="2" t="inlineStr">
        <is>
          <t>Unattempted</t>
        </is>
      </c>
    </row>
    <row r="173">
      <c r="A173" s="4" t="inlineStr">
        <is>
          <t>Interview Questions</t>
        </is>
      </c>
      <c r="B173" s="4" t="inlineStr">
        <is>
          <t>Java Interview Questions for Freshers</t>
        </is>
      </c>
      <c r="C173" s="4" t="inlineStr">
        <is>
          <t>Practice these 146 Java MCQs with detailed explanations and prepare yourself for fresher interviews in Java.</t>
        </is>
      </c>
      <c r="D173" s="4" t="inlineStr">
        <is>
          <t>Inheritance and interfaces - Inheritance and interfaces</t>
        </is>
      </c>
      <c r="E173" s="4" t="n">
        <v>54</v>
      </c>
      <c r="F173" s="4" t="inlineStr">
        <is>
          <t>Method Overriding</t>
        </is>
      </c>
      <c r="G173" s="4" t="inlineStr">
        <is>
          <t>JAVAMCQ55</t>
        </is>
      </c>
      <c r="H173" s="4" t="inlineStr"/>
      <c r="I173" s="4" t="inlineStr">
        <is>
          <t>Easy</t>
        </is>
      </c>
      <c r="J173" s="5">
        <f>HYPERLINK("https://www.codechef.com/problems/JAVAMCQ55", "https://www.codechef.com/problems/JAVAMCQ55")</f>
        <v/>
      </c>
      <c r="K173" s="4" t="inlineStr"/>
      <c r="L173" s="4" t="inlineStr"/>
      <c r="M173" s="4" t="inlineStr"/>
      <c r="N173" s="4" t="inlineStr">
        <is>
          <t>No</t>
        </is>
      </c>
      <c r="O173" s="4" t="inlineStr">
        <is>
          <t>Unattempted</t>
        </is>
      </c>
    </row>
    <row r="174">
      <c r="A174" s="2" t="inlineStr">
        <is>
          <t>Interview Questions</t>
        </is>
      </c>
      <c r="B174" s="2" t="inlineStr">
        <is>
          <t>Java Interview Questions for Freshers</t>
        </is>
      </c>
      <c r="C174" s="2" t="inlineStr">
        <is>
          <t>Practice these 146 Java MCQs with detailed explanations and prepare yourself for fresher interviews in Java.</t>
        </is>
      </c>
      <c r="D174" s="2" t="inlineStr">
        <is>
          <t>Inheritance and interfaces - Inheritance and interfaces</t>
        </is>
      </c>
      <c r="E174" s="2" t="n">
        <v>55</v>
      </c>
      <c r="F174" s="2" t="inlineStr">
        <is>
          <t>Access Modifiers in Inheritance</t>
        </is>
      </c>
      <c r="G174" s="2" t="inlineStr">
        <is>
          <t>JAVAMCQ57</t>
        </is>
      </c>
      <c r="H174" s="2" t="inlineStr"/>
      <c r="I174" s="2" t="inlineStr">
        <is>
          <t>Easy</t>
        </is>
      </c>
      <c r="J174" s="3">
        <f>HYPERLINK("https://www.codechef.com/problems/JAVAMCQ57", "https://www.codechef.com/problems/JAVAMCQ57")</f>
        <v/>
      </c>
      <c r="K174" s="2" t="inlineStr"/>
      <c r="L174" s="2" t="inlineStr"/>
      <c r="M174" s="2" t="inlineStr"/>
      <c r="N174" s="2" t="inlineStr">
        <is>
          <t>No</t>
        </is>
      </c>
      <c r="O174" s="2" t="inlineStr">
        <is>
          <t>Unattempted</t>
        </is>
      </c>
    </row>
    <row r="175">
      <c r="A175" s="4" t="inlineStr">
        <is>
          <t>Interview Questions</t>
        </is>
      </c>
      <c r="B175" s="4" t="inlineStr">
        <is>
          <t>Java Interview Questions for Freshers</t>
        </is>
      </c>
      <c r="C175" s="4" t="inlineStr">
        <is>
          <t>Practice these 146 Java MCQs with detailed explanations and prepare yourself for fresher interviews in Java.</t>
        </is>
      </c>
      <c r="D175" s="4" t="inlineStr">
        <is>
          <t>Inheritance and interfaces - Inheritance and interfaces</t>
        </is>
      </c>
      <c r="E175" s="4" t="n">
        <v>56</v>
      </c>
      <c r="F175" s="4" t="inlineStr">
        <is>
          <t>Inheritance and Constructors</t>
        </is>
      </c>
      <c r="G175" s="4" t="inlineStr">
        <is>
          <t>JAVAMCQ58</t>
        </is>
      </c>
      <c r="H175" s="4" t="inlineStr"/>
      <c r="I175" s="4" t="inlineStr">
        <is>
          <t>Medium</t>
        </is>
      </c>
      <c r="J175" s="5">
        <f>HYPERLINK("https://www.codechef.com/problems/JAVAMCQ58", "https://www.codechef.com/problems/JAVAMCQ58")</f>
        <v/>
      </c>
      <c r="K175" s="4" t="inlineStr"/>
      <c r="L175" s="4" t="inlineStr"/>
      <c r="M175" s="4" t="inlineStr"/>
      <c r="N175" s="4" t="inlineStr">
        <is>
          <t>No</t>
        </is>
      </c>
      <c r="O175" s="4" t="inlineStr">
        <is>
          <t>Unattempted</t>
        </is>
      </c>
    </row>
    <row r="176">
      <c r="A176" s="2" t="inlineStr">
        <is>
          <t>Interview Questions</t>
        </is>
      </c>
      <c r="B176" s="2" t="inlineStr">
        <is>
          <t>Java Interview Questions for Freshers</t>
        </is>
      </c>
      <c r="C176" s="2" t="inlineStr">
        <is>
          <t>Practice these 146 Java MCQs with detailed explanations and prepare yourself for fresher interviews in Java.</t>
        </is>
      </c>
      <c r="D176" s="2" t="inlineStr">
        <is>
          <t>Inheritance and interfaces - Inheritance and interfaces</t>
        </is>
      </c>
      <c r="E176" s="2" t="n">
        <v>57</v>
      </c>
      <c r="F176" s="2" t="inlineStr">
        <is>
          <t>Interface Constants</t>
        </is>
      </c>
      <c r="G176" s="2" t="inlineStr">
        <is>
          <t>JAVAMCQ59</t>
        </is>
      </c>
      <c r="H176" s="2" t="inlineStr"/>
      <c r="I176" s="2" t="inlineStr">
        <is>
          <t>Easy</t>
        </is>
      </c>
      <c r="J176" s="3">
        <f>HYPERLINK("https://www.codechef.com/problems/JAVAMCQ59", "https://www.codechef.com/problems/JAVAMCQ59")</f>
        <v/>
      </c>
      <c r="K176" s="2" t="inlineStr"/>
      <c r="L176" s="2" t="inlineStr"/>
      <c r="M176" s="2" t="inlineStr"/>
      <c r="N176" s="2" t="inlineStr">
        <is>
          <t>No</t>
        </is>
      </c>
      <c r="O176" s="2" t="inlineStr">
        <is>
          <t>Unattempted</t>
        </is>
      </c>
    </row>
    <row r="177">
      <c r="A177" s="4" t="inlineStr">
        <is>
          <t>Interview Questions</t>
        </is>
      </c>
      <c r="B177" s="4" t="inlineStr">
        <is>
          <t>Java Interview Questions for Freshers</t>
        </is>
      </c>
      <c r="C177" s="4" t="inlineStr">
        <is>
          <t>Practice these 146 Java MCQs with detailed explanations and prepare yourself for fresher interviews in Java.</t>
        </is>
      </c>
      <c r="D177" s="4" t="inlineStr">
        <is>
          <t>Inheritance and interfaces - Inheritance and interfaces</t>
        </is>
      </c>
      <c r="E177" s="4" t="n">
        <v>58</v>
      </c>
      <c r="F177" s="4" t="inlineStr">
        <is>
          <t>Polymorphism in Inheritance</t>
        </is>
      </c>
      <c r="G177" s="4" t="inlineStr">
        <is>
          <t>JAVAMCQ60</t>
        </is>
      </c>
      <c r="H177" s="4" t="inlineStr"/>
      <c r="I177" s="4" t="inlineStr">
        <is>
          <t>Medium</t>
        </is>
      </c>
      <c r="J177" s="5">
        <f>HYPERLINK("https://www.codechef.com/problems/JAVAMCQ60", "https://www.codechef.com/problems/JAVAMCQ60")</f>
        <v/>
      </c>
      <c r="K177" s="4" t="inlineStr"/>
      <c r="L177" s="4" t="inlineStr"/>
      <c r="M177" s="4" t="inlineStr"/>
      <c r="N177" s="4" t="inlineStr">
        <is>
          <t>No</t>
        </is>
      </c>
      <c r="O177" s="4" t="inlineStr">
        <is>
          <t>Unattempted</t>
        </is>
      </c>
    </row>
    <row r="178">
      <c r="A178" s="2" t="inlineStr">
        <is>
          <t>Interview Questions</t>
        </is>
      </c>
      <c r="B178" s="2" t="inlineStr">
        <is>
          <t>Java Interview Questions for Freshers</t>
        </is>
      </c>
      <c r="C178" s="2" t="inlineStr">
        <is>
          <t>Practice these 146 Java MCQs with detailed explanations and prepare yourself for fresher interviews in Java.</t>
        </is>
      </c>
      <c r="D178" s="2" t="inlineStr">
        <is>
          <t>Encapsulation and polymorphism - Encapsulation and polymorphism</t>
        </is>
      </c>
      <c r="E178" s="2" t="n">
        <v>59</v>
      </c>
      <c r="F178" s="2" t="inlineStr">
        <is>
          <t>Getter and Setter Methods</t>
        </is>
      </c>
      <c r="G178" s="2" t="inlineStr">
        <is>
          <t>JAVAMCQ62</t>
        </is>
      </c>
      <c r="H178" s="2" t="inlineStr"/>
      <c r="I178" s="2" t="inlineStr">
        <is>
          <t>Easy</t>
        </is>
      </c>
      <c r="J178" s="3">
        <f>HYPERLINK("https://www.codechef.com/problems/JAVAMCQ62", "https://www.codechef.com/problems/JAVAMCQ62")</f>
        <v/>
      </c>
      <c r="K178" s="2" t="inlineStr"/>
      <c r="L178" s="2" t="inlineStr"/>
      <c r="M178" s="2" t="inlineStr"/>
      <c r="N178" s="2" t="inlineStr">
        <is>
          <t>No</t>
        </is>
      </c>
      <c r="O178" s="2" t="inlineStr">
        <is>
          <t>Unattempted</t>
        </is>
      </c>
    </row>
    <row r="179">
      <c r="A179" s="4" t="inlineStr">
        <is>
          <t>Interview Questions</t>
        </is>
      </c>
      <c r="B179" s="4" t="inlineStr">
        <is>
          <t>Java Interview Questions for Freshers</t>
        </is>
      </c>
      <c r="C179" s="4" t="inlineStr">
        <is>
          <t>Practice these 146 Java MCQs with detailed explanations and prepare yourself for fresher interviews in Java.</t>
        </is>
      </c>
      <c r="D179" s="4" t="inlineStr">
        <is>
          <t>Encapsulation and polymorphism - Encapsulation and polymorphism</t>
        </is>
      </c>
      <c r="E179" s="4" t="n">
        <v>60</v>
      </c>
      <c r="F179" s="4" t="inlineStr">
        <is>
          <t>Method Overloading</t>
        </is>
      </c>
      <c r="G179" s="4" t="inlineStr">
        <is>
          <t>JAVAMCQ63</t>
        </is>
      </c>
      <c r="H179" s="4" t="inlineStr"/>
      <c r="I179" s="4" t="inlineStr">
        <is>
          <t>Easy</t>
        </is>
      </c>
      <c r="J179" s="5">
        <f>HYPERLINK("https://www.codechef.com/problems/JAVAMCQ63", "https://www.codechef.com/problems/JAVAMCQ63")</f>
        <v/>
      </c>
      <c r="K179" s="4" t="inlineStr"/>
      <c r="L179" s="4" t="inlineStr"/>
      <c r="M179" s="4" t="inlineStr"/>
      <c r="N179" s="4" t="inlineStr">
        <is>
          <t>No</t>
        </is>
      </c>
      <c r="O179" s="4" t="inlineStr">
        <is>
          <t>Unattempted</t>
        </is>
      </c>
    </row>
    <row r="180">
      <c r="A180" s="2" t="inlineStr">
        <is>
          <t>Interview Questions</t>
        </is>
      </c>
      <c r="B180" s="2" t="inlineStr">
        <is>
          <t>Java Interview Questions for Freshers</t>
        </is>
      </c>
      <c r="C180" s="2" t="inlineStr">
        <is>
          <t>Practice these 146 Java MCQs with detailed explanations and prepare yourself for fresher interviews in Java.</t>
        </is>
      </c>
      <c r="D180" s="2" t="inlineStr">
        <is>
          <t>Encapsulation and polymorphism - Encapsulation and polymorphism</t>
        </is>
      </c>
      <c r="E180" s="2" t="n">
        <v>61</v>
      </c>
      <c r="F180" s="2" t="inlineStr">
        <is>
          <t>Method Overriding</t>
        </is>
      </c>
      <c r="G180" s="2" t="inlineStr">
        <is>
          <t>JAVAMCQ64</t>
        </is>
      </c>
      <c r="H180" s="2" t="inlineStr"/>
      <c r="I180" s="2" t="inlineStr">
        <is>
          <t>Easy</t>
        </is>
      </c>
      <c r="J180" s="3">
        <f>HYPERLINK("https://www.codechef.com/problems/JAVAMCQ64", "https://www.codechef.com/problems/JAVAMCQ64")</f>
        <v/>
      </c>
      <c r="K180" s="2" t="inlineStr"/>
      <c r="L180" s="2" t="inlineStr"/>
      <c r="M180" s="2" t="inlineStr"/>
      <c r="N180" s="2" t="inlineStr">
        <is>
          <t>No</t>
        </is>
      </c>
      <c r="O180" s="2" t="inlineStr">
        <is>
          <t>Unattempted</t>
        </is>
      </c>
    </row>
    <row r="181">
      <c r="A181" s="4" t="inlineStr">
        <is>
          <t>Interview Questions</t>
        </is>
      </c>
      <c r="B181" s="4" t="inlineStr">
        <is>
          <t>Java Interview Questions for Freshers</t>
        </is>
      </c>
      <c r="C181" s="4" t="inlineStr">
        <is>
          <t>Practice these 146 Java MCQs with detailed explanations and prepare yourself for fresher interviews in Java.</t>
        </is>
      </c>
      <c r="D181" s="4" t="inlineStr">
        <is>
          <t>Encapsulation and polymorphism - Encapsulation and polymorphism</t>
        </is>
      </c>
      <c r="E181" s="4" t="n">
        <v>62</v>
      </c>
      <c r="F181" s="4" t="inlineStr">
        <is>
          <t>Runtime Polymorphism</t>
        </is>
      </c>
      <c r="G181" s="4" t="inlineStr">
        <is>
          <t>JAVAMCQ65</t>
        </is>
      </c>
      <c r="H181" s="4" t="inlineStr"/>
      <c r="I181" s="4" t="inlineStr">
        <is>
          <t>Easy</t>
        </is>
      </c>
      <c r="J181" s="5">
        <f>HYPERLINK("https://www.codechef.com/problems/JAVAMCQ65", "https://www.codechef.com/problems/JAVAMCQ65")</f>
        <v/>
      </c>
      <c r="K181" s="4" t="inlineStr"/>
      <c r="L181" s="4" t="inlineStr"/>
      <c r="M181" s="4" t="inlineStr"/>
      <c r="N181" s="4" t="inlineStr">
        <is>
          <t>No</t>
        </is>
      </c>
      <c r="O181" s="4" t="inlineStr">
        <is>
          <t>Unattempted</t>
        </is>
      </c>
    </row>
    <row r="182">
      <c r="A182" s="2" t="inlineStr">
        <is>
          <t>Interview Questions</t>
        </is>
      </c>
      <c r="B182" s="2" t="inlineStr">
        <is>
          <t>Java Interview Questions for Freshers</t>
        </is>
      </c>
      <c r="C182" s="2" t="inlineStr">
        <is>
          <t>Practice these 146 Java MCQs with detailed explanations and prepare yourself for fresher interviews in Java.</t>
        </is>
      </c>
      <c r="D182" s="2" t="inlineStr">
        <is>
          <t>Encapsulation and polymorphism - Encapsulation and polymorphism</t>
        </is>
      </c>
      <c r="E182" s="2" t="n">
        <v>63</v>
      </c>
      <c r="F182" s="2" t="inlineStr">
        <is>
          <t>Encapsulation Benefits</t>
        </is>
      </c>
      <c r="G182" s="2" t="inlineStr">
        <is>
          <t>JAVAMCQ66</t>
        </is>
      </c>
      <c r="H182" s="2" t="inlineStr"/>
      <c r="I182" s="2" t="inlineStr">
        <is>
          <t>Easy</t>
        </is>
      </c>
      <c r="J182" s="3">
        <f>HYPERLINK("https://www.codechef.com/problems/JAVAMCQ66", "https://www.codechef.com/problems/JAVAMCQ66")</f>
        <v/>
      </c>
      <c r="K182" s="2" t="inlineStr"/>
      <c r="L182" s="2" t="inlineStr"/>
      <c r="M182" s="2" t="inlineStr"/>
      <c r="N182" s="2" t="inlineStr">
        <is>
          <t>No</t>
        </is>
      </c>
      <c r="O182" s="2" t="inlineStr">
        <is>
          <t>Unattempted</t>
        </is>
      </c>
    </row>
    <row r="183">
      <c r="A183" s="4" t="inlineStr">
        <is>
          <t>Interview Questions</t>
        </is>
      </c>
      <c r="B183" s="4" t="inlineStr">
        <is>
          <t>Java Interview Questions for Freshers</t>
        </is>
      </c>
      <c r="C183" s="4" t="inlineStr">
        <is>
          <t>Practice these 146 Java MCQs with detailed explanations and prepare yourself for fresher interviews in Java.</t>
        </is>
      </c>
      <c r="D183" s="4" t="inlineStr">
        <is>
          <t>Encapsulation and polymorphism - Encapsulation and polymorphism</t>
        </is>
      </c>
      <c r="E183" s="4" t="n">
        <v>64</v>
      </c>
      <c r="F183" s="4" t="inlineStr">
        <is>
          <t>Interface Polymorphism</t>
        </is>
      </c>
      <c r="G183" s="4" t="inlineStr">
        <is>
          <t>JAVAMCQ67</t>
        </is>
      </c>
      <c r="H183" s="4" t="inlineStr"/>
      <c r="I183" s="4" t="inlineStr">
        <is>
          <t>Medium</t>
        </is>
      </c>
      <c r="J183" s="5">
        <f>HYPERLINK("https://www.codechef.com/problems/JAVAMCQ67", "https://www.codechef.com/problems/JAVAMCQ67")</f>
        <v/>
      </c>
      <c r="K183" s="4" t="inlineStr"/>
      <c r="L183" s="4" t="inlineStr"/>
      <c r="M183" s="4" t="inlineStr"/>
      <c r="N183" s="4" t="inlineStr">
        <is>
          <t>No</t>
        </is>
      </c>
      <c r="O183" s="4" t="inlineStr">
        <is>
          <t>Unattempted</t>
        </is>
      </c>
    </row>
    <row r="184">
      <c r="A184" s="2" t="inlineStr">
        <is>
          <t>Interview Questions</t>
        </is>
      </c>
      <c r="B184" s="2" t="inlineStr">
        <is>
          <t>Java Interview Questions for Freshers</t>
        </is>
      </c>
      <c r="C184" s="2" t="inlineStr">
        <is>
          <t>Practice these 146 Java MCQs with detailed explanations and prepare yourself for fresher interviews in Java.</t>
        </is>
      </c>
      <c r="D184" s="2" t="inlineStr">
        <is>
          <t>Encapsulation and polymorphism - Encapsulation and polymorphism</t>
        </is>
      </c>
      <c r="E184" s="2" t="n">
        <v>65</v>
      </c>
      <c r="F184" s="2" t="inlineStr">
        <is>
          <t>Data Hiding</t>
        </is>
      </c>
      <c r="G184" s="2" t="inlineStr">
        <is>
          <t>JAVAMCQ68</t>
        </is>
      </c>
      <c r="H184" s="2" t="inlineStr"/>
      <c r="I184" s="2" t="inlineStr">
        <is>
          <t>Easy</t>
        </is>
      </c>
      <c r="J184" s="3">
        <f>HYPERLINK("https://www.codechef.com/problems/JAVAMCQ68", "https://www.codechef.com/problems/JAVAMCQ68")</f>
        <v/>
      </c>
      <c r="K184" s="2" t="inlineStr"/>
      <c r="L184" s="2" t="inlineStr"/>
      <c r="M184" s="2" t="inlineStr"/>
      <c r="N184" s="2" t="inlineStr">
        <is>
          <t>No</t>
        </is>
      </c>
      <c r="O184" s="2" t="inlineStr">
        <is>
          <t>Unattempted</t>
        </is>
      </c>
    </row>
    <row r="185">
      <c r="A185" s="4" t="inlineStr">
        <is>
          <t>Interview Questions</t>
        </is>
      </c>
      <c r="B185" s="4" t="inlineStr">
        <is>
          <t>Java Interview Questions for Freshers</t>
        </is>
      </c>
      <c r="C185" s="4" t="inlineStr">
        <is>
          <t>Practice these 146 Java MCQs with detailed explanations and prepare yourself for fresher interviews in Java.</t>
        </is>
      </c>
      <c r="D185" s="4" t="inlineStr">
        <is>
          <t>Encapsulation and polymorphism - Encapsulation and polymorphism</t>
        </is>
      </c>
      <c r="E185" s="4" t="n">
        <v>66</v>
      </c>
      <c r="F185" s="4" t="inlineStr">
        <is>
          <t>Polymorphic Reference</t>
        </is>
      </c>
      <c r="G185" s="4" t="inlineStr">
        <is>
          <t>JAVAMCQ69</t>
        </is>
      </c>
      <c r="H185" s="4" t="inlineStr"/>
      <c r="I185" s="4" t="inlineStr">
        <is>
          <t>Easy</t>
        </is>
      </c>
      <c r="J185" s="5">
        <f>HYPERLINK("https://www.codechef.com/problems/JAVAMCQ69", "https://www.codechef.com/problems/JAVAMCQ69")</f>
        <v/>
      </c>
      <c r="K185" s="4" t="inlineStr"/>
      <c r="L185" s="4" t="inlineStr"/>
      <c r="M185" s="4" t="inlineStr"/>
      <c r="N185" s="4" t="inlineStr">
        <is>
          <t>No</t>
        </is>
      </c>
      <c r="O185" s="4" t="inlineStr">
        <is>
          <t>Unattempted</t>
        </is>
      </c>
    </row>
    <row r="186">
      <c r="A186" s="2" t="inlineStr">
        <is>
          <t>Interview Questions</t>
        </is>
      </c>
      <c r="B186" s="2" t="inlineStr">
        <is>
          <t>Java Interview Questions for Freshers</t>
        </is>
      </c>
      <c r="C186" s="2" t="inlineStr">
        <is>
          <t>Practice these 146 Java MCQs with detailed explanations and prepare yourself for fresher interviews in Java.</t>
        </is>
      </c>
      <c r="D186" s="2" t="inlineStr">
        <is>
          <t>Encapsulation and polymorphism - Encapsulation and polymorphism</t>
        </is>
      </c>
      <c r="E186" s="2" t="n">
        <v>67</v>
      </c>
      <c r="F186" s="2" t="inlineStr">
        <is>
          <t>Encapsulation Implementation</t>
        </is>
      </c>
      <c r="G186" s="2" t="inlineStr">
        <is>
          <t>JAVAMCQ70</t>
        </is>
      </c>
      <c r="H186" s="2" t="inlineStr"/>
      <c r="I186" s="2" t="inlineStr">
        <is>
          <t>Easy</t>
        </is>
      </c>
      <c r="J186" s="3">
        <f>HYPERLINK("https://www.codechef.com/problems/JAVAMCQ70", "https://www.codechef.com/problems/JAVAMCQ70")</f>
        <v/>
      </c>
      <c r="K186" s="2" t="inlineStr"/>
      <c r="L186" s="2" t="inlineStr"/>
      <c r="M186" s="2" t="inlineStr"/>
      <c r="N186" s="2" t="inlineStr">
        <is>
          <t>No</t>
        </is>
      </c>
      <c r="O186" s="2" t="inlineStr">
        <is>
          <t>Unattempted</t>
        </is>
      </c>
    </row>
    <row r="187">
      <c r="A187" s="4" t="inlineStr">
        <is>
          <t>Interview Questions</t>
        </is>
      </c>
      <c r="B187" s="4" t="inlineStr">
        <is>
          <t>Java Interview Questions for Freshers</t>
        </is>
      </c>
      <c r="C187" s="4" t="inlineStr">
        <is>
          <t>Practice these 146 Java MCQs with detailed explanations and prepare yourself for fresher interviews in Java.</t>
        </is>
      </c>
      <c r="D187" s="4" t="inlineStr">
        <is>
          <t>Exception handling - Exception handling</t>
        </is>
      </c>
      <c r="E187" s="4" t="n">
        <v>68</v>
      </c>
      <c r="F187" s="4" t="inlineStr">
        <is>
          <t>Exception Hierarchy</t>
        </is>
      </c>
      <c r="G187" s="4" t="inlineStr">
        <is>
          <t>JAVAMCQ71</t>
        </is>
      </c>
      <c r="H187" s="4" t="inlineStr"/>
      <c r="I187" s="4" t="inlineStr">
        <is>
          <t>Easy</t>
        </is>
      </c>
      <c r="J187" s="5">
        <f>HYPERLINK("https://www.codechef.com/problems/JAVAMCQ71", "https://www.codechef.com/problems/JAVAMCQ71")</f>
        <v/>
      </c>
      <c r="K187" s="4" t="inlineStr"/>
      <c r="L187" s="4" t="inlineStr"/>
      <c r="M187" s="4" t="inlineStr"/>
      <c r="N187" s="4" t="inlineStr">
        <is>
          <t>No</t>
        </is>
      </c>
      <c r="O187" s="4" t="inlineStr">
        <is>
          <t>Unattempted</t>
        </is>
      </c>
    </row>
    <row r="188">
      <c r="A188" s="2" t="inlineStr">
        <is>
          <t>Interview Questions</t>
        </is>
      </c>
      <c r="B188" s="2" t="inlineStr">
        <is>
          <t>Java Interview Questions for Freshers</t>
        </is>
      </c>
      <c r="C188" s="2" t="inlineStr">
        <is>
          <t>Practice these 146 Java MCQs with detailed explanations and prepare yourself for fresher interviews in Java.</t>
        </is>
      </c>
      <c r="D188" s="2" t="inlineStr">
        <is>
          <t>Exception handling - Exception handling</t>
        </is>
      </c>
      <c r="E188" s="2" t="n">
        <v>69</v>
      </c>
      <c r="F188" s="2" t="inlineStr">
        <is>
          <t>Try-Catch Blocks</t>
        </is>
      </c>
      <c r="G188" s="2" t="inlineStr">
        <is>
          <t>JAVAMCQ72</t>
        </is>
      </c>
      <c r="H188" s="2" t="inlineStr"/>
      <c r="I188" s="2" t="inlineStr">
        <is>
          <t>Easy</t>
        </is>
      </c>
      <c r="J188" s="3">
        <f>HYPERLINK("https://www.codechef.com/problems/JAVAMCQ72", "https://www.codechef.com/problems/JAVAMCQ72")</f>
        <v/>
      </c>
      <c r="K188" s="2" t="inlineStr"/>
      <c r="L188" s="2" t="inlineStr"/>
      <c r="M188" s="2" t="inlineStr"/>
      <c r="N188" s="2" t="inlineStr">
        <is>
          <t>No</t>
        </is>
      </c>
      <c r="O188" s="2" t="inlineStr">
        <is>
          <t>Unattempted</t>
        </is>
      </c>
    </row>
    <row r="189">
      <c r="A189" s="4" t="inlineStr">
        <is>
          <t>Interview Questions</t>
        </is>
      </c>
      <c r="B189" s="4" t="inlineStr">
        <is>
          <t>Java Interview Questions for Freshers</t>
        </is>
      </c>
      <c r="C189" s="4" t="inlineStr">
        <is>
          <t>Practice these 146 Java MCQs with detailed explanations and prepare yourself for fresher interviews in Java.</t>
        </is>
      </c>
      <c r="D189" s="4" t="inlineStr">
        <is>
          <t>Exception handling - Exception handling</t>
        </is>
      </c>
      <c r="E189" s="4" t="n">
        <v>70</v>
      </c>
      <c r="F189" s="4" t="inlineStr">
        <is>
          <t>Multiple Catch Blocks</t>
        </is>
      </c>
      <c r="G189" s="4" t="inlineStr">
        <is>
          <t>JAVAMCQ73</t>
        </is>
      </c>
      <c r="H189" s="4" t="inlineStr"/>
      <c r="I189" s="4" t="inlineStr">
        <is>
          <t>Easy</t>
        </is>
      </c>
      <c r="J189" s="5">
        <f>HYPERLINK("https://www.codechef.com/problems/JAVAMCQ73", "https://www.codechef.com/problems/JAVAMCQ73")</f>
        <v/>
      </c>
      <c r="K189" s="4" t="inlineStr"/>
      <c r="L189" s="4" t="inlineStr"/>
      <c r="M189" s="4" t="inlineStr"/>
      <c r="N189" s="4" t="inlineStr">
        <is>
          <t>No</t>
        </is>
      </c>
      <c r="O189" s="4" t="inlineStr">
        <is>
          <t>Unattempted</t>
        </is>
      </c>
    </row>
    <row r="190">
      <c r="A190" s="2" t="inlineStr">
        <is>
          <t>Interview Questions</t>
        </is>
      </c>
      <c r="B190" s="2" t="inlineStr">
        <is>
          <t>Java Interview Questions for Freshers</t>
        </is>
      </c>
      <c r="C190" s="2" t="inlineStr">
        <is>
          <t>Practice these 146 Java MCQs with detailed explanations and prepare yourself for fresher interviews in Java.</t>
        </is>
      </c>
      <c r="D190" s="2" t="inlineStr">
        <is>
          <t>Exception handling - Exception handling</t>
        </is>
      </c>
      <c r="E190" s="2" t="n">
        <v>71</v>
      </c>
      <c r="F190" s="2" t="inlineStr">
        <is>
          <t>Throws Clause</t>
        </is>
      </c>
      <c r="G190" s="2" t="inlineStr">
        <is>
          <t>JAVAMCQ74</t>
        </is>
      </c>
      <c r="H190" s="2" t="inlineStr"/>
      <c r="I190" s="2" t="inlineStr">
        <is>
          <t>Easy</t>
        </is>
      </c>
      <c r="J190" s="3">
        <f>HYPERLINK("https://www.codechef.com/problems/JAVAMCQ74", "https://www.codechef.com/problems/JAVAMCQ74")</f>
        <v/>
      </c>
      <c r="K190" s="2" t="inlineStr"/>
      <c r="L190" s="2" t="inlineStr"/>
      <c r="M190" s="2" t="inlineStr"/>
      <c r="N190" s="2" t="inlineStr">
        <is>
          <t>No</t>
        </is>
      </c>
      <c r="O190" s="2" t="inlineStr">
        <is>
          <t>Unattempted</t>
        </is>
      </c>
    </row>
    <row r="191">
      <c r="A191" s="4" t="inlineStr">
        <is>
          <t>Interview Questions</t>
        </is>
      </c>
      <c r="B191" s="4" t="inlineStr">
        <is>
          <t>Java Interview Questions for Freshers</t>
        </is>
      </c>
      <c r="C191" s="4" t="inlineStr">
        <is>
          <t>Practice these 146 Java MCQs with detailed explanations and prepare yourself for fresher interviews in Java.</t>
        </is>
      </c>
      <c r="D191" s="4" t="inlineStr">
        <is>
          <t>Exception handling - Exception handling</t>
        </is>
      </c>
      <c r="E191" s="4" t="n">
        <v>72</v>
      </c>
      <c r="F191" s="4" t="inlineStr">
        <is>
          <t>Finally Block Execution</t>
        </is>
      </c>
      <c r="G191" s="4" t="inlineStr">
        <is>
          <t>JAVAMCQ75</t>
        </is>
      </c>
      <c r="H191" s="4" t="inlineStr"/>
      <c r="I191" s="4" t="inlineStr">
        <is>
          <t>Easy</t>
        </is>
      </c>
      <c r="J191" s="5">
        <f>HYPERLINK("https://www.codechef.com/problems/JAVAMCQ75", "https://www.codechef.com/problems/JAVAMCQ75")</f>
        <v/>
      </c>
      <c r="K191" s="4" t="inlineStr"/>
      <c r="L191" s="4" t="inlineStr"/>
      <c r="M191" s="4" t="inlineStr"/>
      <c r="N191" s="4" t="inlineStr">
        <is>
          <t>No</t>
        </is>
      </c>
      <c r="O191" s="4" t="inlineStr">
        <is>
          <t>Unattempted</t>
        </is>
      </c>
    </row>
    <row r="192">
      <c r="A192" s="2" t="inlineStr">
        <is>
          <t>Interview Questions</t>
        </is>
      </c>
      <c r="B192" s="2" t="inlineStr">
        <is>
          <t>Java Interview Questions for Freshers</t>
        </is>
      </c>
      <c r="C192" s="2" t="inlineStr">
        <is>
          <t>Practice these 146 Java MCQs with detailed explanations and prepare yourself for fresher interviews in Java.</t>
        </is>
      </c>
      <c r="D192" s="2" t="inlineStr">
        <is>
          <t>Exception handling - Exception handling</t>
        </is>
      </c>
      <c r="E192" s="2" t="n">
        <v>73</v>
      </c>
      <c r="F192" s="2" t="inlineStr">
        <is>
          <t>Custom Exceptions</t>
        </is>
      </c>
      <c r="G192" s="2" t="inlineStr">
        <is>
          <t>JAVAMCQ76</t>
        </is>
      </c>
      <c r="H192" s="2" t="inlineStr"/>
      <c r="I192" s="2" t="inlineStr">
        <is>
          <t>Easy</t>
        </is>
      </c>
      <c r="J192" s="3">
        <f>HYPERLINK("https://www.codechef.com/problems/JAVAMCQ76", "https://www.codechef.com/problems/JAVAMCQ76")</f>
        <v/>
      </c>
      <c r="K192" s="2" t="inlineStr"/>
      <c r="L192" s="2" t="inlineStr"/>
      <c r="M192" s="2" t="inlineStr"/>
      <c r="N192" s="2" t="inlineStr">
        <is>
          <t>No</t>
        </is>
      </c>
      <c r="O192" s="2" t="inlineStr">
        <is>
          <t>Unattempted</t>
        </is>
      </c>
    </row>
    <row r="193">
      <c r="A193" s="4" t="inlineStr">
        <is>
          <t>Interview Questions</t>
        </is>
      </c>
      <c r="B193" s="4" t="inlineStr">
        <is>
          <t>Java Interview Questions for Freshers</t>
        </is>
      </c>
      <c r="C193" s="4" t="inlineStr">
        <is>
          <t>Practice these 146 Java MCQs with detailed explanations and prepare yourself for fresher interviews in Java.</t>
        </is>
      </c>
      <c r="D193" s="4" t="inlineStr">
        <is>
          <t>Exception handling - Exception handling</t>
        </is>
      </c>
      <c r="E193" s="4" t="n">
        <v>74</v>
      </c>
      <c r="F193" s="4" t="inlineStr">
        <is>
          <t>Try-with-Resources</t>
        </is>
      </c>
      <c r="G193" s="4" t="inlineStr">
        <is>
          <t>JAVAMCQ77</t>
        </is>
      </c>
      <c r="H193" s="4" t="inlineStr"/>
      <c r="I193" s="4" t="inlineStr">
        <is>
          <t>Easy</t>
        </is>
      </c>
      <c r="J193" s="5">
        <f>HYPERLINK("https://www.codechef.com/problems/JAVAMCQ77", "https://www.codechef.com/problems/JAVAMCQ77")</f>
        <v/>
      </c>
      <c r="K193" s="4" t="inlineStr"/>
      <c r="L193" s="4" t="inlineStr"/>
      <c r="M193" s="4" t="inlineStr"/>
      <c r="N193" s="4" t="inlineStr">
        <is>
          <t>No</t>
        </is>
      </c>
      <c r="O193" s="4" t="inlineStr">
        <is>
          <t>Unattempted</t>
        </is>
      </c>
    </row>
    <row r="194">
      <c r="A194" s="2" t="inlineStr">
        <is>
          <t>Interview Questions</t>
        </is>
      </c>
      <c r="B194" s="2" t="inlineStr">
        <is>
          <t>Java Interview Questions for Freshers</t>
        </is>
      </c>
      <c r="C194" s="2" t="inlineStr">
        <is>
          <t>Practice these 146 Java MCQs with detailed explanations and prepare yourself for fresher interviews in Java.</t>
        </is>
      </c>
      <c r="D194" s="2" t="inlineStr">
        <is>
          <t>Exception handling - Exception handling</t>
        </is>
      </c>
      <c r="E194" s="2" t="n">
        <v>75</v>
      </c>
      <c r="F194" s="2" t="inlineStr">
        <is>
          <t>Exception Propagation</t>
        </is>
      </c>
      <c r="G194" s="2" t="inlineStr">
        <is>
          <t>JAVAMCQ78</t>
        </is>
      </c>
      <c r="H194" s="2" t="inlineStr"/>
      <c r="I194" s="2" t="inlineStr">
        <is>
          <t>Easy</t>
        </is>
      </c>
      <c r="J194" s="3">
        <f>HYPERLINK("https://www.codechef.com/problems/JAVAMCQ78", "https://www.codechef.com/problems/JAVAMCQ78")</f>
        <v/>
      </c>
      <c r="K194" s="2" t="inlineStr"/>
      <c r="L194" s="2" t="inlineStr"/>
      <c r="M194" s="2" t="inlineStr"/>
      <c r="N194" s="2" t="inlineStr">
        <is>
          <t>No</t>
        </is>
      </c>
      <c r="O194" s="2" t="inlineStr">
        <is>
          <t>Unattempted</t>
        </is>
      </c>
    </row>
    <row r="195">
      <c r="A195" s="4" t="inlineStr">
        <is>
          <t>Interview Questions</t>
        </is>
      </c>
      <c r="B195" s="4" t="inlineStr">
        <is>
          <t>Java Interview Questions for Freshers</t>
        </is>
      </c>
      <c r="C195" s="4" t="inlineStr">
        <is>
          <t>Practice these 146 Java MCQs with detailed explanations and prepare yourself for fresher interviews in Java.</t>
        </is>
      </c>
      <c r="D195" s="4" t="inlineStr">
        <is>
          <t>Exception handling - Exception handling</t>
        </is>
      </c>
      <c r="E195" s="4" t="n">
        <v>76</v>
      </c>
      <c r="F195" s="4" t="inlineStr">
        <is>
          <t>Suppressed Exceptions</t>
        </is>
      </c>
      <c r="G195" s="4" t="inlineStr">
        <is>
          <t>JAVAMCQ80</t>
        </is>
      </c>
      <c r="H195" s="4" t="inlineStr"/>
      <c r="I195" s="4" t="inlineStr">
        <is>
          <t>Easy</t>
        </is>
      </c>
      <c r="J195" s="5">
        <f>HYPERLINK("https://www.codechef.com/problems/JAVAMCQ80", "https://www.codechef.com/problems/JAVAMCQ80")</f>
        <v/>
      </c>
      <c r="K195" s="4" t="inlineStr"/>
      <c r="L195" s="4" t="inlineStr"/>
      <c r="M195" s="4" t="inlineStr"/>
      <c r="N195" s="4" t="inlineStr">
        <is>
          <t>No</t>
        </is>
      </c>
      <c r="O195" s="4" t="inlineStr">
        <is>
          <t>Unattempted</t>
        </is>
      </c>
    </row>
    <row r="196">
      <c r="A196" s="2" t="inlineStr">
        <is>
          <t>Interview Questions</t>
        </is>
      </c>
      <c r="B196" s="2" t="inlineStr">
        <is>
          <t>Java Interview Questions for Freshers</t>
        </is>
      </c>
      <c r="C196" s="2" t="inlineStr">
        <is>
          <t>Practice these 146 Java MCQs with detailed explanations and prepare yourself for fresher interviews in Java.</t>
        </is>
      </c>
      <c r="D196" s="2" t="inlineStr">
        <is>
          <t>Abstract classes and methods - Abstract classes and methods</t>
        </is>
      </c>
      <c r="E196" s="2" t="n">
        <v>77</v>
      </c>
      <c r="F196" s="2" t="inlineStr">
        <is>
          <t>Abstract Class Declaration</t>
        </is>
      </c>
      <c r="G196" s="2" t="inlineStr">
        <is>
          <t>JAVAMCQ81</t>
        </is>
      </c>
      <c r="H196" s="2" t="inlineStr"/>
      <c r="I196" s="2" t="inlineStr">
        <is>
          <t>Easy</t>
        </is>
      </c>
      <c r="J196" s="3">
        <f>HYPERLINK("https://www.codechef.com/problems/JAVAMCQ81", "https://www.codechef.com/problems/JAVAMCQ81")</f>
        <v/>
      </c>
      <c r="K196" s="2" t="inlineStr"/>
      <c r="L196" s="2" t="inlineStr"/>
      <c r="M196" s="2" t="inlineStr"/>
      <c r="N196" s="2" t="inlineStr">
        <is>
          <t>No</t>
        </is>
      </c>
      <c r="O196" s="2" t="inlineStr">
        <is>
          <t>Unattempted</t>
        </is>
      </c>
    </row>
    <row r="197">
      <c r="A197" s="4" t="inlineStr">
        <is>
          <t>Interview Questions</t>
        </is>
      </c>
      <c r="B197" s="4" t="inlineStr">
        <is>
          <t>Java Interview Questions for Freshers</t>
        </is>
      </c>
      <c r="C197" s="4" t="inlineStr">
        <is>
          <t>Practice these 146 Java MCQs with detailed explanations and prepare yourself for fresher interviews in Java.</t>
        </is>
      </c>
      <c r="D197" s="4" t="inlineStr">
        <is>
          <t>Abstract classes and methods - Abstract classes and methods</t>
        </is>
      </c>
      <c r="E197" s="4" t="n">
        <v>78</v>
      </c>
      <c r="F197" s="4" t="inlineStr">
        <is>
          <t>Abstract Method Syntax</t>
        </is>
      </c>
      <c r="G197" s="4" t="inlineStr">
        <is>
          <t>JAVAMCQ82</t>
        </is>
      </c>
      <c r="H197" s="4" t="inlineStr"/>
      <c r="I197" s="4" t="inlineStr">
        <is>
          <t>Easy</t>
        </is>
      </c>
      <c r="J197" s="5">
        <f>HYPERLINK("https://www.codechef.com/problems/JAVAMCQ82", "https://www.codechef.com/problems/JAVAMCQ82")</f>
        <v/>
      </c>
      <c r="K197" s="4" t="inlineStr"/>
      <c r="L197" s="4" t="inlineStr"/>
      <c r="M197" s="4" t="inlineStr"/>
      <c r="N197" s="4" t="inlineStr">
        <is>
          <t>No</t>
        </is>
      </c>
      <c r="O197" s="4" t="inlineStr">
        <is>
          <t>Unattempted</t>
        </is>
      </c>
    </row>
    <row r="198">
      <c r="A198" s="2" t="inlineStr">
        <is>
          <t>Interview Questions</t>
        </is>
      </c>
      <c r="B198" s="2" t="inlineStr">
        <is>
          <t>Java Interview Questions for Freshers</t>
        </is>
      </c>
      <c r="C198" s="2" t="inlineStr">
        <is>
          <t>Practice these 146 Java MCQs with detailed explanations and prepare yourself for fresher interviews in Java.</t>
        </is>
      </c>
      <c r="D198" s="2" t="inlineStr">
        <is>
          <t>Abstract classes and methods - Abstract classes and methods</t>
        </is>
      </c>
      <c r="E198" s="2" t="n">
        <v>79</v>
      </c>
      <c r="F198" s="2" t="inlineStr">
        <is>
          <t>Instantiating Abstract Classes</t>
        </is>
      </c>
      <c r="G198" s="2" t="inlineStr">
        <is>
          <t>JAVAMCQ83</t>
        </is>
      </c>
      <c r="H198" s="2" t="inlineStr"/>
      <c r="I198" s="2" t="inlineStr">
        <is>
          <t>Easy</t>
        </is>
      </c>
      <c r="J198" s="3">
        <f>HYPERLINK("https://www.codechef.com/problems/JAVAMCQ83", "https://www.codechef.com/problems/JAVAMCQ83")</f>
        <v/>
      </c>
      <c r="K198" s="2" t="inlineStr"/>
      <c r="L198" s="2" t="inlineStr"/>
      <c r="M198" s="2" t="inlineStr"/>
      <c r="N198" s="2" t="inlineStr">
        <is>
          <t>No</t>
        </is>
      </c>
      <c r="O198" s="2" t="inlineStr">
        <is>
          <t>Unattempted</t>
        </is>
      </c>
    </row>
    <row r="199">
      <c r="A199" s="4" t="inlineStr">
        <is>
          <t>Interview Questions</t>
        </is>
      </c>
      <c r="B199" s="4" t="inlineStr">
        <is>
          <t>Java Interview Questions for Freshers</t>
        </is>
      </c>
      <c r="C199" s="4" t="inlineStr">
        <is>
          <t>Practice these 146 Java MCQs with detailed explanations and prepare yourself for fresher interviews in Java.</t>
        </is>
      </c>
      <c r="D199" s="4" t="inlineStr">
        <is>
          <t>Abstract classes and methods - Abstract classes and methods</t>
        </is>
      </c>
      <c r="E199" s="4" t="n">
        <v>80</v>
      </c>
      <c r="F199" s="4" t="inlineStr">
        <is>
          <t>Abstract Class Inheritance</t>
        </is>
      </c>
      <c r="G199" s="4" t="inlineStr">
        <is>
          <t>JAVAMCQ84</t>
        </is>
      </c>
      <c r="H199" s="4" t="inlineStr"/>
      <c r="I199" s="4" t="inlineStr">
        <is>
          <t>Easy</t>
        </is>
      </c>
      <c r="J199" s="5">
        <f>HYPERLINK("https://www.codechef.com/problems/JAVAMCQ84", "https://www.codechef.com/problems/JAVAMCQ84")</f>
        <v/>
      </c>
      <c r="K199" s="4" t="inlineStr"/>
      <c r="L199" s="4" t="inlineStr"/>
      <c r="M199" s="4" t="inlineStr"/>
      <c r="N199" s="4" t="inlineStr">
        <is>
          <t>No</t>
        </is>
      </c>
      <c r="O199" s="4" t="inlineStr">
        <is>
          <t>Unattempted</t>
        </is>
      </c>
    </row>
    <row r="200">
      <c r="A200" s="2" t="inlineStr">
        <is>
          <t>Interview Questions</t>
        </is>
      </c>
      <c r="B200" s="2" t="inlineStr">
        <is>
          <t>Java Interview Questions for Freshers</t>
        </is>
      </c>
      <c r="C200" s="2" t="inlineStr">
        <is>
          <t>Practice these 146 Java MCQs with detailed explanations and prepare yourself for fresher interviews in Java.</t>
        </is>
      </c>
      <c r="D200" s="2" t="inlineStr">
        <is>
          <t>Abstract classes and methods - Abstract classes and methods</t>
        </is>
      </c>
      <c r="E200" s="2" t="n">
        <v>81</v>
      </c>
      <c r="F200" s="2" t="inlineStr">
        <is>
          <t>Abstract Class Constructors</t>
        </is>
      </c>
      <c r="G200" s="2" t="inlineStr">
        <is>
          <t>JAVAMCQ85</t>
        </is>
      </c>
      <c r="H200" s="2" t="inlineStr"/>
      <c r="I200" s="2" t="inlineStr">
        <is>
          <t>Easy</t>
        </is>
      </c>
      <c r="J200" s="3">
        <f>HYPERLINK("https://www.codechef.com/problems/JAVAMCQ85", "https://www.codechef.com/problems/JAVAMCQ85")</f>
        <v/>
      </c>
      <c r="K200" s="2" t="inlineStr"/>
      <c r="L200" s="2" t="inlineStr"/>
      <c r="M200" s="2" t="inlineStr"/>
      <c r="N200" s="2" t="inlineStr">
        <is>
          <t>No</t>
        </is>
      </c>
      <c r="O200" s="2" t="inlineStr">
        <is>
          <t>Unattempted</t>
        </is>
      </c>
    </row>
    <row r="201">
      <c r="A201" s="4" t="inlineStr">
        <is>
          <t>Interview Questions</t>
        </is>
      </c>
      <c r="B201" s="4" t="inlineStr">
        <is>
          <t>Java Interview Questions for Freshers</t>
        </is>
      </c>
      <c r="C201" s="4" t="inlineStr">
        <is>
          <t>Practice these 146 Java MCQs with detailed explanations and prepare yourself for fresher interviews in Java.</t>
        </is>
      </c>
      <c r="D201" s="4" t="inlineStr">
        <is>
          <t>Abstract classes and methods - Abstract classes and methods</t>
        </is>
      </c>
      <c r="E201" s="4" t="n">
        <v>82</v>
      </c>
      <c r="F201" s="4" t="inlineStr">
        <is>
          <t>Abstract Class vs Interface</t>
        </is>
      </c>
      <c r="G201" s="4" t="inlineStr">
        <is>
          <t>JAVAMCQ86</t>
        </is>
      </c>
      <c r="H201" s="4" t="inlineStr"/>
      <c r="I201" s="4" t="inlineStr">
        <is>
          <t>Easy</t>
        </is>
      </c>
      <c r="J201" s="5">
        <f>HYPERLINK("https://www.codechef.com/problems/JAVAMCQ86", "https://www.codechef.com/problems/JAVAMCQ86")</f>
        <v/>
      </c>
      <c r="K201" s="4" t="inlineStr"/>
      <c r="L201" s="4" t="inlineStr"/>
      <c r="M201" s="4" t="inlineStr"/>
      <c r="N201" s="4" t="inlineStr">
        <is>
          <t>No</t>
        </is>
      </c>
      <c r="O201" s="4" t="inlineStr">
        <is>
          <t>Unattempted</t>
        </is>
      </c>
    </row>
    <row r="202">
      <c r="A202" s="2" t="inlineStr">
        <is>
          <t>Interview Questions</t>
        </is>
      </c>
      <c r="B202" s="2" t="inlineStr">
        <is>
          <t>Java Interview Questions for Freshers</t>
        </is>
      </c>
      <c r="C202" s="2" t="inlineStr">
        <is>
          <t>Practice these 146 Java MCQs with detailed explanations and prepare yourself for fresher interviews in Java.</t>
        </is>
      </c>
      <c r="D202" s="2" t="inlineStr">
        <is>
          <t>Abstract classes and methods - Abstract classes and methods</t>
        </is>
      </c>
      <c r="E202" s="2" t="n">
        <v>83</v>
      </c>
      <c r="F202" s="2" t="inlineStr">
        <is>
          <t>Abstract Method Overriding</t>
        </is>
      </c>
      <c r="G202" s="2" t="inlineStr">
        <is>
          <t>JAVAMCQ87</t>
        </is>
      </c>
      <c r="H202" s="2" t="inlineStr"/>
      <c r="I202" s="2" t="inlineStr">
        <is>
          <t>Medium</t>
        </is>
      </c>
      <c r="J202" s="3">
        <f>HYPERLINK("https://www.codechef.com/problems/JAVAMCQ87", "https://www.codechef.com/problems/JAVAMCQ87")</f>
        <v/>
      </c>
      <c r="K202" s="2" t="inlineStr"/>
      <c r="L202" s="2" t="inlineStr"/>
      <c r="M202" s="2" t="inlineStr"/>
      <c r="N202" s="2" t="inlineStr">
        <is>
          <t>No</t>
        </is>
      </c>
      <c r="O202" s="2" t="inlineStr">
        <is>
          <t>Unattempted</t>
        </is>
      </c>
    </row>
    <row r="203">
      <c r="A203" s="4" t="inlineStr">
        <is>
          <t>Interview Questions</t>
        </is>
      </c>
      <c r="B203" s="4" t="inlineStr">
        <is>
          <t>Java Interview Questions for Freshers</t>
        </is>
      </c>
      <c r="C203" s="4" t="inlineStr">
        <is>
          <t>Practice these 146 Java MCQs with detailed explanations and prepare yourself for fresher interviews in Java.</t>
        </is>
      </c>
      <c r="D203" s="4" t="inlineStr">
        <is>
          <t>Abstract classes and methods - Abstract classes and methods</t>
        </is>
      </c>
      <c r="E203" s="4" t="n">
        <v>84</v>
      </c>
      <c r="F203" s="4" t="inlineStr">
        <is>
          <t>Abstract Class Members</t>
        </is>
      </c>
      <c r="G203" s="4" t="inlineStr">
        <is>
          <t>JAVAMCQ88</t>
        </is>
      </c>
      <c r="H203" s="4" t="inlineStr"/>
      <c r="I203" s="4" t="inlineStr">
        <is>
          <t>Easy</t>
        </is>
      </c>
      <c r="J203" s="5">
        <f>HYPERLINK("https://www.codechef.com/problems/JAVAMCQ88", "https://www.codechef.com/problems/JAVAMCQ88")</f>
        <v/>
      </c>
      <c r="K203" s="4" t="inlineStr"/>
      <c r="L203" s="4" t="inlineStr"/>
      <c r="M203" s="4" t="inlineStr"/>
      <c r="N203" s="4" t="inlineStr">
        <is>
          <t>No</t>
        </is>
      </c>
      <c r="O203" s="4" t="inlineStr">
        <is>
          <t>Unattempted</t>
        </is>
      </c>
    </row>
    <row r="204">
      <c r="A204" s="2" t="inlineStr">
        <is>
          <t>Interview Questions</t>
        </is>
      </c>
      <c r="B204" s="2" t="inlineStr">
        <is>
          <t>Java Interview Questions for Freshers</t>
        </is>
      </c>
      <c r="C204" s="2" t="inlineStr">
        <is>
          <t>Practice these 146 Java MCQs with detailed explanations and prepare yourself for fresher interviews in Java.</t>
        </is>
      </c>
      <c r="D204" s="2" t="inlineStr">
        <is>
          <t>Abstract classes and methods - Abstract classes and methods</t>
        </is>
      </c>
      <c r="E204" s="2" t="n">
        <v>85</v>
      </c>
      <c r="F204" s="2" t="inlineStr">
        <is>
          <t>Final Methods in Abstract Classes</t>
        </is>
      </c>
      <c r="G204" s="2" t="inlineStr">
        <is>
          <t>JAVAMCQ89</t>
        </is>
      </c>
      <c r="H204" s="2" t="inlineStr"/>
      <c r="I204" s="2" t="inlineStr">
        <is>
          <t>Easy</t>
        </is>
      </c>
      <c r="J204" s="3">
        <f>HYPERLINK("https://www.codechef.com/problems/JAVAMCQ89", "https://www.codechef.com/problems/JAVAMCQ89")</f>
        <v/>
      </c>
      <c r="K204" s="2" t="inlineStr"/>
      <c r="L204" s="2" t="inlineStr"/>
      <c r="M204" s="2" t="inlineStr"/>
      <c r="N204" s="2" t="inlineStr">
        <is>
          <t>No</t>
        </is>
      </c>
      <c r="O204" s="2" t="inlineStr">
        <is>
          <t>Unattempted</t>
        </is>
      </c>
    </row>
    <row r="205">
      <c r="A205" s="4" t="inlineStr">
        <is>
          <t>Interview Questions</t>
        </is>
      </c>
      <c r="B205" s="4" t="inlineStr">
        <is>
          <t>Java Interview Questions for Freshers</t>
        </is>
      </c>
      <c r="C205" s="4" t="inlineStr">
        <is>
          <t>Practice these 146 Java MCQs with detailed explanations and prepare yourself for fresher interviews in Java.</t>
        </is>
      </c>
      <c r="D205" s="4" t="inlineStr">
        <is>
          <t>Abstract classes and methods - Abstract classes and methods</t>
        </is>
      </c>
      <c r="E205" s="4" t="n">
        <v>86</v>
      </c>
      <c r="F205" s="4" t="inlineStr">
        <is>
          <t>Abstract Class Inheritance Hierarchy</t>
        </is>
      </c>
      <c r="G205" s="4" t="inlineStr">
        <is>
          <t>JAVAMCQ90</t>
        </is>
      </c>
      <c r="H205" s="4" t="inlineStr"/>
      <c r="I205" s="4" t="inlineStr">
        <is>
          <t>Medium</t>
        </is>
      </c>
      <c r="J205" s="5">
        <f>HYPERLINK("https://www.codechef.com/problems/JAVAMCQ90", "https://www.codechef.com/problems/JAVAMCQ90")</f>
        <v/>
      </c>
      <c r="K205" s="4" t="inlineStr"/>
      <c r="L205" s="4" t="inlineStr"/>
      <c r="M205" s="4" t="inlineStr"/>
      <c r="N205" s="4" t="inlineStr">
        <is>
          <t>No</t>
        </is>
      </c>
      <c r="O205" s="4" t="inlineStr">
        <is>
          <t>Unattempted</t>
        </is>
      </c>
    </row>
    <row r="206">
      <c r="A206" s="2" t="inlineStr">
        <is>
          <t>Interview Questions</t>
        </is>
      </c>
      <c r="B206" s="2" t="inlineStr">
        <is>
          <t>Java Interview Questions for Freshers</t>
        </is>
      </c>
      <c r="C206" s="2" t="inlineStr">
        <is>
          <t>Practice these 146 Java MCQs with detailed explanations and prepare yourself for fresher interviews in Java.</t>
        </is>
      </c>
      <c r="D206" s="2" t="inlineStr">
        <is>
          <t>Java I/O and file handling - Java I/O and file handling</t>
        </is>
      </c>
      <c r="E206" s="2" t="n">
        <v>87</v>
      </c>
      <c r="F206" s="2" t="inlineStr">
        <is>
          <t>File Class in Java</t>
        </is>
      </c>
      <c r="G206" s="2" t="inlineStr">
        <is>
          <t>JAVAMCQ91</t>
        </is>
      </c>
      <c r="H206" s="2" t="inlineStr"/>
      <c r="I206" s="2" t="inlineStr">
        <is>
          <t>Easy</t>
        </is>
      </c>
      <c r="J206" s="3">
        <f>HYPERLINK("https://www.codechef.com/problems/JAVAMCQ91", "https://www.codechef.com/problems/JAVAMCQ91")</f>
        <v/>
      </c>
      <c r="K206" s="2" t="inlineStr"/>
      <c r="L206" s="2" t="inlineStr"/>
      <c r="M206" s="2" t="inlineStr"/>
      <c r="N206" s="2" t="inlineStr">
        <is>
          <t>No</t>
        </is>
      </c>
      <c r="O206" s="2" t="inlineStr">
        <is>
          <t>Unattempted</t>
        </is>
      </c>
    </row>
    <row r="207">
      <c r="A207" s="4" t="inlineStr">
        <is>
          <t>Interview Questions</t>
        </is>
      </c>
      <c r="B207" s="4" t="inlineStr">
        <is>
          <t>Java Interview Questions for Freshers</t>
        </is>
      </c>
      <c r="C207" s="4" t="inlineStr">
        <is>
          <t>Practice these 146 Java MCQs with detailed explanations and prepare yourself for fresher interviews in Java.</t>
        </is>
      </c>
      <c r="D207" s="4" t="inlineStr">
        <is>
          <t>Java I/O and file handling - Java I/O and file handling</t>
        </is>
      </c>
      <c r="E207" s="4" t="n">
        <v>88</v>
      </c>
      <c r="F207" s="4" t="inlineStr">
        <is>
          <t>FileInputStream vs FileReader</t>
        </is>
      </c>
      <c r="G207" s="4" t="inlineStr">
        <is>
          <t>JAVAMCQ92</t>
        </is>
      </c>
      <c r="H207" s="4" t="inlineStr"/>
      <c r="I207" s="4" t="inlineStr">
        <is>
          <t>Easy</t>
        </is>
      </c>
      <c r="J207" s="5">
        <f>HYPERLINK("https://www.codechef.com/problems/JAVAMCQ92", "https://www.codechef.com/problems/JAVAMCQ92")</f>
        <v/>
      </c>
      <c r="K207" s="4" t="inlineStr"/>
      <c r="L207" s="4" t="inlineStr"/>
      <c r="M207" s="4" t="inlineStr"/>
      <c r="N207" s="4" t="inlineStr">
        <is>
          <t>No</t>
        </is>
      </c>
      <c r="O207" s="4" t="inlineStr">
        <is>
          <t>Unattempted</t>
        </is>
      </c>
    </row>
    <row r="208">
      <c r="A208" s="2" t="inlineStr">
        <is>
          <t>Interview Questions</t>
        </is>
      </c>
      <c r="B208" s="2" t="inlineStr">
        <is>
          <t>Java Interview Questions for Freshers</t>
        </is>
      </c>
      <c r="C208" s="2" t="inlineStr">
        <is>
          <t>Practice these 146 Java MCQs with detailed explanations and prepare yourself for fresher interviews in Java.</t>
        </is>
      </c>
      <c r="D208" s="2" t="inlineStr">
        <is>
          <t>Java I/O and file handling - Java I/O and file handling</t>
        </is>
      </c>
      <c r="E208" s="2" t="n">
        <v>89</v>
      </c>
      <c r="F208" s="2" t="inlineStr">
        <is>
          <t>Buffered I/O Operations</t>
        </is>
      </c>
      <c r="G208" s="2" t="inlineStr">
        <is>
          <t>JAVAMCQ93</t>
        </is>
      </c>
      <c r="H208" s="2" t="inlineStr"/>
      <c r="I208" s="2" t="inlineStr">
        <is>
          <t>Easy</t>
        </is>
      </c>
      <c r="J208" s="3">
        <f>HYPERLINK("https://www.codechef.com/problems/JAVAMCQ93", "https://www.codechef.com/problems/JAVAMCQ93")</f>
        <v/>
      </c>
      <c r="K208" s="2" t="inlineStr"/>
      <c r="L208" s="2" t="inlineStr"/>
      <c r="M208" s="2" t="inlineStr"/>
      <c r="N208" s="2" t="inlineStr">
        <is>
          <t>No</t>
        </is>
      </c>
      <c r="O208" s="2" t="inlineStr">
        <is>
          <t>Unattempted</t>
        </is>
      </c>
    </row>
    <row r="209">
      <c r="A209" s="4" t="inlineStr">
        <is>
          <t>Interview Questions</t>
        </is>
      </c>
      <c r="B209" s="4" t="inlineStr">
        <is>
          <t>Java Interview Questions for Freshers</t>
        </is>
      </c>
      <c r="C209" s="4" t="inlineStr">
        <is>
          <t>Practice these 146 Java MCQs with detailed explanations and prepare yourself for fresher interviews in Java.</t>
        </is>
      </c>
      <c r="D209" s="4" t="inlineStr">
        <is>
          <t>Java I/O and file handling - Java I/O and file handling</t>
        </is>
      </c>
      <c r="E209" s="4" t="n">
        <v>90</v>
      </c>
      <c r="F209" s="4" t="inlineStr">
        <is>
          <t>Closing Resources</t>
        </is>
      </c>
      <c r="G209" s="4" t="inlineStr">
        <is>
          <t>JAVAMCQ94</t>
        </is>
      </c>
      <c r="H209" s="4" t="inlineStr"/>
      <c r="I209" s="4" t="inlineStr">
        <is>
          <t>Easy</t>
        </is>
      </c>
      <c r="J209" s="5">
        <f>HYPERLINK("https://www.codechef.com/problems/JAVAMCQ94", "https://www.codechef.com/problems/JAVAMCQ94")</f>
        <v/>
      </c>
      <c r="K209" s="4" t="inlineStr"/>
      <c r="L209" s="4" t="inlineStr"/>
      <c r="M209" s="4" t="inlineStr"/>
      <c r="N209" s="4" t="inlineStr">
        <is>
          <t>No</t>
        </is>
      </c>
      <c r="O209" s="4" t="inlineStr">
        <is>
          <t>Unattempted</t>
        </is>
      </c>
    </row>
    <row r="210">
      <c r="A210" s="2" t="inlineStr">
        <is>
          <t>Interview Questions</t>
        </is>
      </c>
      <c r="B210" s="2" t="inlineStr">
        <is>
          <t>Java Interview Questions for Freshers</t>
        </is>
      </c>
      <c r="C210" s="2" t="inlineStr">
        <is>
          <t>Practice these 146 Java MCQs with detailed explanations and prepare yourself for fresher interviews in Java.</t>
        </is>
      </c>
      <c r="D210" s="2" t="inlineStr">
        <is>
          <t>Java I/O and file handling - Java I/O and file handling</t>
        </is>
      </c>
      <c r="E210" s="2" t="n">
        <v>91</v>
      </c>
      <c r="F210" s="2" t="inlineStr">
        <is>
          <t>File Handling Exceptions</t>
        </is>
      </c>
      <c r="G210" s="2" t="inlineStr">
        <is>
          <t>JAVAMCQ95</t>
        </is>
      </c>
      <c r="H210" s="2" t="inlineStr"/>
      <c r="I210" s="2" t="inlineStr">
        <is>
          <t>Easy</t>
        </is>
      </c>
      <c r="J210" s="3">
        <f>HYPERLINK("https://www.codechef.com/problems/JAVAMCQ95", "https://www.codechef.com/problems/JAVAMCQ95")</f>
        <v/>
      </c>
      <c r="K210" s="2" t="inlineStr"/>
      <c r="L210" s="2" t="inlineStr"/>
      <c r="M210" s="2" t="inlineStr"/>
      <c r="N210" s="2" t="inlineStr">
        <is>
          <t>No</t>
        </is>
      </c>
      <c r="O210" s="2" t="inlineStr">
        <is>
          <t>Unattempted</t>
        </is>
      </c>
    </row>
    <row r="211">
      <c r="A211" s="4" t="inlineStr">
        <is>
          <t>Interview Questions</t>
        </is>
      </c>
      <c r="B211" s="4" t="inlineStr">
        <is>
          <t>Java Interview Questions for Freshers</t>
        </is>
      </c>
      <c r="C211" s="4" t="inlineStr">
        <is>
          <t>Practice these 146 Java MCQs with detailed explanations and prepare yourself for fresher interviews in Java.</t>
        </is>
      </c>
      <c r="D211" s="4" t="inlineStr">
        <is>
          <t>Java I/O and file handling - Java I/O and file handling</t>
        </is>
      </c>
      <c r="E211" s="4" t="n">
        <v>92</v>
      </c>
      <c r="F211" s="4" t="inlineStr">
        <is>
          <t>NIO vs IO</t>
        </is>
      </c>
      <c r="G211" s="4" t="inlineStr">
        <is>
          <t>JAVAMCQ96</t>
        </is>
      </c>
      <c r="H211" s="4" t="inlineStr"/>
      <c r="I211" s="4" t="inlineStr">
        <is>
          <t>Medium</t>
        </is>
      </c>
      <c r="J211" s="5">
        <f>HYPERLINK("https://www.codechef.com/problems/JAVAMCQ96", "https://www.codechef.com/problems/JAVAMCQ96")</f>
        <v/>
      </c>
      <c r="K211" s="4" t="inlineStr"/>
      <c r="L211" s="4" t="inlineStr"/>
      <c r="M211" s="4" t="inlineStr"/>
      <c r="N211" s="4" t="inlineStr">
        <is>
          <t>No</t>
        </is>
      </c>
      <c r="O211" s="4" t="inlineStr">
        <is>
          <t>Unattempted</t>
        </is>
      </c>
    </row>
    <row r="212">
      <c r="A212" s="2" t="inlineStr">
        <is>
          <t>Interview Questions</t>
        </is>
      </c>
      <c r="B212" s="2" t="inlineStr">
        <is>
          <t>Java Interview Questions for Freshers</t>
        </is>
      </c>
      <c r="C212" s="2" t="inlineStr">
        <is>
          <t>Practice these 146 Java MCQs with detailed explanations and prepare yourself for fresher interviews in Java.</t>
        </is>
      </c>
      <c r="D212" s="2" t="inlineStr">
        <is>
          <t>Java I/O and file handling - Java I/O and file handling</t>
        </is>
      </c>
      <c r="E212" s="2" t="n">
        <v>93</v>
      </c>
      <c r="F212" s="2" t="inlineStr">
        <is>
          <t>RandomAccessFile Usage</t>
        </is>
      </c>
      <c r="G212" s="2" t="inlineStr">
        <is>
          <t>JAVAMCQ97</t>
        </is>
      </c>
      <c r="H212" s="2" t="inlineStr"/>
      <c r="I212" s="2" t="inlineStr">
        <is>
          <t>Easy</t>
        </is>
      </c>
      <c r="J212" s="3">
        <f>HYPERLINK("https://www.codechef.com/problems/JAVAMCQ97", "https://www.codechef.com/problems/JAVAMCQ97")</f>
        <v/>
      </c>
      <c r="K212" s="2" t="inlineStr"/>
      <c r="L212" s="2" t="inlineStr"/>
      <c r="M212" s="2" t="inlineStr"/>
      <c r="N212" s="2" t="inlineStr">
        <is>
          <t>No</t>
        </is>
      </c>
      <c r="O212" s="2" t="inlineStr">
        <is>
          <t>Unattempted</t>
        </is>
      </c>
    </row>
    <row r="213">
      <c r="A213" s="4" t="inlineStr">
        <is>
          <t>Interview Questions</t>
        </is>
      </c>
      <c r="B213" s="4" t="inlineStr">
        <is>
          <t>Java Interview Questions for Freshers</t>
        </is>
      </c>
      <c r="C213" s="4" t="inlineStr">
        <is>
          <t>Practice these 146 Java MCQs with detailed explanations and prepare yourself for fresher interviews in Java.</t>
        </is>
      </c>
      <c r="D213" s="4" t="inlineStr">
        <is>
          <t>Java I/O and file handling - Java I/O and file handling</t>
        </is>
      </c>
      <c r="E213" s="4" t="n">
        <v>94</v>
      </c>
      <c r="F213" s="4" t="inlineStr">
        <is>
          <t>Serialization in Java</t>
        </is>
      </c>
      <c r="G213" s="4" t="inlineStr">
        <is>
          <t>JAVAMCQ98</t>
        </is>
      </c>
      <c r="H213" s="4" t="inlineStr"/>
      <c r="I213" s="4" t="inlineStr">
        <is>
          <t>Easy</t>
        </is>
      </c>
      <c r="J213" s="5">
        <f>HYPERLINK("https://www.codechef.com/problems/JAVAMCQ98", "https://www.codechef.com/problems/JAVAMCQ98")</f>
        <v/>
      </c>
      <c r="K213" s="4" t="inlineStr"/>
      <c r="L213" s="4" t="inlineStr"/>
      <c r="M213" s="4" t="inlineStr"/>
      <c r="N213" s="4" t="inlineStr">
        <is>
          <t>No</t>
        </is>
      </c>
      <c r="O213" s="4" t="inlineStr">
        <is>
          <t>Unattempted</t>
        </is>
      </c>
    </row>
    <row r="214">
      <c r="A214" s="2" t="inlineStr">
        <is>
          <t>Interview Questions</t>
        </is>
      </c>
      <c r="B214" s="2" t="inlineStr">
        <is>
          <t>Java Interview Questions for Freshers</t>
        </is>
      </c>
      <c r="C214" s="2" t="inlineStr">
        <is>
          <t>Practice these 146 Java MCQs with detailed explanations and prepare yourself for fresher interviews in Java.</t>
        </is>
      </c>
      <c r="D214" s="2" t="inlineStr">
        <is>
          <t>Java I/O and file handling - Java I/O and file handling</t>
        </is>
      </c>
      <c r="E214" s="2" t="n">
        <v>95</v>
      </c>
      <c r="F214" s="2" t="inlineStr">
        <is>
          <t>File Permissions in Java</t>
        </is>
      </c>
      <c r="G214" s="2" t="inlineStr">
        <is>
          <t>JAVAMCQ99</t>
        </is>
      </c>
      <c r="H214" s="2" t="inlineStr"/>
      <c r="I214" s="2" t="inlineStr">
        <is>
          <t>Easy</t>
        </is>
      </c>
      <c r="J214" s="3">
        <f>HYPERLINK("https://www.codechef.com/problems/JAVAMCQ99", "https://www.codechef.com/problems/JAVAMCQ99")</f>
        <v/>
      </c>
      <c r="K214" s="2" t="inlineStr"/>
      <c r="L214" s="2" t="inlineStr"/>
      <c r="M214" s="2" t="inlineStr"/>
      <c r="N214" s="2" t="inlineStr">
        <is>
          <t>No</t>
        </is>
      </c>
      <c r="O214" s="2" t="inlineStr">
        <is>
          <t>Unattempted</t>
        </is>
      </c>
    </row>
    <row r="215">
      <c r="A215" s="4" t="inlineStr">
        <is>
          <t>Interview Questions</t>
        </is>
      </c>
      <c r="B215" s="4" t="inlineStr">
        <is>
          <t>Java Interview Questions for Freshers</t>
        </is>
      </c>
      <c r="C215" s="4" t="inlineStr">
        <is>
          <t>Practice these 146 Java MCQs with detailed explanations and prepare yourself for fresher interviews in Java.</t>
        </is>
      </c>
      <c r="D215" s="4" t="inlineStr">
        <is>
          <t>Java I/O and file handling - Java I/O and file handling</t>
        </is>
      </c>
      <c r="E215" s="4" t="n">
        <v>96</v>
      </c>
      <c r="F215" s="4" t="inlineStr">
        <is>
          <t>Character Encoding in Java I/O</t>
        </is>
      </c>
      <c r="G215" s="4" t="inlineStr">
        <is>
          <t>JAVAMCQ100</t>
        </is>
      </c>
      <c r="H215" s="4" t="inlineStr"/>
      <c r="I215" s="4" t="inlineStr">
        <is>
          <t>Easy</t>
        </is>
      </c>
      <c r="J215" s="5">
        <f>HYPERLINK("https://www.codechef.com/problems/JAVAMCQ100", "https://www.codechef.com/problems/JAVAMCQ100")</f>
        <v/>
      </c>
      <c r="K215" s="4" t="inlineStr"/>
      <c r="L215" s="4" t="inlineStr"/>
      <c r="M215" s="4" t="inlineStr"/>
      <c r="N215" s="4" t="inlineStr">
        <is>
          <t>No</t>
        </is>
      </c>
      <c r="O215" s="4" t="inlineStr">
        <is>
          <t>Unattempted</t>
        </is>
      </c>
    </row>
    <row r="216">
      <c r="A216" s="2" t="inlineStr">
        <is>
          <t>Interview Questions</t>
        </is>
      </c>
      <c r="B216" s="2" t="inlineStr">
        <is>
          <t>Java Interview Questions for Freshers</t>
        </is>
      </c>
      <c r="C216" s="2" t="inlineStr">
        <is>
          <t>Practice these 146 Java MCQs with detailed explanations and prepare yourself for fresher interviews in Java.</t>
        </is>
      </c>
      <c r="D216" s="2" t="inlineStr">
        <is>
          <t>Generics - Generics</t>
        </is>
      </c>
      <c r="E216" s="2" t="n">
        <v>97</v>
      </c>
      <c r="F216" s="2" t="inlineStr">
        <is>
          <t>Generic Type Declaration</t>
        </is>
      </c>
      <c r="G216" s="2" t="inlineStr">
        <is>
          <t>JAVAMCQ101</t>
        </is>
      </c>
      <c r="H216" s="2" t="inlineStr"/>
      <c r="I216" s="2" t="inlineStr">
        <is>
          <t>Easy</t>
        </is>
      </c>
      <c r="J216" s="3">
        <f>HYPERLINK("https://www.codechef.com/problems/JAVAMCQ101", "https://www.codechef.com/problems/JAVAMCQ101")</f>
        <v/>
      </c>
      <c r="K216" s="2" t="inlineStr"/>
      <c r="L216" s="2" t="inlineStr"/>
      <c r="M216" s="2" t="inlineStr"/>
      <c r="N216" s="2" t="inlineStr">
        <is>
          <t>No</t>
        </is>
      </c>
      <c r="O216" s="2" t="inlineStr">
        <is>
          <t>Unattempted</t>
        </is>
      </c>
    </row>
    <row r="217">
      <c r="A217" s="4" t="inlineStr">
        <is>
          <t>Interview Questions</t>
        </is>
      </c>
      <c r="B217" s="4" t="inlineStr">
        <is>
          <t>Java Interview Questions for Freshers</t>
        </is>
      </c>
      <c r="C217" s="4" t="inlineStr">
        <is>
          <t>Practice these 146 Java MCQs with detailed explanations and prepare yourself for fresher interviews in Java.</t>
        </is>
      </c>
      <c r="D217" s="4" t="inlineStr">
        <is>
          <t>Generics - Generics</t>
        </is>
      </c>
      <c r="E217" s="4" t="n">
        <v>98</v>
      </c>
      <c r="F217" s="4" t="inlineStr">
        <is>
          <t>Multiple Type Parameters</t>
        </is>
      </c>
      <c r="G217" s="4" t="inlineStr">
        <is>
          <t>JAVAMCQ102</t>
        </is>
      </c>
      <c r="H217" s="4" t="inlineStr"/>
      <c r="I217" s="4" t="inlineStr">
        <is>
          <t>Easy</t>
        </is>
      </c>
      <c r="J217" s="5">
        <f>HYPERLINK("https://www.codechef.com/problems/JAVAMCQ102", "https://www.codechef.com/problems/JAVAMCQ102")</f>
        <v/>
      </c>
      <c r="K217" s="4" t="inlineStr"/>
      <c r="L217" s="4" t="inlineStr"/>
      <c r="M217" s="4" t="inlineStr"/>
      <c r="N217" s="4" t="inlineStr">
        <is>
          <t>No</t>
        </is>
      </c>
      <c r="O217" s="4" t="inlineStr">
        <is>
          <t>Unattempted</t>
        </is>
      </c>
    </row>
    <row r="218">
      <c r="A218" s="2" t="inlineStr">
        <is>
          <t>Interview Questions</t>
        </is>
      </c>
      <c r="B218" s="2" t="inlineStr">
        <is>
          <t>Java Interview Questions for Freshers</t>
        </is>
      </c>
      <c r="C218" s="2" t="inlineStr">
        <is>
          <t>Practice these 146 Java MCQs with detailed explanations and prepare yourself for fresher interviews in Java.</t>
        </is>
      </c>
      <c r="D218" s="2" t="inlineStr">
        <is>
          <t>Generics - Generics</t>
        </is>
      </c>
      <c r="E218" s="2" t="n">
        <v>99</v>
      </c>
      <c r="F218" s="2" t="inlineStr">
        <is>
          <t>Type Erasure</t>
        </is>
      </c>
      <c r="G218" s="2" t="inlineStr">
        <is>
          <t>JAVAMCQ103</t>
        </is>
      </c>
      <c r="H218" s="2" t="inlineStr"/>
      <c r="I218" s="2" t="inlineStr">
        <is>
          <t>Medium</t>
        </is>
      </c>
      <c r="J218" s="3">
        <f>HYPERLINK("https://www.codechef.com/problems/JAVAMCQ103", "https://www.codechef.com/problems/JAVAMCQ103")</f>
        <v/>
      </c>
      <c r="K218" s="2" t="inlineStr"/>
      <c r="L218" s="2" t="inlineStr"/>
      <c r="M218" s="2" t="inlineStr"/>
      <c r="N218" s="2" t="inlineStr">
        <is>
          <t>No</t>
        </is>
      </c>
      <c r="O218" s="2" t="inlineStr">
        <is>
          <t>Unattempted</t>
        </is>
      </c>
    </row>
    <row r="219">
      <c r="A219" s="4" t="inlineStr">
        <is>
          <t>Interview Questions</t>
        </is>
      </c>
      <c r="B219" s="4" t="inlineStr">
        <is>
          <t>Java Interview Questions for Freshers</t>
        </is>
      </c>
      <c r="C219" s="4" t="inlineStr">
        <is>
          <t>Practice these 146 Java MCQs with detailed explanations and prepare yourself for fresher interviews in Java.</t>
        </is>
      </c>
      <c r="D219" s="4" t="inlineStr">
        <is>
          <t>Generics - Generics</t>
        </is>
      </c>
      <c r="E219" s="4" t="n">
        <v>100</v>
      </c>
      <c r="F219" s="4" t="inlineStr">
        <is>
          <t>Wildcard in Generics</t>
        </is>
      </c>
      <c r="G219" s="4" t="inlineStr">
        <is>
          <t>JAVAMCQ104</t>
        </is>
      </c>
      <c r="H219" s="4" t="inlineStr"/>
      <c r="I219" s="4" t="inlineStr">
        <is>
          <t>Medium</t>
        </is>
      </c>
      <c r="J219" s="5">
        <f>HYPERLINK("https://www.codechef.com/problems/JAVAMCQ104", "https://www.codechef.com/problems/JAVAMCQ104")</f>
        <v/>
      </c>
      <c r="K219" s="4" t="inlineStr"/>
      <c r="L219" s="4" t="inlineStr"/>
      <c r="M219" s="4" t="inlineStr"/>
      <c r="N219" s="4" t="inlineStr">
        <is>
          <t>No</t>
        </is>
      </c>
      <c r="O219" s="4" t="inlineStr">
        <is>
          <t>Unattempted</t>
        </is>
      </c>
    </row>
    <row r="220">
      <c r="A220" s="2" t="inlineStr">
        <is>
          <t>Interview Questions</t>
        </is>
      </c>
      <c r="B220" s="2" t="inlineStr">
        <is>
          <t>Java Interview Questions for Freshers</t>
        </is>
      </c>
      <c r="C220" s="2" t="inlineStr">
        <is>
          <t>Practice these 146 Java MCQs with detailed explanations and prepare yourself for fresher interviews in Java.</t>
        </is>
      </c>
      <c r="D220" s="2" t="inlineStr">
        <is>
          <t>Generics - Generics</t>
        </is>
      </c>
      <c r="E220" s="2" t="n">
        <v>101</v>
      </c>
      <c r="F220" s="2" t="inlineStr">
        <is>
          <t>Generic Methods</t>
        </is>
      </c>
      <c r="G220" s="2" t="inlineStr">
        <is>
          <t>JAVAMCQ105</t>
        </is>
      </c>
      <c r="H220" s="2" t="inlineStr"/>
      <c r="I220" s="2" t="inlineStr">
        <is>
          <t>Easy</t>
        </is>
      </c>
      <c r="J220" s="3">
        <f>HYPERLINK("https://www.codechef.com/problems/JAVAMCQ105", "https://www.codechef.com/problems/JAVAMCQ105")</f>
        <v/>
      </c>
      <c r="K220" s="2" t="inlineStr"/>
      <c r="L220" s="2" t="inlineStr"/>
      <c r="M220" s="2" t="inlineStr"/>
      <c r="N220" s="2" t="inlineStr">
        <is>
          <t>No</t>
        </is>
      </c>
      <c r="O220" s="2" t="inlineStr">
        <is>
          <t>Unattempted</t>
        </is>
      </c>
    </row>
    <row r="221">
      <c r="A221" s="4" t="inlineStr">
        <is>
          <t>Interview Questions</t>
        </is>
      </c>
      <c r="B221" s="4" t="inlineStr">
        <is>
          <t>Java Interview Questions for Freshers</t>
        </is>
      </c>
      <c r="C221" s="4" t="inlineStr">
        <is>
          <t>Practice these 146 Java MCQs with detailed explanations and prepare yourself for fresher interviews in Java.</t>
        </is>
      </c>
      <c r="D221" s="4" t="inlineStr">
        <is>
          <t>Generics - Generics</t>
        </is>
      </c>
      <c r="E221" s="4" t="n">
        <v>102</v>
      </c>
      <c r="F221" s="4" t="inlineStr">
        <is>
          <t>Type Inference</t>
        </is>
      </c>
      <c r="G221" s="4" t="inlineStr">
        <is>
          <t>JAVAMCQ106</t>
        </is>
      </c>
      <c r="H221" s="4" t="inlineStr"/>
      <c r="I221" s="4" t="inlineStr">
        <is>
          <t>Easy</t>
        </is>
      </c>
      <c r="J221" s="5">
        <f>HYPERLINK("https://www.codechef.com/problems/JAVAMCQ106", "https://www.codechef.com/problems/JAVAMCQ106")</f>
        <v/>
      </c>
      <c r="K221" s="4" t="inlineStr"/>
      <c r="L221" s="4" t="inlineStr"/>
      <c r="M221" s="4" t="inlineStr"/>
      <c r="N221" s="4" t="inlineStr">
        <is>
          <t>No</t>
        </is>
      </c>
      <c r="O221" s="4" t="inlineStr">
        <is>
          <t>Unattempted</t>
        </is>
      </c>
    </row>
    <row r="222">
      <c r="A222" s="2" t="inlineStr">
        <is>
          <t>Interview Questions</t>
        </is>
      </c>
      <c r="B222" s="2" t="inlineStr">
        <is>
          <t>Java Interview Questions for Freshers</t>
        </is>
      </c>
      <c r="C222" s="2" t="inlineStr">
        <is>
          <t>Practice these 146 Java MCQs with detailed explanations and prepare yourself for fresher interviews in Java.</t>
        </is>
      </c>
      <c r="D222" s="2" t="inlineStr">
        <is>
          <t>Generics - Generics</t>
        </is>
      </c>
      <c r="E222" s="2" t="n">
        <v>103</v>
      </c>
      <c r="F222" s="2" t="inlineStr">
        <is>
          <t>Bounded Type Parameters</t>
        </is>
      </c>
      <c r="G222" s="2" t="inlineStr">
        <is>
          <t>JAVAMCQ107</t>
        </is>
      </c>
      <c r="H222" s="2" t="inlineStr"/>
      <c r="I222" s="2" t="inlineStr">
        <is>
          <t>Medium</t>
        </is>
      </c>
      <c r="J222" s="3">
        <f>HYPERLINK("https://www.codechef.com/problems/JAVAMCQ107", "https://www.codechef.com/problems/JAVAMCQ107")</f>
        <v/>
      </c>
      <c r="K222" s="2" t="inlineStr"/>
      <c r="L222" s="2" t="inlineStr"/>
      <c r="M222" s="2" t="inlineStr"/>
      <c r="N222" s="2" t="inlineStr">
        <is>
          <t>No</t>
        </is>
      </c>
      <c r="O222" s="2" t="inlineStr">
        <is>
          <t>Unattempted</t>
        </is>
      </c>
    </row>
    <row r="223">
      <c r="A223" s="4" t="inlineStr">
        <is>
          <t>Interview Questions</t>
        </is>
      </c>
      <c r="B223" s="4" t="inlineStr">
        <is>
          <t>Java Interview Questions for Freshers</t>
        </is>
      </c>
      <c r="C223" s="4" t="inlineStr">
        <is>
          <t>Practice these 146 Java MCQs with detailed explanations and prepare yourself for fresher interviews in Java.</t>
        </is>
      </c>
      <c r="D223" s="4" t="inlineStr">
        <is>
          <t>Generics - Generics</t>
        </is>
      </c>
      <c r="E223" s="4" t="n">
        <v>104</v>
      </c>
      <c r="F223" s="4" t="inlineStr">
        <is>
          <t>Generic Interfaces</t>
        </is>
      </c>
      <c r="G223" s="4" t="inlineStr">
        <is>
          <t>JAVAMCQ108</t>
        </is>
      </c>
      <c r="H223" s="4" t="inlineStr"/>
      <c r="I223" s="4" t="inlineStr">
        <is>
          <t>Easy</t>
        </is>
      </c>
      <c r="J223" s="5">
        <f>HYPERLINK("https://www.codechef.com/problems/JAVAMCQ108", "https://www.codechef.com/problems/JAVAMCQ108")</f>
        <v/>
      </c>
      <c r="K223" s="4" t="inlineStr"/>
      <c r="L223" s="4" t="inlineStr"/>
      <c r="M223" s="4" t="inlineStr"/>
      <c r="N223" s="4" t="inlineStr">
        <is>
          <t>No</t>
        </is>
      </c>
      <c r="O223" s="4" t="inlineStr">
        <is>
          <t>Unattempted</t>
        </is>
      </c>
    </row>
    <row r="224">
      <c r="A224" s="2" t="inlineStr">
        <is>
          <t>Interview Questions</t>
        </is>
      </c>
      <c r="B224" s="2" t="inlineStr">
        <is>
          <t>Java Interview Questions for Freshers</t>
        </is>
      </c>
      <c r="C224" s="2" t="inlineStr">
        <is>
          <t>Practice these 146 Java MCQs with detailed explanations and prepare yourself for fresher interviews in Java.</t>
        </is>
      </c>
      <c r="D224" s="2" t="inlineStr">
        <is>
          <t>Generics - Generics</t>
        </is>
      </c>
      <c r="E224" s="2" t="n">
        <v>105</v>
      </c>
      <c r="F224" s="2" t="inlineStr">
        <is>
          <t>Raw Types</t>
        </is>
      </c>
      <c r="G224" s="2" t="inlineStr">
        <is>
          <t>JAVAMCQ109</t>
        </is>
      </c>
      <c r="H224" s="2" t="inlineStr"/>
      <c r="I224" s="2" t="inlineStr">
        <is>
          <t>Easy</t>
        </is>
      </c>
      <c r="J224" s="3">
        <f>HYPERLINK("https://www.codechef.com/problems/JAVAMCQ109", "https://www.codechef.com/problems/JAVAMCQ109")</f>
        <v/>
      </c>
      <c r="K224" s="2" t="inlineStr"/>
      <c r="L224" s="2" t="inlineStr"/>
      <c r="M224" s="2" t="inlineStr"/>
      <c r="N224" s="2" t="inlineStr">
        <is>
          <t>No</t>
        </is>
      </c>
      <c r="O224" s="2" t="inlineStr">
        <is>
          <t>Unattempted</t>
        </is>
      </c>
    </row>
    <row r="225">
      <c r="A225" s="4" t="inlineStr">
        <is>
          <t>Interview Questions</t>
        </is>
      </c>
      <c r="B225" s="4" t="inlineStr">
        <is>
          <t>Java Interview Questions for Freshers</t>
        </is>
      </c>
      <c r="C225" s="4" t="inlineStr">
        <is>
          <t>Practice these 146 Java MCQs with detailed explanations and prepare yourself for fresher interviews in Java.</t>
        </is>
      </c>
      <c r="D225" s="4" t="inlineStr">
        <is>
          <t>Generics - Generics</t>
        </is>
      </c>
      <c r="E225" s="4" t="n">
        <v>106</v>
      </c>
      <c r="F225" s="4" t="inlineStr">
        <is>
          <t>Type Parameter Naming Conventions</t>
        </is>
      </c>
      <c r="G225" s="4" t="inlineStr">
        <is>
          <t>JAVAMCQ110</t>
        </is>
      </c>
      <c r="H225" s="4" t="inlineStr"/>
      <c r="I225" s="4" t="inlineStr">
        <is>
          <t>Easy</t>
        </is>
      </c>
      <c r="J225" s="5">
        <f>HYPERLINK("https://www.codechef.com/problems/JAVAMCQ110", "https://www.codechef.com/problems/JAVAMCQ110")</f>
        <v/>
      </c>
      <c r="K225" s="4" t="inlineStr"/>
      <c r="L225" s="4" t="inlineStr"/>
      <c r="M225" s="4" t="inlineStr"/>
      <c r="N225" s="4" t="inlineStr">
        <is>
          <t>No</t>
        </is>
      </c>
      <c r="O225" s="4" t="inlineStr">
        <is>
          <t>Unattempted</t>
        </is>
      </c>
    </row>
    <row r="226">
      <c r="A226" s="2" t="inlineStr">
        <is>
          <t>Interview Questions</t>
        </is>
      </c>
      <c r="B226" s="2" t="inlineStr">
        <is>
          <t>Java Interview Questions for Freshers</t>
        </is>
      </c>
      <c r="C226" s="2" t="inlineStr">
        <is>
          <t>Practice these 146 Java MCQs with detailed explanations and prepare yourself for fresher interviews in Java.</t>
        </is>
      </c>
      <c r="D226" s="2" t="inlineStr">
        <is>
          <t>Java memory management and garbage collection - Java memory management and garbage collection</t>
        </is>
      </c>
      <c r="E226" s="2" t="n">
        <v>107</v>
      </c>
      <c r="F226" s="2" t="inlineStr">
        <is>
          <t>Java Memory Allocation</t>
        </is>
      </c>
      <c r="G226" s="2" t="inlineStr">
        <is>
          <t>JAVAMCQ111</t>
        </is>
      </c>
      <c r="H226" s="2" t="inlineStr"/>
      <c r="I226" s="2" t="inlineStr">
        <is>
          <t>Easy</t>
        </is>
      </c>
      <c r="J226" s="3">
        <f>HYPERLINK("https://www.codechef.com/problems/JAVAMCQ111", "https://www.codechef.com/problems/JAVAMCQ111")</f>
        <v/>
      </c>
      <c r="K226" s="2" t="inlineStr"/>
      <c r="L226" s="2" t="inlineStr"/>
      <c r="M226" s="2" t="inlineStr"/>
      <c r="N226" s="2" t="inlineStr">
        <is>
          <t>No</t>
        </is>
      </c>
      <c r="O226" s="2" t="inlineStr">
        <is>
          <t>Unattempted</t>
        </is>
      </c>
    </row>
    <row r="227">
      <c r="A227" s="4" t="inlineStr">
        <is>
          <t>Interview Questions</t>
        </is>
      </c>
      <c r="B227" s="4" t="inlineStr">
        <is>
          <t>Java Interview Questions for Freshers</t>
        </is>
      </c>
      <c r="C227" s="4" t="inlineStr">
        <is>
          <t>Practice these 146 Java MCQs with detailed explanations and prepare yourself for fresher interviews in Java.</t>
        </is>
      </c>
      <c r="D227" s="4" t="inlineStr">
        <is>
          <t>Java memory management and garbage collection - Java memory management and garbage collection</t>
        </is>
      </c>
      <c r="E227" s="4" t="n">
        <v>108</v>
      </c>
      <c r="F227" s="4" t="inlineStr">
        <is>
          <t>Garbage Collection Trigger</t>
        </is>
      </c>
      <c r="G227" s="4" t="inlineStr">
        <is>
          <t>JAVAMCQ112</t>
        </is>
      </c>
      <c r="H227" s="4" t="inlineStr"/>
      <c r="I227" s="4" t="inlineStr">
        <is>
          <t>Easy</t>
        </is>
      </c>
      <c r="J227" s="5">
        <f>HYPERLINK("https://www.codechef.com/problems/JAVAMCQ112", "https://www.codechef.com/problems/JAVAMCQ112")</f>
        <v/>
      </c>
      <c r="K227" s="4" t="inlineStr"/>
      <c r="L227" s="4" t="inlineStr"/>
      <c r="M227" s="4" t="inlineStr"/>
      <c r="N227" s="4" t="inlineStr">
        <is>
          <t>No</t>
        </is>
      </c>
      <c r="O227" s="4" t="inlineStr">
        <is>
          <t>Unattempted</t>
        </is>
      </c>
    </row>
    <row r="228">
      <c r="A228" s="2" t="inlineStr">
        <is>
          <t>Interview Questions</t>
        </is>
      </c>
      <c r="B228" s="2" t="inlineStr">
        <is>
          <t>Java Interview Questions for Freshers</t>
        </is>
      </c>
      <c r="C228" s="2" t="inlineStr">
        <is>
          <t>Practice these 146 Java MCQs with detailed explanations and prepare yourself for fresher interviews in Java.</t>
        </is>
      </c>
      <c r="D228" s="2" t="inlineStr">
        <is>
          <t>Java memory management and garbage collection - Java memory management and garbage collection</t>
        </is>
      </c>
      <c r="E228" s="2" t="n">
        <v>109</v>
      </c>
      <c r="F228" s="2" t="inlineStr">
        <is>
          <t>Object Eligibility for Garbage Collection</t>
        </is>
      </c>
      <c r="G228" s="2" t="inlineStr">
        <is>
          <t>JAVAMCQ113</t>
        </is>
      </c>
      <c r="H228" s="2" t="inlineStr"/>
      <c r="I228" s="2" t="inlineStr">
        <is>
          <t>Medium</t>
        </is>
      </c>
      <c r="J228" s="3">
        <f>HYPERLINK("https://www.codechef.com/problems/JAVAMCQ113", "https://www.codechef.com/problems/JAVAMCQ113")</f>
        <v/>
      </c>
      <c r="K228" s="2" t="inlineStr"/>
      <c r="L228" s="2" t="inlineStr"/>
      <c r="M228" s="2" t="inlineStr"/>
      <c r="N228" s="2" t="inlineStr">
        <is>
          <t>No</t>
        </is>
      </c>
      <c r="O228" s="2" t="inlineStr">
        <is>
          <t>Unattempted</t>
        </is>
      </c>
    </row>
    <row r="229">
      <c r="A229" s="4" t="inlineStr">
        <is>
          <t>Interview Questions</t>
        </is>
      </c>
      <c r="B229" s="4" t="inlineStr">
        <is>
          <t>Java Interview Questions for Freshers</t>
        </is>
      </c>
      <c r="C229" s="4" t="inlineStr">
        <is>
          <t>Practice these 146 Java MCQs with detailed explanations and prepare yourself for fresher interviews in Java.</t>
        </is>
      </c>
      <c r="D229" s="4" t="inlineStr">
        <is>
          <t>Java memory management and garbage collection - Java memory management and garbage collection</t>
        </is>
      </c>
      <c r="E229" s="4" t="n">
        <v>110</v>
      </c>
      <c r="F229" s="4" t="inlineStr">
        <is>
          <t>Garbage Collection Guarantee</t>
        </is>
      </c>
      <c r="G229" s="4" t="inlineStr">
        <is>
          <t>JAVAMCQ114</t>
        </is>
      </c>
      <c r="H229" s="4" t="inlineStr"/>
      <c r="I229" s="4" t="inlineStr">
        <is>
          <t>Easy</t>
        </is>
      </c>
      <c r="J229" s="5">
        <f>HYPERLINK("https://www.codechef.com/problems/JAVAMCQ114", "https://www.codechef.com/problems/JAVAMCQ114")</f>
        <v/>
      </c>
      <c r="K229" s="4" t="inlineStr"/>
      <c r="L229" s="4" t="inlineStr"/>
      <c r="M229" s="4" t="inlineStr"/>
      <c r="N229" s="4" t="inlineStr">
        <is>
          <t>No</t>
        </is>
      </c>
      <c r="O229" s="4" t="inlineStr">
        <is>
          <t>Unattempted</t>
        </is>
      </c>
    </row>
    <row r="230">
      <c r="A230" s="2" t="inlineStr">
        <is>
          <t>Interview Questions</t>
        </is>
      </c>
      <c r="B230" s="2" t="inlineStr">
        <is>
          <t>Java Interview Questions for Freshers</t>
        </is>
      </c>
      <c r="C230" s="2" t="inlineStr">
        <is>
          <t>Practice these 146 Java MCQs with detailed explanations and prepare yourself for fresher interviews in Java.</t>
        </is>
      </c>
      <c r="D230" s="2" t="inlineStr">
        <is>
          <t>Java memory management and garbage collection - Java memory management and garbage collection</t>
        </is>
      </c>
      <c r="E230" s="2" t="n">
        <v>111</v>
      </c>
      <c r="F230" s="2" t="inlineStr">
        <is>
          <t>Memory Leak in Java</t>
        </is>
      </c>
      <c r="G230" s="2" t="inlineStr">
        <is>
          <t>JAVAMCQ115</t>
        </is>
      </c>
      <c r="H230" s="2" t="inlineStr"/>
      <c r="I230" s="2" t="inlineStr">
        <is>
          <t>Medium</t>
        </is>
      </c>
      <c r="J230" s="3">
        <f>HYPERLINK("https://www.codechef.com/problems/JAVAMCQ115", "https://www.codechef.com/problems/JAVAMCQ115")</f>
        <v/>
      </c>
      <c r="K230" s="2" t="inlineStr"/>
      <c r="L230" s="2" t="inlineStr"/>
      <c r="M230" s="2" t="inlineStr"/>
      <c r="N230" s="2" t="inlineStr">
        <is>
          <t>No</t>
        </is>
      </c>
      <c r="O230" s="2" t="inlineStr">
        <is>
          <t>Unattempted</t>
        </is>
      </c>
    </row>
    <row r="231">
      <c r="A231" s="4" t="inlineStr">
        <is>
          <t>Interview Questions</t>
        </is>
      </c>
      <c r="B231" s="4" t="inlineStr">
        <is>
          <t>Java Interview Questions for Freshers</t>
        </is>
      </c>
      <c r="C231" s="4" t="inlineStr">
        <is>
          <t>Practice these 146 Java MCQs with detailed explanations and prepare yourself for fresher interviews in Java.</t>
        </is>
      </c>
      <c r="D231" s="4" t="inlineStr">
        <is>
          <t>Java memory management and garbage collection - Java memory management and garbage collection</t>
        </is>
      </c>
      <c r="E231" s="4" t="n">
        <v>112</v>
      </c>
      <c r="F231" s="4" t="inlineStr">
        <is>
          <t>Soft References</t>
        </is>
      </c>
      <c r="G231" s="4" t="inlineStr">
        <is>
          <t>JAVAMCQ116</t>
        </is>
      </c>
      <c r="H231" s="4" t="inlineStr"/>
      <c r="I231" s="4" t="inlineStr">
        <is>
          <t>Medium</t>
        </is>
      </c>
      <c r="J231" s="5">
        <f>HYPERLINK("https://www.codechef.com/problems/JAVAMCQ116", "https://www.codechef.com/problems/JAVAMCQ116")</f>
        <v/>
      </c>
      <c r="K231" s="4" t="inlineStr"/>
      <c r="L231" s="4" t="inlineStr"/>
      <c r="M231" s="4" t="inlineStr"/>
      <c r="N231" s="4" t="inlineStr">
        <is>
          <t>No</t>
        </is>
      </c>
      <c r="O231" s="4" t="inlineStr">
        <is>
          <t>Unattempted</t>
        </is>
      </c>
    </row>
    <row r="232">
      <c r="A232" s="2" t="inlineStr">
        <is>
          <t>Interview Questions</t>
        </is>
      </c>
      <c r="B232" s="2" t="inlineStr">
        <is>
          <t>Java Interview Questions for Freshers</t>
        </is>
      </c>
      <c r="C232" s="2" t="inlineStr">
        <is>
          <t>Practice these 146 Java MCQs with detailed explanations and prepare yourself for fresher interviews in Java.</t>
        </is>
      </c>
      <c r="D232" s="2" t="inlineStr">
        <is>
          <t>Java memory management and garbage collection - Java memory management and garbage collection</t>
        </is>
      </c>
      <c r="E232" s="2" t="n">
        <v>113</v>
      </c>
      <c r="F232" s="2" t="inlineStr">
        <is>
          <t>Finalization</t>
        </is>
      </c>
      <c r="G232" s="2" t="inlineStr">
        <is>
          <t>JAVAMCQ117</t>
        </is>
      </c>
      <c r="H232" s="2" t="inlineStr"/>
      <c r="I232" s="2" t="inlineStr">
        <is>
          <t>Medium</t>
        </is>
      </c>
      <c r="J232" s="3">
        <f>HYPERLINK("https://www.codechef.com/problems/JAVAMCQ117", "https://www.codechef.com/problems/JAVAMCQ117")</f>
        <v/>
      </c>
      <c r="K232" s="2" t="inlineStr"/>
      <c r="L232" s="2" t="inlineStr"/>
      <c r="M232" s="2" t="inlineStr"/>
      <c r="N232" s="2" t="inlineStr">
        <is>
          <t>No</t>
        </is>
      </c>
      <c r="O232" s="2" t="inlineStr">
        <is>
          <t>Unattempted</t>
        </is>
      </c>
    </row>
    <row r="233">
      <c r="A233" s="4" t="inlineStr">
        <is>
          <t>Interview Questions</t>
        </is>
      </c>
      <c r="B233" s="4" t="inlineStr">
        <is>
          <t>Java Interview Questions for Freshers</t>
        </is>
      </c>
      <c r="C233" s="4" t="inlineStr">
        <is>
          <t>Practice these 146 Java MCQs with detailed explanations and prepare yourself for fresher interviews in Java.</t>
        </is>
      </c>
      <c r="D233" s="4" t="inlineStr">
        <is>
          <t>Java memory management and garbage collection - Java memory management and garbage collection</t>
        </is>
      </c>
      <c r="E233" s="4" t="n">
        <v>114</v>
      </c>
      <c r="F233" s="4" t="inlineStr">
        <is>
          <t>Garbage Collection Algorithms</t>
        </is>
      </c>
      <c r="G233" s="4" t="inlineStr">
        <is>
          <t>JAVAMCQ118</t>
        </is>
      </c>
      <c r="H233" s="4" t="inlineStr"/>
      <c r="I233" s="4" t="inlineStr">
        <is>
          <t>Easy</t>
        </is>
      </c>
      <c r="J233" s="5">
        <f>HYPERLINK("https://www.codechef.com/problems/JAVAMCQ118", "https://www.codechef.com/problems/JAVAMCQ118")</f>
        <v/>
      </c>
      <c r="K233" s="4" t="inlineStr"/>
      <c r="L233" s="4" t="inlineStr"/>
      <c r="M233" s="4" t="inlineStr"/>
      <c r="N233" s="4" t="inlineStr">
        <is>
          <t>No</t>
        </is>
      </c>
      <c r="O233" s="4" t="inlineStr">
        <is>
          <t>Unattempted</t>
        </is>
      </c>
    </row>
    <row r="234">
      <c r="A234" s="2" t="inlineStr">
        <is>
          <t>Interview Questions</t>
        </is>
      </c>
      <c r="B234" s="2" t="inlineStr">
        <is>
          <t>Java Interview Questions for Freshers</t>
        </is>
      </c>
      <c r="C234" s="2" t="inlineStr">
        <is>
          <t>Practice these 146 Java MCQs with detailed explanations and prepare yourself for fresher interviews in Java.</t>
        </is>
      </c>
      <c r="D234" s="2" t="inlineStr">
        <is>
          <t>Java memory management and garbage collection - Java memory management and garbage collection</t>
        </is>
      </c>
      <c r="E234" s="2" t="n">
        <v>115</v>
      </c>
      <c r="F234" s="2" t="inlineStr">
        <is>
          <t>OutOfMemoryError</t>
        </is>
      </c>
      <c r="G234" s="2" t="inlineStr">
        <is>
          <t>JAVAMCQ119</t>
        </is>
      </c>
      <c r="H234" s="2" t="inlineStr"/>
      <c r="I234" s="2" t="inlineStr">
        <is>
          <t>Easy</t>
        </is>
      </c>
      <c r="J234" s="3">
        <f>HYPERLINK("https://www.codechef.com/problems/JAVAMCQ119", "https://www.codechef.com/problems/JAVAMCQ119")</f>
        <v/>
      </c>
      <c r="K234" s="2" t="inlineStr"/>
      <c r="L234" s="2" t="inlineStr"/>
      <c r="M234" s="2" t="inlineStr"/>
      <c r="N234" s="2" t="inlineStr">
        <is>
          <t>No</t>
        </is>
      </c>
      <c r="O234" s="2" t="inlineStr">
        <is>
          <t>Unattempted</t>
        </is>
      </c>
    </row>
    <row r="235">
      <c r="A235" s="4" t="inlineStr">
        <is>
          <t>Interview Questions</t>
        </is>
      </c>
      <c r="B235" s="4" t="inlineStr">
        <is>
          <t>Java Interview Questions for Freshers</t>
        </is>
      </c>
      <c r="C235" s="4" t="inlineStr">
        <is>
          <t>Practice these 146 Java MCQs with detailed explanations and prepare yourself for fresher interviews in Java.</t>
        </is>
      </c>
      <c r="D235" s="4" t="inlineStr">
        <is>
          <t>Java memory management and garbage collection - Java memory management and garbage collection</t>
        </is>
      </c>
      <c r="E235" s="4" t="n">
        <v>116</v>
      </c>
      <c r="F235" s="4" t="inlineStr">
        <is>
          <t>Weak References</t>
        </is>
      </c>
      <c r="G235" s="4" t="inlineStr">
        <is>
          <t>JAVAMCQ120</t>
        </is>
      </c>
      <c r="H235" s="4" t="inlineStr"/>
      <c r="I235" s="4" t="inlineStr">
        <is>
          <t>Medium</t>
        </is>
      </c>
      <c r="J235" s="5">
        <f>HYPERLINK("https://www.codechef.com/problems/JAVAMCQ120", "https://www.codechef.com/problems/JAVAMCQ120")</f>
        <v/>
      </c>
      <c r="K235" s="4" t="inlineStr"/>
      <c r="L235" s="4" t="inlineStr"/>
      <c r="M235" s="4" t="inlineStr"/>
      <c r="N235" s="4" t="inlineStr">
        <is>
          <t>No</t>
        </is>
      </c>
      <c r="O235" s="4" t="inlineStr">
        <is>
          <t>Unattempted</t>
        </is>
      </c>
    </row>
    <row r="236">
      <c r="A236" s="2" t="inlineStr">
        <is>
          <t>Interview Questions</t>
        </is>
      </c>
      <c r="B236" s="2" t="inlineStr">
        <is>
          <t>Java Interview Questions for Freshers</t>
        </is>
      </c>
      <c r="C236" s="2" t="inlineStr">
        <is>
          <t>Practice these 146 Java MCQs with detailed explanations and prepare yourself for fresher interviews in Java.</t>
        </is>
      </c>
      <c r="D236" s="2" t="inlineStr">
        <is>
          <t>Multithreading and concurrency - Multithreading and concurrency</t>
        </is>
      </c>
      <c r="E236" s="2" t="n">
        <v>117</v>
      </c>
      <c r="F236" s="2" t="inlineStr">
        <is>
          <t>Thread Creation</t>
        </is>
      </c>
      <c r="G236" s="2" t="inlineStr">
        <is>
          <t>JAVAMCQ121</t>
        </is>
      </c>
      <c r="H236" s="2" t="inlineStr"/>
      <c r="I236" s="2" t="inlineStr">
        <is>
          <t>Easy</t>
        </is>
      </c>
      <c r="J236" s="3">
        <f>HYPERLINK("https://www.codechef.com/problems/JAVAMCQ121", "https://www.codechef.com/problems/JAVAMCQ121")</f>
        <v/>
      </c>
      <c r="K236" s="2" t="inlineStr"/>
      <c r="L236" s="2" t="inlineStr"/>
      <c r="M236" s="2" t="inlineStr"/>
      <c r="N236" s="2" t="inlineStr">
        <is>
          <t>No</t>
        </is>
      </c>
      <c r="O236" s="2" t="inlineStr">
        <is>
          <t>Unattempted</t>
        </is>
      </c>
    </row>
    <row r="237">
      <c r="A237" s="4" t="inlineStr">
        <is>
          <t>Interview Questions</t>
        </is>
      </c>
      <c r="B237" s="4" t="inlineStr">
        <is>
          <t>Java Interview Questions for Freshers</t>
        </is>
      </c>
      <c r="C237" s="4" t="inlineStr">
        <is>
          <t>Practice these 146 Java MCQs with detailed explanations and prepare yourself for fresher interviews in Java.</t>
        </is>
      </c>
      <c r="D237" s="4" t="inlineStr">
        <is>
          <t>Multithreading and concurrency - Multithreading and concurrency</t>
        </is>
      </c>
      <c r="E237" s="4" t="n">
        <v>118</v>
      </c>
      <c r="F237" s="4" t="inlineStr">
        <is>
          <t>Synchronization Keyword</t>
        </is>
      </c>
      <c r="G237" s="4" t="inlineStr">
        <is>
          <t>JAVAMCQ122</t>
        </is>
      </c>
      <c r="H237" s="4" t="inlineStr"/>
      <c r="I237" s="4" t="inlineStr">
        <is>
          <t>Easy</t>
        </is>
      </c>
      <c r="J237" s="5">
        <f>HYPERLINK("https://www.codechef.com/problems/JAVAMCQ122", "https://www.codechef.com/problems/JAVAMCQ122")</f>
        <v/>
      </c>
      <c r="K237" s="4" t="inlineStr"/>
      <c r="L237" s="4" t="inlineStr"/>
      <c r="M237" s="4" t="inlineStr"/>
      <c r="N237" s="4" t="inlineStr">
        <is>
          <t>No</t>
        </is>
      </c>
      <c r="O237" s="4" t="inlineStr">
        <is>
          <t>Unattempted</t>
        </is>
      </c>
    </row>
    <row r="238">
      <c r="A238" s="2" t="inlineStr">
        <is>
          <t>Interview Questions</t>
        </is>
      </c>
      <c r="B238" s="2" t="inlineStr">
        <is>
          <t>Java Interview Questions for Freshers</t>
        </is>
      </c>
      <c r="C238" s="2" t="inlineStr">
        <is>
          <t>Practice these 146 Java MCQs with detailed explanations and prepare yourself for fresher interviews in Java.</t>
        </is>
      </c>
      <c r="D238" s="2" t="inlineStr">
        <is>
          <t>Multithreading and concurrency - Multithreading and concurrency</t>
        </is>
      </c>
      <c r="E238" s="2" t="n">
        <v>119</v>
      </c>
      <c r="F238" s="2" t="inlineStr">
        <is>
          <t>Volatile Keyword</t>
        </is>
      </c>
      <c r="G238" s="2" t="inlineStr">
        <is>
          <t>JAVAMCQ123</t>
        </is>
      </c>
      <c r="H238" s="2" t="inlineStr"/>
      <c r="I238" s="2" t="inlineStr">
        <is>
          <t>Medium</t>
        </is>
      </c>
      <c r="J238" s="3">
        <f>HYPERLINK("https://www.codechef.com/problems/JAVAMCQ123", "https://www.codechef.com/problems/JAVAMCQ123")</f>
        <v/>
      </c>
      <c r="K238" s="2" t="inlineStr"/>
      <c r="L238" s="2" t="inlineStr"/>
      <c r="M238" s="2" t="inlineStr"/>
      <c r="N238" s="2" t="inlineStr">
        <is>
          <t>No</t>
        </is>
      </c>
      <c r="O238" s="2" t="inlineStr">
        <is>
          <t>Unattempted</t>
        </is>
      </c>
    </row>
    <row r="239">
      <c r="A239" s="4" t="inlineStr">
        <is>
          <t>Interview Questions</t>
        </is>
      </c>
      <c r="B239" s="4" t="inlineStr">
        <is>
          <t>Java Interview Questions for Freshers</t>
        </is>
      </c>
      <c r="C239" s="4" t="inlineStr">
        <is>
          <t>Practice these 146 Java MCQs with detailed explanations and prepare yourself for fresher interviews in Java.</t>
        </is>
      </c>
      <c r="D239" s="4" t="inlineStr">
        <is>
          <t>Multithreading and concurrency - Multithreading and concurrency</t>
        </is>
      </c>
      <c r="E239" s="4" t="n">
        <v>120</v>
      </c>
      <c r="F239" s="4" t="inlineStr">
        <is>
          <t>Thread States</t>
        </is>
      </c>
      <c r="G239" s="4" t="inlineStr">
        <is>
          <t>JAVAMCQ124</t>
        </is>
      </c>
      <c r="H239" s="4" t="inlineStr"/>
      <c r="I239" s="4" t="inlineStr">
        <is>
          <t>Easy</t>
        </is>
      </c>
      <c r="J239" s="5">
        <f>HYPERLINK("https://www.codechef.com/problems/JAVAMCQ124", "https://www.codechef.com/problems/JAVAMCQ124")</f>
        <v/>
      </c>
      <c r="K239" s="4" t="inlineStr"/>
      <c r="L239" s="4" t="inlineStr"/>
      <c r="M239" s="4" t="inlineStr"/>
      <c r="N239" s="4" t="inlineStr">
        <is>
          <t>No</t>
        </is>
      </c>
      <c r="O239" s="4" t="inlineStr">
        <is>
          <t>Unattempted</t>
        </is>
      </c>
    </row>
    <row r="240">
      <c r="A240" s="2" t="inlineStr">
        <is>
          <t>Interview Questions</t>
        </is>
      </c>
      <c r="B240" s="2" t="inlineStr">
        <is>
          <t>Java Interview Questions for Freshers</t>
        </is>
      </c>
      <c r="C240" s="2" t="inlineStr">
        <is>
          <t>Practice these 146 Java MCQs with detailed explanations and prepare yourself for fresher interviews in Java.</t>
        </is>
      </c>
      <c r="D240" s="2" t="inlineStr">
        <is>
          <t>Multithreading and concurrency - Multithreading and concurrency</t>
        </is>
      </c>
      <c r="E240" s="2" t="n">
        <v>121</v>
      </c>
      <c r="F240" s="2" t="inlineStr">
        <is>
          <t>Thread Pool</t>
        </is>
      </c>
      <c r="G240" s="2" t="inlineStr">
        <is>
          <t>JAVAMCQ125</t>
        </is>
      </c>
      <c r="H240" s="2" t="inlineStr"/>
      <c r="I240" s="2" t="inlineStr">
        <is>
          <t>Easy</t>
        </is>
      </c>
      <c r="J240" s="3">
        <f>HYPERLINK("https://www.codechef.com/problems/JAVAMCQ125", "https://www.codechef.com/problems/JAVAMCQ125")</f>
        <v/>
      </c>
      <c r="K240" s="2" t="inlineStr"/>
      <c r="L240" s="2" t="inlineStr"/>
      <c r="M240" s="2" t="inlineStr"/>
      <c r="N240" s="2" t="inlineStr">
        <is>
          <t>No</t>
        </is>
      </c>
      <c r="O240" s="2" t="inlineStr">
        <is>
          <t>Unattempted</t>
        </is>
      </c>
    </row>
    <row r="241">
      <c r="A241" s="4" t="inlineStr">
        <is>
          <t>Interview Questions</t>
        </is>
      </c>
      <c r="B241" s="4" t="inlineStr">
        <is>
          <t>Java Interview Questions for Freshers</t>
        </is>
      </c>
      <c r="C241" s="4" t="inlineStr">
        <is>
          <t>Practice these 146 Java MCQs with detailed explanations and prepare yourself for fresher interviews in Java.</t>
        </is>
      </c>
      <c r="D241" s="4" t="inlineStr">
        <is>
          <t>Multithreading and concurrency - Multithreading and concurrency</t>
        </is>
      </c>
      <c r="E241" s="4" t="n">
        <v>122</v>
      </c>
      <c r="F241" s="4" t="inlineStr">
        <is>
          <t>Deadlock Scenario</t>
        </is>
      </c>
      <c r="G241" s="4" t="inlineStr">
        <is>
          <t>JAVAMCQ126</t>
        </is>
      </c>
      <c r="H241" s="4" t="inlineStr"/>
      <c r="I241" s="4" t="inlineStr">
        <is>
          <t>Medium</t>
        </is>
      </c>
      <c r="J241" s="5">
        <f>HYPERLINK("https://www.codechef.com/problems/JAVAMCQ126", "https://www.codechef.com/problems/JAVAMCQ126")</f>
        <v/>
      </c>
      <c r="K241" s="4" t="inlineStr"/>
      <c r="L241" s="4" t="inlineStr"/>
      <c r="M241" s="4" t="inlineStr"/>
      <c r="N241" s="4" t="inlineStr">
        <is>
          <t>No</t>
        </is>
      </c>
      <c r="O241" s="4" t="inlineStr">
        <is>
          <t>Unattempted</t>
        </is>
      </c>
    </row>
    <row r="242">
      <c r="A242" s="2" t="inlineStr">
        <is>
          <t>Interview Questions</t>
        </is>
      </c>
      <c r="B242" s="2" t="inlineStr">
        <is>
          <t>Java Interview Questions for Freshers</t>
        </is>
      </c>
      <c r="C242" s="2" t="inlineStr">
        <is>
          <t>Practice these 146 Java MCQs with detailed explanations and prepare yourself for fresher interviews in Java.</t>
        </is>
      </c>
      <c r="D242" s="2" t="inlineStr">
        <is>
          <t>Multithreading and concurrency - Multithreading and concurrency</t>
        </is>
      </c>
      <c r="E242" s="2" t="n">
        <v>123</v>
      </c>
      <c r="F242" s="2" t="inlineStr">
        <is>
          <t>Race Condition</t>
        </is>
      </c>
      <c r="G242" s="2" t="inlineStr">
        <is>
          <t>JAVAMCQ127</t>
        </is>
      </c>
      <c r="H242" s="2" t="inlineStr"/>
      <c r="I242" s="2" t="inlineStr">
        <is>
          <t>Easy</t>
        </is>
      </c>
      <c r="J242" s="3">
        <f>HYPERLINK("https://www.codechef.com/problems/JAVAMCQ127", "https://www.codechef.com/problems/JAVAMCQ127")</f>
        <v/>
      </c>
      <c r="K242" s="2" t="inlineStr"/>
      <c r="L242" s="2" t="inlineStr"/>
      <c r="M242" s="2" t="inlineStr"/>
      <c r="N242" s="2" t="inlineStr">
        <is>
          <t>No</t>
        </is>
      </c>
      <c r="O242" s="2" t="inlineStr">
        <is>
          <t>Unattempted</t>
        </is>
      </c>
    </row>
    <row r="243">
      <c r="A243" s="4" t="inlineStr">
        <is>
          <t>Interview Questions</t>
        </is>
      </c>
      <c r="B243" s="4" t="inlineStr">
        <is>
          <t>Java Interview Questions for Freshers</t>
        </is>
      </c>
      <c r="C243" s="4" t="inlineStr">
        <is>
          <t>Practice these 146 Java MCQs with detailed explanations and prepare yourself for fresher interviews in Java.</t>
        </is>
      </c>
      <c r="D243" s="4" t="inlineStr">
        <is>
          <t>Multithreading and concurrency - Multithreading and concurrency</t>
        </is>
      </c>
      <c r="E243" s="4" t="n">
        <v>124</v>
      </c>
      <c r="F243" s="4" t="inlineStr">
        <is>
          <t>Concurrent Collections</t>
        </is>
      </c>
      <c r="G243" s="4" t="inlineStr">
        <is>
          <t>JAVAMCQ128</t>
        </is>
      </c>
      <c r="H243" s="4" t="inlineStr"/>
      <c r="I243" s="4" t="inlineStr">
        <is>
          <t>Easy</t>
        </is>
      </c>
      <c r="J243" s="5">
        <f>HYPERLINK("https://www.codechef.com/problems/JAVAMCQ128", "https://www.codechef.com/problems/JAVAMCQ128")</f>
        <v/>
      </c>
      <c r="K243" s="4" t="inlineStr"/>
      <c r="L243" s="4" t="inlineStr"/>
      <c r="M243" s="4" t="inlineStr"/>
      <c r="N243" s="4" t="inlineStr">
        <is>
          <t>No</t>
        </is>
      </c>
      <c r="O243" s="4" t="inlineStr">
        <is>
          <t>Unattempted</t>
        </is>
      </c>
    </row>
    <row r="244">
      <c r="A244" s="2" t="inlineStr">
        <is>
          <t>Interview Questions</t>
        </is>
      </c>
      <c r="B244" s="2" t="inlineStr">
        <is>
          <t>Java Interview Questions for Freshers</t>
        </is>
      </c>
      <c r="C244" s="2" t="inlineStr">
        <is>
          <t>Practice these 146 Java MCQs with detailed explanations and prepare yourself for fresher interviews in Java.</t>
        </is>
      </c>
      <c r="D244" s="2" t="inlineStr">
        <is>
          <t>Multithreading and concurrency - Multithreading and concurrency</t>
        </is>
      </c>
      <c r="E244" s="2" t="n">
        <v>125</v>
      </c>
      <c r="F244" s="2" t="inlineStr">
        <is>
          <t>Atomic Operations</t>
        </is>
      </c>
      <c r="G244" s="2" t="inlineStr">
        <is>
          <t>JAVAMCQ129</t>
        </is>
      </c>
      <c r="H244" s="2" t="inlineStr"/>
      <c r="I244" s="2" t="inlineStr">
        <is>
          <t>Easy</t>
        </is>
      </c>
      <c r="J244" s="3">
        <f>HYPERLINK("https://www.codechef.com/problems/JAVAMCQ129", "https://www.codechef.com/problems/JAVAMCQ129")</f>
        <v/>
      </c>
      <c r="K244" s="2" t="inlineStr"/>
      <c r="L244" s="2" t="inlineStr"/>
      <c r="M244" s="2" t="inlineStr"/>
      <c r="N244" s="2" t="inlineStr">
        <is>
          <t>No</t>
        </is>
      </c>
      <c r="O244" s="2" t="inlineStr">
        <is>
          <t>Unattempted</t>
        </is>
      </c>
    </row>
    <row r="245">
      <c r="A245" s="4" t="inlineStr">
        <is>
          <t>Interview Questions</t>
        </is>
      </c>
      <c r="B245" s="4" t="inlineStr">
        <is>
          <t>Java Interview Questions for Freshers</t>
        </is>
      </c>
      <c r="C245" s="4" t="inlineStr">
        <is>
          <t>Practice these 146 Java MCQs with detailed explanations and prepare yourself for fresher interviews in Java.</t>
        </is>
      </c>
      <c r="D245" s="4" t="inlineStr">
        <is>
          <t>Multithreading and concurrency - Multithreading and concurrency</t>
        </is>
      </c>
      <c r="E245" s="4" t="n">
        <v>126</v>
      </c>
      <c r="F245" s="4" t="inlineStr">
        <is>
          <t>Executor Framework</t>
        </is>
      </c>
      <c r="G245" s="4" t="inlineStr">
        <is>
          <t>JAVAMCQ130</t>
        </is>
      </c>
      <c r="H245" s="4" t="inlineStr"/>
      <c r="I245" s="4" t="inlineStr">
        <is>
          <t>Easy</t>
        </is>
      </c>
      <c r="J245" s="5">
        <f>HYPERLINK("https://www.codechef.com/problems/JAVAMCQ130", "https://www.codechef.com/problems/JAVAMCQ130")</f>
        <v/>
      </c>
      <c r="K245" s="4" t="inlineStr"/>
      <c r="L245" s="4" t="inlineStr"/>
      <c r="M245" s="4" t="inlineStr"/>
      <c r="N245" s="4" t="inlineStr">
        <is>
          <t>No</t>
        </is>
      </c>
      <c r="O245" s="4" t="inlineStr">
        <is>
          <t>Unattempted</t>
        </is>
      </c>
    </row>
    <row r="246">
      <c r="A246" s="2" t="inlineStr">
        <is>
          <t>Interview Questions</t>
        </is>
      </c>
      <c r="B246" s="2" t="inlineStr">
        <is>
          <t>Java Interview Questions for Freshers</t>
        </is>
      </c>
      <c r="C246" s="2" t="inlineStr">
        <is>
          <t>Practice these 146 Java MCQs with detailed explanations and prepare yourself for fresher interviews in Java.</t>
        </is>
      </c>
      <c r="D246" s="2" t="inlineStr">
        <is>
          <t>Lambda expressions and functional interfaces - Lambda expressions and functional interfaces</t>
        </is>
      </c>
      <c r="E246" s="2" t="n">
        <v>127</v>
      </c>
      <c r="F246" s="2" t="inlineStr">
        <is>
          <t>Lambda Expression Syntax</t>
        </is>
      </c>
      <c r="G246" s="2" t="inlineStr">
        <is>
          <t>JAVAMCQ131</t>
        </is>
      </c>
      <c r="H246" s="2" t="inlineStr"/>
      <c r="I246" s="2" t="inlineStr">
        <is>
          <t>Easy</t>
        </is>
      </c>
      <c r="J246" s="3">
        <f>HYPERLINK("https://www.codechef.com/problems/JAVAMCQ131", "https://www.codechef.com/problems/JAVAMCQ131")</f>
        <v/>
      </c>
      <c r="K246" s="2" t="inlineStr"/>
      <c r="L246" s="2" t="inlineStr"/>
      <c r="M246" s="2" t="inlineStr"/>
      <c r="N246" s="2" t="inlineStr">
        <is>
          <t>No</t>
        </is>
      </c>
      <c r="O246" s="2" t="inlineStr">
        <is>
          <t>Unattempted</t>
        </is>
      </c>
    </row>
    <row r="247">
      <c r="A247" s="4" t="inlineStr">
        <is>
          <t>Interview Questions</t>
        </is>
      </c>
      <c r="B247" s="4" t="inlineStr">
        <is>
          <t>Java Interview Questions for Freshers</t>
        </is>
      </c>
      <c r="C247" s="4" t="inlineStr">
        <is>
          <t>Practice these 146 Java MCQs with detailed explanations and prepare yourself for fresher interviews in Java.</t>
        </is>
      </c>
      <c r="D247" s="4" t="inlineStr">
        <is>
          <t>Lambda expressions and functional interfaces - Lambda expressions and functional interfaces</t>
        </is>
      </c>
      <c r="E247" s="4" t="n">
        <v>128</v>
      </c>
      <c r="F247" s="4" t="inlineStr">
        <is>
          <t>Functional Interface Definition</t>
        </is>
      </c>
      <c r="G247" s="4" t="inlineStr">
        <is>
          <t>JAVAMCQ132</t>
        </is>
      </c>
      <c r="H247" s="4" t="inlineStr"/>
      <c r="I247" s="4" t="inlineStr">
        <is>
          <t>Easy</t>
        </is>
      </c>
      <c r="J247" s="5">
        <f>HYPERLINK("https://www.codechef.com/problems/JAVAMCQ132", "https://www.codechef.com/problems/JAVAMCQ132")</f>
        <v/>
      </c>
      <c r="K247" s="4" t="inlineStr"/>
      <c r="L247" s="4" t="inlineStr"/>
      <c r="M247" s="4" t="inlineStr"/>
      <c r="N247" s="4" t="inlineStr">
        <is>
          <t>No</t>
        </is>
      </c>
      <c r="O247" s="4" t="inlineStr">
        <is>
          <t>Unattempted</t>
        </is>
      </c>
    </row>
    <row r="248">
      <c r="A248" s="2" t="inlineStr">
        <is>
          <t>Interview Questions</t>
        </is>
      </c>
      <c r="B248" s="2" t="inlineStr">
        <is>
          <t>Java Interview Questions for Freshers</t>
        </is>
      </c>
      <c r="C248" s="2" t="inlineStr">
        <is>
          <t>Practice these 146 Java MCQs with detailed explanations and prepare yourself for fresher interviews in Java.</t>
        </is>
      </c>
      <c r="D248" s="2" t="inlineStr">
        <is>
          <t>Lambda expressions and functional interfaces - Lambda expressions and functional interfaces</t>
        </is>
      </c>
      <c r="E248" s="2" t="n">
        <v>129</v>
      </c>
      <c r="F248" s="2" t="inlineStr">
        <is>
          <t>Lambda Expression Usage</t>
        </is>
      </c>
      <c r="G248" s="2" t="inlineStr">
        <is>
          <t>JAVAMCQ133</t>
        </is>
      </c>
      <c r="H248" s="2" t="inlineStr"/>
      <c r="I248" s="2" t="inlineStr">
        <is>
          <t>Easy</t>
        </is>
      </c>
      <c r="J248" s="3">
        <f>HYPERLINK("https://www.codechef.com/problems/JAVAMCQ133", "https://www.codechef.com/problems/JAVAMCQ133")</f>
        <v/>
      </c>
      <c r="K248" s="2" t="inlineStr"/>
      <c r="L248" s="2" t="inlineStr"/>
      <c r="M248" s="2" t="inlineStr"/>
      <c r="N248" s="2" t="inlineStr">
        <is>
          <t>No</t>
        </is>
      </c>
      <c r="O248" s="2" t="inlineStr">
        <is>
          <t>Unattempted</t>
        </is>
      </c>
    </row>
    <row r="249">
      <c r="A249" s="4" t="inlineStr">
        <is>
          <t>Interview Questions</t>
        </is>
      </c>
      <c r="B249" s="4" t="inlineStr">
        <is>
          <t>Java Interview Questions for Freshers</t>
        </is>
      </c>
      <c r="C249" s="4" t="inlineStr">
        <is>
          <t>Practice these 146 Java MCQs with detailed explanations and prepare yourself for fresher interviews in Java.</t>
        </is>
      </c>
      <c r="D249" s="4" t="inlineStr">
        <is>
          <t>Lambda expressions and functional interfaces - Lambda expressions and functional interfaces</t>
        </is>
      </c>
      <c r="E249" s="4" t="n">
        <v>130</v>
      </c>
      <c r="F249" s="4" t="inlineStr">
        <is>
          <t>Parameter Types in Lambda Expressions</t>
        </is>
      </c>
      <c r="G249" s="4" t="inlineStr">
        <is>
          <t>JAVAMCQ134</t>
        </is>
      </c>
      <c r="H249" s="4" t="inlineStr"/>
      <c r="I249" s="4" t="inlineStr">
        <is>
          <t>Easy</t>
        </is>
      </c>
      <c r="J249" s="5">
        <f>HYPERLINK("https://www.codechef.com/problems/JAVAMCQ134", "https://www.codechef.com/problems/JAVAMCQ134")</f>
        <v/>
      </c>
      <c r="K249" s="4" t="inlineStr"/>
      <c r="L249" s="4" t="inlineStr"/>
      <c r="M249" s="4" t="inlineStr"/>
      <c r="N249" s="4" t="inlineStr">
        <is>
          <t>No</t>
        </is>
      </c>
      <c r="O249" s="4" t="inlineStr">
        <is>
          <t>Unattempted</t>
        </is>
      </c>
    </row>
    <row r="250">
      <c r="A250" s="2" t="inlineStr">
        <is>
          <t>Interview Questions</t>
        </is>
      </c>
      <c r="B250" s="2" t="inlineStr">
        <is>
          <t>Java Interview Questions for Freshers</t>
        </is>
      </c>
      <c r="C250" s="2" t="inlineStr">
        <is>
          <t>Practice these 146 Java MCQs with detailed explanations and prepare yourself for fresher interviews in Java.</t>
        </is>
      </c>
      <c r="D250" s="2" t="inlineStr">
        <is>
          <t>Lambda expressions and functional interfaces - Lambda expressions and functional interfaces</t>
        </is>
      </c>
      <c r="E250" s="2" t="n">
        <v>131</v>
      </c>
      <c r="F250" s="2" t="inlineStr">
        <is>
          <t>Predefined Functional Interfaces</t>
        </is>
      </c>
      <c r="G250" s="2" t="inlineStr">
        <is>
          <t>JAVAMCQ135</t>
        </is>
      </c>
      <c r="H250" s="2" t="inlineStr"/>
      <c r="I250" s="2" t="inlineStr">
        <is>
          <t>Easy</t>
        </is>
      </c>
      <c r="J250" s="3">
        <f>HYPERLINK("https://www.codechef.com/problems/JAVAMCQ135", "https://www.codechef.com/problems/JAVAMCQ135")</f>
        <v/>
      </c>
      <c r="K250" s="2" t="inlineStr"/>
      <c r="L250" s="2" t="inlineStr"/>
      <c r="M250" s="2" t="inlineStr"/>
      <c r="N250" s="2" t="inlineStr">
        <is>
          <t>No</t>
        </is>
      </c>
      <c r="O250" s="2" t="inlineStr">
        <is>
          <t>Unattempted</t>
        </is>
      </c>
    </row>
    <row r="251">
      <c r="A251" s="4" t="inlineStr">
        <is>
          <t>Interview Questions</t>
        </is>
      </c>
      <c r="B251" s="4" t="inlineStr">
        <is>
          <t>Java Interview Questions for Freshers</t>
        </is>
      </c>
      <c r="C251" s="4" t="inlineStr">
        <is>
          <t>Practice these 146 Java MCQs with detailed explanations and prepare yourself for fresher interviews in Java.</t>
        </is>
      </c>
      <c r="D251" s="4" t="inlineStr">
        <is>
          <t>Lambda expressions and functional interfaces - Lambda expressions and functional interfaces</t>
        </is>
      </c>
      <c r="E251" s="4" t="n">
        <v>132</v>
      </c>
      <c r="F251" s="4" t="inlineStr">
        <is>
          <t>Lambda Expression Scope</t>
        </is>
      </c>
      <c r="G251" s="4" t="inlineStr">
        <is>
          <t>JAVAMCQ136</t>
        </is>
      </c>
      <c r="H251" s="4" t="inlineStr"/>
      <c r="I251" s="4" t="inlineStr">
        <is>
          <t>Medium</t>
        </is>
      </c>
      <c r="J251" s="5">
        <f>HYPERLINK("https://www.codechef.com/problems/JAVAMCQ136", "https://www.codechef.com/problems/JAVAMCQ136")</f>
        <v/>
      </c>
      <c r="K251" s="4" t="inlineStr"/>
      <c r="L251" s="4" t="inlineStr"/>
      <c r="M251" s="4" t="inlineStr"/>
      <c r="N251" s="4" t="inlineStr">
        <is>
          <t>No</t>
        </is>
      </c>
      <c r="O251" s="4" t="inlineStr">
        <is>
          <t>Unattempted</t>
        </is>
      </c>
    </row>
    <row r="252">
      <c r="A252" s="2" t="inlineStr">
        <is>
          <t>Interview Questions</t>
        </is>
      </c>
      <c r="B252" s="2" t="inlineStr">
        <is>
          <t>Java Interview Questions for Freshers</t>
        </is>
      </c>
      <c r="C252" s="2" t="inlineStr">
        <is>
          <t>Practice these 146 Java MCQs with detailed explanations and prepare yourself for fresher interviews in Java.</t>
        </is>
      </c>
      <c r="D252" s="2" t="inlineStr">
        <is>
          <t>Lambda expressions and functional interfaces - Lambda expressions and functional interfaces</t>
        </is>
      </c>
      <c r="E252" s="2" t="n">
        <v>133</v>
      </c>
      <c r="F252" s="2" t="inlineStr">
        <is>
          <t>Method References</t>
        </is>
      </c>
      <c r="G252" s="2" t="inlineStr">
        <is>
          <t>JAVAMCQ137</t>
        </is>
      </c>
      <c r="H252" s="2" t="inlineStr"/>
      <c r="I252" s="2" t="inlineStr">
        <is>
          <t>Easy</t>
        </is>
      </c>
      <c r="J252" s="3">
        <f>HYPERLINK("https://www.codechef.com/problems/JAVAMCQ137", "https://www.codechef.com/problems/JAVAMCQ137")</f>
        <v/>
      </c>
      <c r="K252" s="2" t="inlineStr"/>
      <c r="L252" s="2" t="inlineStr"/>
      <c r="M252" s="2" t="inlineStr"/>
      <c r="N252" s="2" t="inlineStr">
        <is>
          <t>No</t>
        </is>
      </c>
      <c r="O252" s="2" t="inlineStr">
        <is>
          <t>Unattempted</t>
        </is>
      </c>
    </row>
    <row r="253">
      <c r="A253" s="4" t="inlineStr">
        <is>
          <t>Interview Questions</t>
        </is>
      </c>
      <c r="B253" s="4" t="inlineStr">
        <is>
          <t>Java Interview Questions for Freshers</t>
        </is>
      </c>
      <c r="C253" s="4" t="inlineStr">
        <is>
          <t>Practice these 146 Java MCQs with detailed explanations and prepare yourself for fresher interviews in Java.</t>
        </is>
      </c>
      <c r="D253" s="4" t="inlineStr">
        <is>
          <t>Lambda expressions and functional interfaces - Lambda expressions and functional interfaces</t>
        </is>
      </c>
      <c r="E253" s="4" t="n">
        <v>134</v>
      </c>
      <c r="F253" s="4" t="inlineStr">
        <is>
          <t>Functional Interface Annotation</t>
        </is>
      </c>
      <c r="G253" s="4" t="inlineStr">
        <is>
          <t>JAVAMCQ138</t>
        </is>
      </c>
      <c r="H253" s="4" t="inlineStr"/>
      <c r="I253" s="4" t="inlineStr">
        <is>
          <t>Easy</t>
        </is>
      </c>
      <c r="J253" s="5">
        <f>HYPERLINK("https://www.codechef.com/problems/JAVAMCQ138", "https://www.codechef.com/problems/JAVAMCQ138")</f>
        <v/>
      </c>
      <c r="K253" s="4" t="inlineStr"/>
      <c r="L253" s="4" t="inlineStr"/>
      <c r="M253" s="4" t="inlineStr"/>
      <c r="N253" s="4" t="inlineStr">
        <is>
          <t>No</t>
        </is>
      </c>
      <c r="O253" s="4" t="inlineStr">
        <is>
          <t>Unattempted</t>
        </is>
      </c>
    </row>
    <row r="254">
      <c r="A254" s="2" t="inlineStr">
        <is>
          <t>Interview Questions</t>
        </is>
      </c>
      <c r="B254" s="2" t="inlineStr">
        <is>
          <t>Java Interview Questions for Freshers</t>
        </is>
      </c>
      <c r="C254" s="2" t="inlineStr">
        <is>
          <t>Practice these 146 Java MCQs with detailed explanations and prepare yourself for fresher interviews in Java.</t>
        </is>
      </c>
      <c r="D254" s="2" t="inlineStr">
        <is>
          <t>Lambda expressions and functional interfaces - Lambda expressions and functional interfaces</t>
        </is>
      </c>
      <c r="E254" s="2" t="n">
        <v>135</v>
      </c>
      <c r="F254" s="2" t="inlineStr">
        <is>
          <t>Lambda Expression vs Anonymous Class</t>
        </is>
      </c>
      <c r="G254" s="2" t="inlineStr">
        <is>
          <t>JAVAMCQ139</t>
        </is>
      </c>
      <c r="H254" s="2" t="inlineStr"/>
      <c r="I254" s="2" t="inlineStr">
        <is>
          <t>Medium</t>
        </is>
      </c>
      <c r="J254" s="3">
        <f>HYPERLINK("https://www.codechef.com/problems/JAVAMCQ139", "https://www.codechef.com/problems/JAVAMCQ139")</f>
        <v/>
      </c>
      <c r="K254" s="2" t="inlineStr"/>
      <c r="L254" s="2" t="inlineStr"/>
      <c r="M254" s="2" t="inlineStr"/>
      <c r="N254" s="2" t="inlineStr">
        <is>
          <t>No</t>
        </is>
      </c>
      <c r="O254" s="2" t="inlineStr">
        <is>
          <t>Unattempted</t>
        </is>
      </c>
    </row>
    <row r="255">
      <c r="A255" s="4" t="inlineStr">
        <is>
          <t>Interview Questions</t>
        </is>
      </c>
      <c r="B255" s="4" t="inlineStr">
        <is>
          <t>Java Interview Questions for Freshers</t>
        </is>
      </c>
      <c r="C255" s="4" t="inlineStr">
        <is>
          <t>Practice these 146 Java MCQs with detailed explanations and prepare yourself for fresher interviews in Java.</t>
        </is>
      </c>
      <c r="D255" s="4" t="inlineStr">
        <is>
          <t>Lambda expressions and functional interfaces - Lambda expressions and functional interfaces</t>
        </is>
      </c>
      <c r="E255" s="4" t="n">
        <v>136</v>
      </c>
      <c r="F255" s="4" t="inlineStr">
        <is>
          <t>Built-in Functional Interfaces</t>
        </is>
      </c>
      <c r="G255" s="4" t="inlineStr">
        <is>
          <t>JAVAMCQ140</t>
        </is>
      </c>
      <c r="H255" s="4" t="inlineStr"/>
      <c r="I255" s="4" t="inlineStr">
        <is>
          <t>Easy</t>
        </is>
      </c>
      <c r="J255" s="5">
        <f>HYPERLINK("https://www.codechef.com/problems/JAVAMCQ140", "https://www.codechef.com/problems/JAVAMCQ140")</f>
        <v/>
      </c>
      <c r="K255" s="4" t="inlineStr"/>
      <c r="L255" s="4" t="inlineStr"/>
      <c r="M255" s="4" t="inlineStr"/>
      <c r="N255" s="4" t="inlineStr">
        <is>
          <t>No</t>
        </is>
      </c>
      <c r="O255" s="4" t="inlineStr">
        <is>
          <t>Unattempted</t>
        </is>
      </c>
    </row>
    <row r="256">
      <c r="A256" s="2" t="inlineStr">
        <is>
          <t>Interview Questions</t>
        </is>
      </c>
      <c r="B256" s="2" t="inlineStr">
        <is>
          <t>Java Interview Questions for Freshers</t>
        </is>
      </c>
      <c r="C256" s="2" t="inlineStr">
        <is>
          <t>Practice these 146 Java MCQs with detailed explanations and prepare yourself for fresher interviews in Java.</t>
        </is>
      </c>
      <c r="D256" s="2" t="inlineStr">
        <is>
          <t>Java 8+ features (Stream API, Optional class) - Java 8+ features (Stream API, Optional class)</t>
        </is>
      </c>
      <c r="E256" s="2" t="n">
        <v>137</v>
      </c>
      <c r="F256" s="2" t="inlineStr">
        <is>
          <t>Stream API Operation</t>
        </is>
      </c>
      <c r="G256" s="2" t="inlineStr">
        <is>
          <t>JAVAMCQ141</t>
        </is>
      </c>
      <c r="H256" s="2" t="inlineStr"/>
      <c r="I256" s="2" t="inlineStr">
        <is>
          <t>Easy</t>
        </is>
      </c>
      <c r="J256" s="3">
        <f>HYPERLINK("https://www.codechef.com/problems/JAVAMCQ141", "https://www.codechef.com/problems/JAVAMCQ141")</f>
        <v/>
      </c>
      <c r="K256" s="2" t="inlineStr"/>
      <c r="L256" s="2" t="inlineStr"/>
      <c r="M256" s="2" t="inlineStr"/>
      <c r="N256" s="2" t="inlineStr">
        <is>
          <t>No</t>
        </is>
      </c>
      <c r="O256" s="2" t="inlineStr">
        <is>
          <t>Unattempted</t>
        </is>
      </c>
    </row>
    <row r="257">
      <c r="A257" s="4" t="inlineStr">
        <is>
          <t>Interview Questions</t>
        </is>
      </c>
      <c r="B257" s="4" t="inlineStr">
        <is>
          <t>Java Interview Questions for Freshers</t>
        </is>
      </c>
      <c r="C257" s="4" t="inlineStr">
        <is>
          <t>Practice these 146 Java MCQs with detailed explanations and prepare yourself for fresher interviews in Java.</t>
        </is>
      </c>
      <c r="D257" s="4" t="inlineStr">
        <is>
          <t>Java 8+ features (Stream API, Optional class) - Java 8+ features (Stream API, Optional class)</t>
        </is>
      </c>
      <c r="E257" s="4" t="n">
        <v>138</v>
      </c>
      <c r="F257" s="4" t="inlineStr">
        <is>
          <t>Optional Class Usage</t>
        </is>
      </c>
      <c r="G257" s="4" t="inlineStr">
        <is>
          <t>JAVAMCQ142</t>
        </is>
      </c>
      <c r="H257" s="4" t="inlineStr"/>
      <c r="I257" s="4" t="inlineStr">
        <is>
          <t>Easy</t>
        </is>
      </c>
      <c r="J257" s="5">
        <f>HYPERLINK("https://www.codechef.com/problems/JAVAMCQ142", "https://www.codechef.com/problems/JAVAMCQ142")</f>
        <v/>
      </c>
      <c r="K257" s="4" t="inlineStr"/>
      <c r="L257" s="4" t="inlineStr"/>
      <c r="M257" s="4" t="inlineStr"/>
      <c r="N257" s="4" t="inlineStr">
        <is>
          <t>No</t>
        </is>
      </c>
      <c r="O257" s="4" t="inlineStr">
        <is>
          <t>Unattempted</t>
        </is>
      </c>
    </row>
    <row r="258">
      <c r="A258" s="2" t="inlineStr">
        <is>
          <t>Interview Questions</t>
        </is>
      </c>
      <c r="B258" s="2" t="inlineStr">
        <is>
          <t>Java Interview Questions for Freshers</t>
        </is>
      </c>
      <c r="C258" s="2" t="inlineStr">
        <is>
          <t>Practice these 146 Java MCQs with detailed explanations and prepare yourself for fresher interviews in Java.</t>
        </is>
      </c>
      <c r="D258" s="2" t="inlineStr">
        <is>
          <t>Java 8+ features (Stream API, Optional class) - Java 8+ features (Stream API, Optional class)</t>
        </is>
      </c>
      <c r="E258" s="2" t="n">
        <v>139</v>
      </c>
      <c r="F258" s="2" t="inlineStr">
        <is>
          <t>Stream Creation</t>
        </is>
      </c>
      <c r="G258" s="2" t="inlineStr">
        <is>
          <t>JAVAMCQ143</t>
        </is>
      </c>
      <c r="H258" s="2" t="inlineStr"/>
      <c r="I258" s="2" t="inlineStr">
        <is>
          <t>Easy</t>
        </is>
      </c>
      <c r="J258" s="3">
        <f>HYPERLINK("https://www.codechef.com/problems/JAVAMCQ143", "https://www.codechef.com/problems/JAVAMCQ143")</f>
        <v/>
      </c>
      <c r="K258" s="2" t="inlineStr"/>
      <c r="L258" s="2" t="inlineStr"/>
      <c r="M258" s="2" t="inlineStr"/>
      <c r="N258" s="2" t="inlineStr">
        <is>
          <t>No</t>
        </is>
      </c>
      <c r="O258" s="2" t="inlineStr">
        <is>
          <t>Unattempted</t>
        </is>
      </c>
    </row>
    <row r="259">
      <c r="A259" s="4" t="inlineStr">
        <is>
          <t>Interview Questions</t>
        </is>
      </c>
      <c r="B259" s="4" t="inlineStr">
        <is>
          <t>Java Interview Questions for Freshers</t>
        </is>
      </c>
      <c r="C259" s="4" t="inlineStr">
        <is>
          <t>Practice these 146 Java MCQs with detailed explanations and prepare yourself for fresher interviews in Java.</t>
        </is>
      </c>
      <c r="D259" s="4" t="inlineStr">
        <is>
          <t>Java 8+ features (Stream API, Optional class) - Java 8+ features (Stream API, Optional class)</t>
        </is>
      </c>
      <c r="E259" s="4" t="n">
        <v>140</v>
      </c>
      <c r="F259" s="4" t="inlineStr">
        <is>
          <t>Lambda Expression</t>
        </is>
      </c>
      <c r="G259" s="4" t="inlineStr">
        <is>
          <t>JAVAMCQ144</t>
        </is>
      </c>
      <c r="H259" s="4" t="inlineStr"/>
      <c r="I259" s="4" t="inlineStr">
        <is>
          <t>Easy</t>
        </is>
      </c>
      <c r="J259" s="5">
        <f>HYPERLINK("https://www.codechef.com/problems/JAVAMCQ144", "https://www.codechef.com/problems/JAVAMCQ144")</f>
        <v/>
      </c>
      <c r="K259" s="4" t="inlineStr"/>
      <c r="L259" s="4" t="inlineStr"/>
      <c r="M259" s="4" t="inlineStr"/>
      <c r="N259" s="4" t="inlineStr">
        <is>
          <t>No</t>
        </is>
      </c>
      <c r="O259" s="4" t="inlineStr">
        <is>
          <t>Unattempted</t>
        </is>
      </c>
    </row>
    <row r="260">
      <c r="A260" s="2" t="inlineStr">
        <is>
          <t>Interview Questions</t>
        </is>
      </c>
      <c r="B260" s="2" t="inlineStr">
        <is>
          <t>Java Interview Questions for Freshers</t>
        </is>
      </c>
      <c r="C260" s="2" t="inlineStr">
        <is>
          <t>Practice these 146 Java MCQs with detailed explanations and prepare yourself for fresher interviews in Java.</t>
        </is>
      </c>
      <c r="D260" s="2" t="inlineStr">
        <is>
          <t>Java 8+ features (Stream API, Optional class) - Java 8+ features (Stream API, Optional class)</t>
        </is>
      </c>
      <c r="E260" s="2" t="n">
        <v>141</v>
      </c>
      <c r="F260" s="2" t="inlineStr">
        <is>
          <t>Stream Reduction</t>
        </is>
      </c>
      <c r="G260" s="2" t="inlineStr">
        <is>
          <t>JAVAMCQ145</t>
        </is>
      </c>
      <c r="H260" s="2" t="inlineStr"/>
      <c r="I260" s="2" t="inlineStr">
        <is>
          <t>Easy</t>
        </is>
      </c>
      <c r="J260" s="3">
        <f>HYPERLINK("https://www.codechef.com/problems/JAVAMCQ145", "https://www.codechef.com/problems/JAVAMCQ145")</f>
        <v/>
      </c>
      <c r="K260" s="2" t="inlineStr"/>
      <c r="L260" s="2" t="inlineStr"/>
      <c r="M260" s="2" t="inlineStr"/>
      <c r="N260" s="2" t="inlineStr">
        <is>
          <t>No</t>
        </is>
      </c>
      <c r="O260" s="2" t="inlineStr">
        <is>
          <t>Unattempted</t>
        </is>
      </c>
    </row>
    <row r="261">
      <c r="A261" s="4" t="inlineStr">
        <is>
          <t>Interview Questions</t>
        </is>
      </c>
      <c r="B261" s="4" t="inlineStr">
        <is>
          <t>Java Interview Questions for Freshers</t>
        </is>
      </c>
      <c r="C261" s="4" t="inlineStr">
        <is>
          <t>Practice these 146 Java MCQs with detailed explanations and prepare yourself for fresher interviews in Java.</t>
        </is>
      </c>
      <c r="D261" s="4" t="inlineStr">
        <is>
          <t>Java 8+ features (Stream API, Optional class) - Java 8+ features (Stream API, Optional class)</t>
        </is>
      </c>
      <c r="E261" s="4" t="n">
        <v>142</v>
      </c>
      <c r="F261" s="4" t="inlineStr">
        <is>
          <t>Optional Creation</t>
        </is>
      </c>
      <c r="G261" s="4" t="inlineStr">
        <is>
          <t>JAVAMCQ146</t>
        </is>
      </c>
      <c r="H261" s="4" t="inlineStr"/>
      <c r="I261" s="4" t="inlineStr">
        <is>
          <t>Easy</t>
        </is>
      </c>
      <c r="J261" s="5">
        <f>HYPERLINK("https://www.codechef.com/problems/JAVAMCQ146", "https://www.codechef.com/problems/JAVAMCQ146")</f>
        <v/>
      </c>
      <c r="K261" s="4" t="inlineStr"/>
      <c r="L261" s="4" t="inlineStr"/>
      <c r="M261" s="4" t="inlineStr"/>
      <c r="N261" s="4" t="inlineStr">
        <is>
          <t>No</t>
        </is>
      </c>
      <c r="O261" s="4" t="inlineStr">
        <is>
          <t>Unattempted</t>
        </is>
      </c>
    </row>
    <row r="262">
      <c r="A262" s="2" t="inlineStr">
        <is>
          <t>Interview Questions</t>
        </is>
      </c>
      <c r="B262" s="2" t="inlineStr">
        <is>
          <t>Java Interview Questions for Freshers</t>
        </is>
      </c>
      <c r="C262" s="2" t="inlineStr">
        <is>
          <t>Practice these 146 Java MCQs with detailed explanations and prepare yourself for fresher interviews in Java.</t>
        </is>
      </c>
      <c r="D262" s="2" t="inlineStr">
        <is>
          <t>Java 8+ features (Stream API, Optional class) - Java 8+ features (Stream API, Optional class)</t>
        </is>
      </c>
      <c r="E262" s="2" t="n">
        <v>143</v>
      </c>
      <c r="F262" s="2" t="inlineStr">
        <is>
          <t>Stream Filtering</t>
        </is>
      </c>
      <c r="G262" s="2" t="inlineStr">
        <is>
          <t>JAVAMCQ147</t>
        </is>
      </c>
      <c r="H262" s="2" t="inlineStr"/>
      <c r="I262" s="2" t="inlineStr">
        <is>
          <t>Medium</t>
        </is>
      </c>
      <c r="J262" s="3">
        <f>HYPERLINK("https://www.codechef.com/problems/JAVAMCQ147", "https://www.codechef.com/problems/JAVAMCQ147")</f>
        <v/>
      </c>
      <c r="K262" s="2" t="inlineStr"/>
      <c r="L262" s="2" t="inlineStr"/>
      <c r="M262" s="2" t="inlineStr"/>
      <c r="N262" s="2" t="inlineStr">
        <is>
          <t>No</t>
        </is>
      </c>
      <c r="O262" s="2" t="inlineStr">
        <is>
          <t>Unattempted</t>
        </is>
      </c>
    </row>
    <row r="263">
      <c r="A263" s="4" t="inlineStr">
        <is>
          <t>Interview Questions</t>
        </is>
      </c>
      <c r="B263" s="4" t="inlineStr">
        <is>
          <t>Java Interview Questions for Freshers</t>
        </is>
      </c>
      <c r="C263" s="4" t="inlineStr">
        <is>
          <t>Practice these 146 Java MCQs with detailed explanations and prepare yourself for fresher interviews in Java.</t>
        </is>
      </c>
      <c r="D263" s="4" t="inlineStr">
        <is>
          <t>Java 8+ features (Stream API, Optional class) - Java 8+ features (Stream API, Optional class)</t>
        </is>
      </c>
      <c r="E263" s="4" t="n">
        <v>144</v>
      </c>
      <c r="F263" s="4" t="inlineStr">
        <is>
          <t>Method Reference</t>
        </is>
      </c>
      <c r="G263" s="4" t="inlineStr">
        <is>
          <t>JAVAMCQ148</t>
        </is>
      </c>
      <c r="H263" s="4" t="inlineStr"/>
      <c r="I263" s="4" t="inlineStr">
        <is>
          <t>Easy</t>
        </is>
      </c>
      <c r="J263" s="5">
        <f>HYPERLINK("https://www.codechef.com/problems/JAVAMCQ148", "https://www.codechef.com/problems/JAVAMCQ148")</f>
        <v/>
      </c>
      <c r="K263" s="4" t="inlineStr"/>
      <c r="L263" s="4" t="inlineStr"/>
      <c r="M263" s="4" t="inlineStr"/>
      <c r="N263" s="4" t="inlineStr">
        <is>
          <t>No</t>
        </is>
      </c>
      <c r="O263" s="4" t="inlineStr">
        <is>
          <t>Unattempted</t>
        </is>
      </c>
    </row>
    <row r="264">
      <c r="A264" s="2" t="inlineStr">
        <is>
          <t>Interview Questions</t>
        </is>
      </c>
      <c r="B264" s="2" t="inlineStr">
        <is>
          <t>Java Interview Questions for Freshers</t>
        </is>
      </c>
      <c r="C264" s="2" t="inlineStr">
        <is>
          <t>Practice these 146 Java MCQs with detailed explanations and prepare yourself for fresher interviews in Java.</t>
        </is>
      </c>
      <c r="D264" s="2" t="inlineStr">
        <is>
          <t>Java 8+ features (Stream API, Optional class) - Java 8+ features (Stream API, Optional class)</t>
        </is>
      </c>
      <c r="E264" s="2" t="n">
        <v>145</v>
      </c>
      <c r="F264" s="2" t="inlineStr">
        <is>
          <t>Parallel Streams</t>
        </is>
      </c>
      <c r="G264" s="2" t="inlineStr">
        <is>
          <t>JAVAMCQ149</t>
        </is>
      </c>
      <c r="H264" s="2" t="inlineStr"/>
      <c r="I264" s="2" t="inlineStr">
        <is>
          <t>Easy</t>
        </is>
      </c>
      <c r="J264" s="3">
        <f>HYPERLINK("https://www.codechef.com/problems/JAVAMCQ149", "https://www.codechef.com/problems/JAVAMCQ149")</f>
        <v/>
      </c>
      <c r="K264" s="2" t="inlineStr"/>
      <c r="L264" s="2" t="inlineStr"/>
      <c r="M264" s="2" t="inlineStr"/>
      <c r="N264" s="2" t="inlineStr">
        <is>
          <t>No</t>
        </is>
      </c>
      <c r="O264" s="2" t="inlineStr">
        <is>
          <t>Unattempted</t>
        </is>
      </c>
    </row>
    <row r="265">
      <c r="A265" s="4" t="inlineStr">
        <is>
          <t>Interview Questions</t>
        </is>
      </c>
      <c r="B265" s="4" t="inlineStr">
        <is>
          <t>Java Interview Questions for Freshers</t>
        </is>
      </c>
      <c r="C265" s="4" t="inlineStr">
        <is>
          <t>Practice these 146 Java MCQs with detailed explanations and prepare yourself for fresher interviews in Java.</t>
        </is>
      </c>
      <c r="D265" s="4" t="inlineStr">
        <is>
          <t>Java 8+ features (Stream API, Optional class) - Java 8+ features (Stream API, Optional class)</t>
        </is>
      </c>
      <c r="E265" s="4" t="n">
        <v>146</v>
      </c>
      <c r="F265" s="4" t="inlineStr">
        <is>
          <t>Optional Chaining</t>
        </is>
      </c>
      <c r="G265" s="4" t="inlineStr">
        <is>
          <t>JAVAMCQ150</t>
        </is>
      </c>
      <c r="H265" s="4" t="inlineStr"/>
      <c r="I265" s="4" t="inlineStr">
        <is>
          <t>Easy</t>
        </is>
      </c>
      <c r="J265" s="5">
        <f>HYPERLINK("https://www.codechef.com/problems/JAVAMCQ150", "https://www.codechef.com/problems/JAVAMCQ150")</f>
        <v/>
      </c>
      <c r="K265" s="4" t="inlineStr"/>
      <c r="L265" s="4" t="inlineStr"/>
      <c r="M265" s="4" t="inlineStr"/>
      <c r="N265" s="4" t="inlineStr">
        <is>
          <t>No</t>
        </is>
      </c>
      <c r="O265" s="4" t="inlineStr">
        <is>
          <t>Unattempted</t>
        </is>
      </c>
    </row>
    <row r="266">
      <c r="A266" s="2" t="inlineStr">
        <is>
          <t>Interview Questions</t>
        </is>
      </c>
      <c r="B266" s="2" t="inlineStr">
        <is>
          <t>C++ Interview Questions and Answers</t>
        </is>
      </c>
      <c r="C266" s="2" t="inlineStr">
        <is>
          <t>Revise all the important concepts of C++ and prepare yourself for the interviews. Check explanation of the questions if you are not able to solve them and learn new concepts.</t>
        </is>
      </c>
      <c r="D266" s="2" t="inlineStr">
        <is>
          <t>Basic C++ Syntax and Concepts - Basic C++ Syntax and Concepts</t>
        </is>
      </c>
      <c r="E266" s="2" t="n">
        <v>1</v>
      </c>
      <c r="F266" s="2" t="inlineStr">
        <is>
          <t>Data Type Selection</t>
        </is>
      </c>
      <c r="G266" s="2" t="inlineStr">
        <is>
          <t>CPPMCQ01</t>
        </is>
      </c>
      <c r="H266" s="2" t="inlineStr"/>
      <c r="I266" s="2" t="inlineStr">
        <is>
          <t>Easy</t>
        </is>
      </c>
      <c r="J266" s="3">
        <f>HYPERLINK("https://www.codechef.com/problems/CPPMCQ01", "https://www.codechef.com/problems/CPPMCQ01")</f>
        <v/>
      </c>
      <c r="K266" s="2" t="inlineStr"/>
      <c r="L266" s="2" t="inlineStr"/>
      <c r="M266" s="2" t="inlineStr"/>
      <c r="N266" s="2" t="inlineStr">
        <is>
          <t>No</t>
        </is>
      </c>
      <c r="O266" s="2" t="inlineStr">
        <is>
          <t>Unattempted</t>
        </is>
      </c>
    </row>
    <row r="267">
      <c r="A267" s="4" t="inlineStr">
        <is>
          <t>Interview Questions</t>
        </is>
      </c>
      <c r="B267" s="4" t="inlineStr">
        <is>
          <t>C++ Interview Questions and Answers</t>
        </is>
      </c>
      <c r="C267" s="4" t="inlineStr">
        <is>
          <t>Revise all the important concepts of C++ and prepare yourself for the interviews. Check explanation of the questions if you are not able to solve them and learn new concepts.</t>
        </is>
      </c>
      <c r="D267" s="4" t="inlineStr">
        <is>
          <t>Basic C++ Syntax and Concepts - Basic C++ Syntax and Concepts</t>
        </is>
      </c>
      <c r="E267" s="4" t="n">
        <v>2</v>
      </c>
      <c r="F267" s="4" t="inlineStr">
        <is>
          <t>Operator Precedence</t>
        </is>
      </c>
      <c r="G267" s="4" t="inlineStr">
        <is>
          <t>CPPMCQ02</t>
        </is>
      </c>
      <c r="H267" s="4" t="inlineStr"/>
      <c r="I267" s="4" t="inlineStr">
        <is>
          <t>Easy</t>
        </is>
      </c>
      <c r="J267" s="5">
        <f>HYPERLINK("https://www.codechef.com/problems/CPPMCQ02", "https://www.codechef.com/problems/CPPMCQ02")</f>
        <v/>
      </c>
      <c r="K267" s="4" t="inlineStr"/>
      <c r="L267" s="4" t="inlineStr"/>
      <c r="M267" s="4" t="inlineStr"/>
      <c r="N267" s="4" t="inlineStr">
        <is>
          <t>No</t>
        </is>
      </c>
      <c r="O267" s="4" t="inlineStr">
        <is>
          <t>Unattempted</t>
        </is>
      </c>
    </row>
    <row r="268">
      <c r="A268" s="2" t="inlineStr">
        <is>
          <t>Interview Questions</t>
        </is>
      </c>
      <c r="B268" s="2" t="inlineStr">
        <is>
          <t>C++ Interview Questions and Answers</t>
        </is>
      </c>
      <c r="C268" s="2" t="inlineStr">
        <is>
          <t>Revise all the important concepts of C++ and prepare yourself for the interviews. Check explanation of the questions if you are not able to solve them and learn new concepts.</t>
        </is>
      </c>
      <c r="D268" s="2" t="inlineStr">
        <is>
          <t>Basic C++ Syntax and Concepts - Basic C++ Syntax and Concepts</t>
        </is>
      </c>
      <c r="E268" s="2" t="n">
        <v>3</v>
      </c>
      <c r="F268" s="2" t="inlineStr">
        <is>
          <t>Control Structure Behavior</t>
        </is>
      </c>
      <c r="G268" s="2" t="inlineStr">
        <is>
          <t>CPPMCQ03</t>
        </is>
      </c>
      <c r="H268" s="2" t="inlineStr"/>
      <c r="I268" s="2" t="inlineStr">
        <is>
          <t>Easy</t>
        </is>
      </c>
      <c r="J268" s="3">
        <f>HYPERLINK("https://www.codechef.com/problems/CPPMCQ03", "https://www.codechef.com/problems/CPPMCQ03")</f>
        <v/>
      </c>
      <c r="K268" s="2" t="inlineStr"/>
      <c r="L268" s="2" t="inlineStr"/>
      <c r="M268" s="2" t="inlineStr"/>
      <c r="N268" s="2" t="inlineStr">
        <is>
          <t>No</t>
        </is>
      </c>
      <c r="O268" s="2" t="inlineStr">
        <is>
          <t>Unattempted</t>
        </is>
      </c>
    </row>
    <row r="269">
      <c r="A269" s="4" t="inlineStr">
        <is>
          <t>Interview Questions</t>
        </is>
      </c>
      <c r="B269" s="4" t="inlineStr">
        <is>
          <t>C++ Interview Questions and Answers</t>
        </is>
      </c>
      <c r="C269" s="4" t="inlineStr">
        <is>
          <t>Revise all the important concepts of C++ and prepare yourself for the interviews. Check explanation of the questions if you are not able to solve them and learn new concepts.</t>
        </is>
      </c>
      <c r="D269" s="4" t="inlineStr">
        <is>
          <t>Basic C++ Syntax and Concepts - Basic C++ Syntax and Concepts</t>
        </is>
      </c>
      <c r="E269" s="4" t="n">
        <v>4</v>
      </c>
      <c r="F269" s="4" t="inlineStr">
        <is>
          <t>Loop Execution</t>
        </is>
      </c>
      <c r="G269" s="4" t="inlineStr">
        <is>
          <t>CPPMCQ04</t>
        </is>
      </c>
      <c r="H269" s="4" t="inlineStr"/>
      <c r="I269" s="4" t="inlineStr">
        <is>
          <t>Easy</t>
        </is>
      </c>
      <c r="J269" s="5">
        <f>HYPERLINK("https://www.codechef.com/problems/CPPMCQ04", "https://www.codechef.com/problems/CPPMCQ04")</f>
        <v/>
      </c>
      <c r="K269" s="4" t="inlineStr"/>
      <c r="L269" s="4" t="inlineStr"/>
      <c r="M269" s="4" t="inlineStr"/>
      <c r="N269" s="4" t="inlineStr">
        <is>
          <t>No</t>
        </is>
      </c>
      <c r="O269" s="4" t="inlineStr">
        <is>
          <t>Unattempted</t>
        </is>
      </c>
    </row>
    <row r="270">
      <c r="A270" s="2" t="inlineStr">
        <is>
          <t>Interview Questions</t>
        </is>
      </c>
      <c r="B270" s="2" t="inlineStr">
        <is>
          <t>C++ Interview Questions and Answers</t>
        </is>
      </c>
      <c r="C270" s="2" t="inlineStr">
        <is>
          <t>Revise all the important concepts of C++ and prepare yourself for the interviews. Check explanation of the questions if you are not able to solve them and learn new concepts.</t>
        </is>
      </c>
      <c r="D270" s="2" t="inlineStr">
        <is>
          <t>Basic C++ Syntax and Concepts - Basic C++ Syntax and Concepts</t>
        </is>
      </c>
      <c r="E270" s="2" t="n">
        <v>5</v>
      </c>
      <c r="F270" s="2" t="inlineStr">
        <is>
          <t>Function Overloading</t>
        </is>
      </c>
      <c r="G270" s="2" t="inlineStr">
        <is>
          <t>CPPMCQ05</t>
        </is>
      </c>
      <c r="H270" s="2" t="inlineStr"/>
      <c r="I270" s="2" t="inlineStr">
        <is>
          <t>Easy</t>
        </is>
      </c>
      <c r="J270" s="3">
        <f>HYPERLINK("https://www.codechef.com/problems/CPPMCQ05", "https://www.codechef.com/problems/CPPMCQ05")</f>
        <v/>
      </c>
      <c r="K270" s="2" t="inlineStr"/>
      <c r="L270" s="2" t="inlineStr"/>
      <c r="M270" s="2" t="inlineStr"/>
      <c r="N270" s="2" t="inlineStr">
        <is>
          <t>No</t>
        </is>
      </c>
      <c r="O270" s="2" t="inlineStr">
        <is>
          <t>Unattempted</t>
        </is>
      </c>
    </row>
    <row r="271">
      <c r="A271" s="4" t="inlineStr">
        <is>
          <t>Interview Questions</t>
        </is>
      </c>
      <c r="B271" s="4" t="inlineStr">
        <is>
          <t>C++ Interview Questions and Answers</t>
        </is>
      </c>
      <c r="C271" s="4" t="inlineStr">
        <is>
          <t>Revise all the important concepts of C++ and prepare yourself for the interviews. Check explanation of the questions if you are not able to solve them and learn new concepts.</t>
        </is>
      </c>
      <c r="D271" s="4" t="inlineStr">
        <is>
          <t>Basic C++ Syntax and Concepts - Basic C++ Syntax and Concepts</t>
        </is>
      </c>
      <c r="E271" s="4" t="n">
        <v>6</v>
      </c>
      <c r="F271" s="4" t="inlineStr">
        <is>
          <t>Variable Scope</t>
        </is>
      </c>
      <c r="G271" s="4" t="inlineStr">
        <is>
          <t>CPPMCQ06</t>
        </is>
      </c>
      <c r="H271" s="4" t="inlineStr"/>
      <c r="I271" s="4" t="inlineStr">
        <is>
          <t>Easy</t>
        </is>
      </c>
      <c r="J271" s="5">
        <f>HYPERLINK("https://www.codechef.com/problems/CPPMCQ06", "https://www.codechef.com/problems/CPPMCQ06")</f>
        <v/>
      </c>
      <c r="K271" s="4" t="inlineStr"/>
      <c r="L271" s="4" t="inlineStr"/>
      <c r="M271" s="4" t="inlineStr"/>
      <c r="N271" s="4" t="inlineStr">
        <is>
          <t>No</t>
        </is>
      </c>
      <c r="O271" s="4" t="inlineStr">
        <is>
          <t>Unattempted</t>
        </is>
      </c>
    </row>
    <row r="272">
      <c r="A272" s="2" t="inlineStr">
        <is>
          <t>Interview Questions</t>
        </is>
      </c>
      <c r="B272" s="2" t="inlineStr">
        <is>
          <t>C++ Interview Questions and Answers</t>
        </is>
      </c>
      <c r="C272" s="2" t="inlineStr">
        <is>
          <t>Revise all the important concepts of C++ and prepare yourself for the interviews. Check explanation of the questions if you are not able to solve them and learn new concepts.</t>
        </is>
      </c>
      <c r="D272" s="2" t="inlineStr">
        <is>
          <t>Basic C++ Syntax and Concepts - Basic C++ Syntax and Concepts</t>
        </is>
      </c>
      <c r="E272" s="2" t="n">
        <v>7</v>
      </c>
      <c r="F272" s="2" t="inlineStr">
        <is>
          <t>Switch Statement Behavior</t>
        </is>
      </c>
      <c r="G272" s="2" t="inlineStr">
        <is>
          <t>CPPMCQ07</t>
        </is>
      </c>
      <c r="H272" s="2" t="inlineStr"/>
      <c r="I272" s="2" t="inlineStr">
        <is>
          <t>Easy</t>
        </is>
      </c>
      <c r="J272" s="3">
        <f>HYPERLINK("https://www.codechef.com/problems/CPPMCQ07", "https://www.codechef.com/problems/CPPMCQ07")</f>
        <v/>
      </c>
      <c r="K272" s="2" t="inlineStr"/>
      <c r="L272" s="2" t="inlineStr"/>
      <c r="M272" s="2" t="inlineStr"/>
      <c r="N272" s="2" t="inlineStr">
        <is>
          <t>No</t>
        </is>
      </c>
      <c r="O272" s="2" t="inlineStr">
        <is>
          <t>Unattempted</t>
        </is>
      </c>
    </row>
    <row r="273">
      <c r="A273" s="4" t="inlineStr">
        <is>
          <t>Interview Questions</t>
        </is>
      </c>
      <c r="B273" s="4" t="inlineStr">
        <is>
          <t>C++ Interview Questions and Answers</t>
        </is>
      </c>
      <c r="C273" s="4" t="inlineStr">
        <is>
          <t>Revise all the important concepts of C++ and prepare yourself for the interviews. Check explanation of the questions if you are not able to solve them and learn new concepts.</t>
        </is>
      </c>
      <c r="D273" s="4" t="inlineStr">
        <is>
          <t>Basic C++ Syntax and Concepts - Basic C++ Syntax and Concepts</t>
        </is>
      </c>
      <c r="E273" s="4" t="n">
        <v>8</v>
      </c>
      <c r="F273" s="4" t="inlineStr">
        <is>
          <t>Reference Variable</t>
        </is>
      </c>
      <c r="G273" s="4" t="inlineStr">
        <is>
          <t>CPPMCQ08</t>
        </is>
      </c>
      <c r="H273" s="4" t="inlineStr"/>
      <c r="I273" s="4" t="inlineStr">
        <is>
          <t>Easy</t>
        </is>
      </c>
      <c r="J273" s="5">
        <f>HYPERLINK("https://www.codechef.com/problems/CPPMCQ08", "https://www.codechef.com/problems/CPPMCQ08")</f>
        <v/>
      </c>
      <c r="K273" s="4" t="inlineStr"/>
      <c r="L273" s="4" t="inlineStr"/>
      <c r="M273" s="4" t="inlineStr"/>
      <c r="N273" s="4" t="inlineStr">
        <is>
          <t>No</t>
        </is>
      </c>
      <c r="O273" s="4" t="inlineStr">
        <is>
          <t>Unattempted</t>
        </is>
      </c>
    </row>
    <row r="274">
      <c r="A274" s="2" t="inlineStr">
        <is>
          <t>Interview Questions</t>
        </is>
      </c>
      <c r="B274" s="2" t="inlineStr">
        <is>
          <t>C++ Interview Questions and Answers</t>
        </is>
      </c>
      <c r="C274" s="2" t="inlineStr">
        <is>
          <t>Revise all the important concepts of C++ and prepare yourself for the interviews. Check explanation of the questions if you are not able to solve them and learn new concepts.</t>
        </is>
      </c>
      <c r="D274" s="2" t="inlineStr">
        <is>
          <t>Basic C++ Syntax and Concepts - Basic C++ Syntax and Concepts</t>
        </is>
      </c>
      <c r="E274" s="2" t="n">
        <v>9</v>
      </c>
      <c r="F274" s="2" t="inlineStr">
        <is>
          <t>Const Keyword Usage</t>
        </is>
      </c>
      <c r="G274" s="2" t="inlineStr">
        <is>
          <t>CPPMCQ09</t>
        </is>
      </c>
      <c r="H274" s="2" t="inlineStr"/>
      <c r="I274" s="2" t="inlineStr">
        <is>
          <t>Easy</t>
        </is>
      </c>
      <c r="J274" s="3">
        <f>HYPERLINK("https://www.codechef.com/problems/CPPMCQ09", "https://www.codechef.com/problems/CPPMCQ09")</f>
        <v/>
      </c>
      <c r="K274" s="2" t="inlineStr"/>
      <c r="L274" s="2" t="inlineStr"/>
      <c r="M274" s="2" t="inlineStr"/>
      <c r="N274" s="2" t="inlineStr">
        <is>
          <t>No</t>
        </is>
      </c>
      <c r="O274" s="2" t="inlineStr">
        <is>
          <t>Unattempted</t>
        </is>
      </c>
    </row>
    <row r="275">
      <c r="A275" s="4" t="inlineStr">
        <is>
          <t>Interview Questions</t>
        </is>
      </c>
      <c r="B275" s="4" t="inlineStr">
        <is>
          <t>C++ Interview Questions and Answers</t>
        </is>
      </c>
      <c r="C275" s="4" t="inlineStr">
        <is>
          <t>Revise all the important concepts of C++ and prepare yourself for the interviews. Check explanation of the questions if you are not able to solve them and learn new concepts.</t>
        </is>
      </c>
      <c r="D275" s="4" t="inlineStr">
        <is>
          <t>Basic C++ Syntax and Concepts - Basic C++ Syntax and Concepts</t>
        </is>
      </c>
      <c r="E275" s="4" t="n">
        <v>10</v>
      </c>
      <c r="F275" s="4" t="inlineStr">
        <is>
          <t>Ternary Operator</t>
        </is>
      </c>
      <c r="G275" s="4" t="inlineStr">
        <is>
          <t>CPPMCQ10</t>
        </is>
      </c>
      <c r="H275" s="4" t="inlineStr"/>
      <c r="I275" s="4" t="inlineStr">
        <is>
          <t>Easy</t>
        </is>
      </c>
      <c r="J275" s="5">
        <f>HYPERLINK("https://www.codechef.com/problems/CPPMCQ10", "https://www.codechef.com/problems/CPPMCQ10")</f>
        <v/>
      </c>
      <c r="K275" s="4" t="inlineStr"/>
      <c r="L275" s="4" t="inlineStr"/>
      <c r="M275" s="4" t="inlineStr"/>
      <c r="N275" s="4" t="inlineStr">
        <is>
          <t>No</t>
        </is>
      </c>
      <c r="O275" s="4" t="inlineStr">
        <is>
          <t>Unattempted</t>
        </is>
      </c>
    </row>
    <row r="276">
      <c r="A276" s="2" t="inlineStr">
        <is>
          <t>Interview Questions</t>
        </is>
      </c>
      <c r="B276" s="2" t="inlineStr">
        <is>
          <t>C++ Interview Questions and Answers</t>
        </is>
      </c>
      <c r="C276" s="2" t="inlineStr">
        <is>
          <t>Revise all the important concepts of C++ and prepare yourself for the interviews. Check explanation of the questions if you are not able to solve them and learn new concepts.</t>
        </is>
      </c>
      <c r="D276" s="2" t="inlineStr">
        <is>
          <t>Object-Oriented Programming (OOP) Basics - Object-Oriented Programming (OOP)</t>
        </is>
      </c>
      <c r="E276" s="2" t="n">
        <v>11</v>
      </c>
      <c r="F276" s="2" t="inlineStr">
        <is>
          <t>Class Definition</t>
        </is>
      </c>
      <c r="G276" s="2" t="inlineStr">
        <is>
          <t>CPPMCQ11</t>
        </is>
      </c>
      <c r="H276" s="2" t="inlineStr"/>
      <c r="I276" s="2" t="inlineStr">
        <is>
          <t>Easy</t>
        </is>
      </c>
      <c r="J276" s="3">
        <f>HYPERLINK("https://www.codechef.com/problems/CPPMCQ11", "https://www.codechef.com/problems/CPPMCQ11")</f>
        <v/>
      </c>
      <c r="K276" s="2" t="inlineStr"/>
      <c r="L276" s="2" t="inlineStr"/>
      <c r="M276" s="2" t="inlineStr"/>
      <c r="N276" s="2" t="inlineStr">
        <is>
          <t>No</t>
        </is>
      </c>
      <c r="O276" s="2" t="inlineStr">
        <is>
          <t>Unattempted</t>
        </is>
      </c>
    </row>
    <row r="277">
      <c r="A277" s="4" t="inlineStr">
        <is>
          <t>Interview Questions</t>
        </is>
      </c>
      <c r="B277" s="4" t="inlineStr">
        <is>
          <t>C++ Interview Questions and Answers</t>
        </is>
      </c>
      <c r="C277" s="4" t="inlineStr">
        <is>
          <t>Revise all the important concepts of C++ and prepare yourself for the interviews. Check explanation of the questions if you are not able to solve them and learn new concepts.</t>
        </is>
      </c>
      <c r="D277" s="4" t="inlineStr">
        <is>
          <t>Object-Oriented Programming (OOP) Basics - Object-Oriented Programming (OOP)</t>
        </is>
      </c>
      <c r="E277" s="4" t="n">
        <v>12</v>
      </c>
      <c r="F277" s="4" t="inlineStr">
        <is>
          <t>Object Creation</t>
        </is>
      </c>
      <c r="G277" s="4" t="inlineStr">
        <is>
          <t>CPPMCQ12</t>
        </is>
      </c>
      <c r="H277" s="4" t="inlineStr"/>
      <c r="I277" s="4" t="inlineStr">
        <is>
          <t>Easy</t>
        </is>
      </c>
      <c r="J277" s="5">
        <f>HYPERLINK("https://www.codechef.com/problems/CPPMCQ12", "https://www.codechef.com/problems/CPPMCQ12")</f>
        <v/>
      </c>
      <c r="K277" s="4" t="inlineStr"/>
      <c r="L277" s="4" t="inlineStr"/>
      <c r="M277" s="4" t="inlineStr"/>
      <c r="N277" s="4" t="inlineStr">
        <is>
          <t>No</t>
        </is>
      </c>
      <c r="O277" s="4" t="inlineStr">
        <is>
          <t>Unattempted</t>
        </is>
      </c>
    </row>
    <row r="278">
      <c r="A278" s="2" t="inlineStr">
        <is>
          <t>Interview Questions</t>
        </is>
      </c>
      <c r="B278" s="2" t="inlineStr">
        <is>
          <t>C++ Interview Questions and Answers</t>
        </is>
      </c>
      <c r="C278" s="2" t="inlineStr">
        <is>
          <t>Revise all the important concepts of C++ and prepare yourself for the interviews. Check explanation of the questions if you are not able to solve them and learn new concepts.</t>
        </is>
      </c>
      <c r="D278" s="2" t="inlineStr">
        <is>
          <t>Object-Oriented Programming (OOP) Basics - Object-Oriented Programming (OOP)</t>
        </is>
      </c>
      <c r="E278" s="2" t="n">
        <v>13</v>
      </c>
      <c r="F278" s="2" t="inlineStr">
        <is>
          <t>Access Specifiers</t>
        </is>
      </c>
      <c r="G278" s="2" t="inlineStr">
        <is>
          <t>CPPMCQ13</t>
        </is>
      </c>
      <c r="H278" s="2" t="inlineStr"/>
      <c r="I278" s="2" t="inlineStr">
        <is>
          <t>Easy</t>
        </is>
      </c>
      <c r="J278" s="3">
        <f>HYPERLINK("https://www.codechef.com/problems/CPPMCQ13", "https://www.codechef.com/problems/CPPMCQ13")</f>
        <v/>
      </c>
      <c r="K278" s="2" t="inlineStr"/>
      <c r="L278" s="2" t="inlineStr"/>
      <c r="M278" s="2" t="inlineStr"/>
      <c r="N278" s="2" t="inlineStr">
        <is>
          <t>No</t>
        </is>
      </c>
      <c r="O278" s="2" t="inlineStr">
        <is>
          <t>Unattempted</t>
        </is>
      </c>
    </row>
    <row r="279">
      <c r="A279" s="4" t="inlineStr">
        <is>
          <t>Interview Questions</t>
        </is>
      </c>
      <c r="B279" s="4" t="inlineStr">
        <is>
          <t>C++ Interview Questions and Answers</t>
        </is>
      </c>
      <c r="C279" s="4" t="inlineStr">
        <is>
          <t>Revise all the important concepts of C++ and prepare yourself for the interviews. Check explanation of the questions if you are not able to solve them and learn new concepts.</t>
        </is>
      </c>
      <c r="D279" s="4" t="inlineStr">
        <is>
          <t>Object-Oriented Programming (OOP) Basics - Object-Oriented Programming (OOP)</t>
        </is>
      </c>
      <c r="E279" s="4" t="n">
        <v>14</v>
      </c>
      <c r="F279" s="4" t="inlineStr">
        <is>
          <t>Inheritance Syntax</t>
        </is>
      </c>
      <c r="G279" s="4" t="inlineStr">
        <is>
          <t>CPPMCQ14</t>
        </is>
      </c>
      <c r="H279" s="4" t="inlineStr"/>
      <c r="I279" s="4" t="inlineStr">
        <is>
          <t>Easy</t>
        </is>
      </c>
      <c r="J279" s="5">
        <f>HYPERLINK("https://www.codechef.com/problems/CPPMCQ14", "https://www.codechef.com/problems/CPPMCQ14")</f>
        <v/>
      </c>
      <c r="K279" s="4" t="inlineStr"/>
      <c r="L279" s="4" t="inlineStr"/>
      <c r="M279" s="4" t="inlineStr"/>
      <c r="N279" s="4" t="inlineStr">
        <is>
          <t>No</t>
        </is>
      </c>
      <c r="O279" s="4" t="inlineStr">
        <is>
          <t>Unattempted</t>
        </is>
      </c>
    </row>
    <row r="280">
      <c r="A280" s="2" t="inlineStr">
        <is>
          <t>Interview Questions</t>
        </is>
      </c>
      <c r="B280" s="2" t="inlineStr">
        <is>
          <t>C++ Interview Questions and Answers</t>
        </is>
      </c>
      <c r="C280" s="2" t="inlineStr">
        <is>
          <t>Revise all the important concepts of C++ and prepare yourself for the interviews. Check explanation of the questions if you are not able to solve them and learn new concepts.</t>
        </is>
      </c>
      <c r="D280" s="2" t="inlineStr">
        <is>
          <t>Object-Oriented Programming (OOP) Basics - Object-Oriented Programming (OOP)</t>
        </is>
      </c>
      <c r="E280" s="2" t="n">
        <v>15</v>
      </c>
      <c r="F280" s="2" t="inlineStr">
        <is>
          <t>Virtual Functions</t>
        </is>
      </c>
      <c r="G280" s="2" t="inlineStr">
        <is>
          <t>CPPMCQ15</t>
        </is>
      </c>
      <c r="H280" s="2" t="inlineStr"/>
      <c r="I280" s="2" t="inlineStr">
        <is>
          <t>Easy</t>
        </is>
      </c>
      <c r="J280" s="3">
        <f>HYPERLINK("https://www.codechef.com/problems/CPPMCQ15", "https://www.codechef.com/problems/CPPMCQ15")</f>
        <v/>
      </c>
      <c r="K280" s="2" t="inlineStr"/>
      <c r="L280" s="2" t="inlineStr"/>
      <c r="M280" s="2" t="inlineStr"/>
      <c r="N280" s="2" t="inlineStr">
        <is>
          <t>No</t>
        </is>
      </c>
      <c r="O280" s="2" t="inlineStr">
        <is>
          <t>Unattempted</t>
        </is>
      </c>
    </row>
    <row r="281">
      <c r="A281" s="4" t="inlineStr">
        <is>
          <t>Interview Questions</t>
        </is>
      </c>
      <c r="B281" s="4" t="inlineStr">
        <is>
          <t>C++ Interview Questions and Answers</t>
        </is>
      </c>
      <c r="C281" s="4" t="inlineStr">
        <is>
          <t>Revise all the important concepts of C++ and prepare yourself for the interviews. Check explanation of the questions if you are not able to solve them and learn new concepts.</t>
        </is>
      </c>
      <c r="D281" s="4" t="inlineStr">
        <is>
          <t>Object-Oriented Programming (OOP) Basics - Object-Oriented Programming (OOP)</t>
        </is>
      </c>
      <c r="E281" s="4" t="n">
        <v>16</v>
      </c>
      <c r="F281" s="4" t="inlineStr">
        <is>
          <t>Constructor Syntax</t>
        </is>
      </c>
      <c r="G281" s="4" t="inlineStr">
        <is>
          <t>CPPMCQ16</t>
        </is>
      </c>
      <c r="H281" s="4" t="inlineStr"/>
      <c r="I281" s="4" t="inlineStr">
        <is>
          <t>Easy</t>
        </is>
      </c>
      <c r="J281" s="5">
        <f>HYPERLINK("https://www.codechef.com/problems/CPPMCQ16", "https://www.codechef.com/problems/CPPMCQ16")</f>
        <v/>
      </c>
      <c r="K281" s="4" t="inlineStr"/>
      <c r="L281" s="4" t="inlineStr"/>
      <c r="M281" s="4" t="inlineStr"/>
      <c r="N281" s="4" t="inlineStr">
        <is>
          <t>No</t>
        </is>
      </c>
      <c r="O281" s="4" t="inlineStr">
        <is>
          <t>Unattempted</t>
        </is>
      </c>
    </row>
    <row r="282">
      <c r="A282" s="2" t="inlineStr">
        <is>
          <t>Interview Questions</t>
        </is>
      </c>
      <c r="B282" s="2" t="inlineStr">
        <is>
          <t>C++ Interview Questions and Answers</t>
        </is>
      </c>
      <c r="C282" s="2" t="inlineStr">
        <is>
          <t>Revise all the important concepts of C++ and prepare yourself for the interviews. Check explanation of the questions if you are not able to solve them and learn new concepts.</t>
        </is>
      </c>
      <c r="D282" s="2" t="inlineStr">
        <is>
          <t>Object-Oriented Programming (OOP) Basics - Object-Oriented Programming (OOP)</t>
        </is>
      </c>
      <c r="E282" s="2" t="n">
        <v>17</v>
      </c>
      <c r="F282" s="2" t="inlineStr">
        <is>
          <t>Polymorphism Type</t>
        </is>
      </c>
      <c r="G282" s="2" t="inlineStr">
        <is>
          <t>CPPMCQ17</t>
        </is>
      </c>
      <c r="H282" s="2" t="inlineStr"/>
      <c r="I282" s="2" t="inlineStr">
        <is>
          <t>Easy</t>
        </is>
      </c>
      <c r="J282" s="3">
        <f>HYPERLINK("https://www.codechef.com/problems/CPPMCQ17", "https://www.codechef.com/problems/CPPMCQ17")</f>
        <v/>
      </c>
      <c r="K282" s="2" t="inlineStr"/>
      <c r="L282" s="2" t="inlineStr"/>
      <c r="M282" s="2" t="inlineStr"/>
      <c r="N282" s="2" t="inlineStr">
        <is>
          <t>No</t>
        </is>
      </c>
      <c r="O282" s="2" t="inlineStr">
        <is>
          <t>Unattempted</t>
        </is>
      </c>
    </row>
    <row r="283">
      <c r="A283" s="4" t="inlineStr">
        <is>
          <t>Interview Questions</t>
        </is>
      </c>
      <c r="B283" s="4" t="inlineStr">
        <is>
          <t>C++ Interview Questions and Answers</t>
        </is>
      </c>
      <c r="C283" s="4" t="inlineStr">
        <is>
          <t>Revise all the important concepts of C++ and prepare yourself for the interviews. Check explanation of the questions if you are not able to solve them and learn new concepts.</t>
        </is>
      </c>
      <c r="D283" s="4" t="inlineStr">
        <is>
          <t>Object-Oriented Programming (OOP) Basics - Object-Oriented Programming (OOP)</t>
        </is>
      </c>
      <c r="E283" s="4" t="n">
        <v>18</v>
      </c>
      <c r="F283" s="4" t="inlineStr">
        <is>
          <t>Encapsulation Implementation</t>
        </is>
      </c>
      <c r="G283" s="4" t="inlineStr">
        <is>
          <t>CPPMCQ18</t>
        </is>
      </c>
      <c r="H283" s="4" t="inlineStr"/>
      <c r="I283" s="4" t="inlineStr">
        <is>
          <t>Medium</t>
        </is>
      </c>
      <c r="J283" s="5">
        <f>HYPERLINK("https://www.codechef.com/problems/CPPMCQ18", "https://www.codechef.com/problems/CPPMCQ18")</f>
        <v/>
      </c>
      <c r="K283" s="4" t="inlineStr"/>
      <c r="L283" s="4" t="inlineStr"/>
      <c r="M283" s="4" t="inlineStr"/>
      <c r="N283" s="4" t="inlineStr">
        <is>
          <t>No</t>
        </is>
      </c>
      <c r="O283" s="4" t="inlineStr">
        <is>
          <t>Unattempted</t>
        </is>
      </c>
    </row>
    <row r="284">
      <c r="A284" s="2" t="inlineStr">
        <is>
          <t>Interview Questions</t>
        </is>
      </c>
      <c r="B284" s="2" t="inlineStr">
        <is>
          <t>C++ Interview Questions and Answers</t>
        </is>
      </c>
      <c r="C284" s="2" t="inlineStr">
        <is>
          <t>Revise all the important concepts of C++ and prepare yourself for the interviews. Check explanation of the questions if you are not able to solve them and learn new concepts.</t>
        </is>
      </c>
      <c r="D284" s="2" t="inlineStr">
        <is>
          <t>Object-Oriented Programming (OOP) Basics - Object-Oriented Programming (OOP)</t>
        </is>
      </c>
      <c r="E284" s="2" t="n">
        <v>19</v>
      </c>
      <c r="F284" s="2" t="inlineStr">
        <is>
          <t>Multiple Inheritance</t>
        </is>
      </c>
      <c r="G284" s="2" t="inlineStr">
        <is>
          <t>CPPMCQ19</t>
        </is>
      </c>
      <c r="H284" s="2" t="inlineStr"/>
      <c r="I284" s="2" t="inlineStr">
        <is>
          <t>Easy</t>
        </is>
      </c>
      <c r="J284" s="3">
        <f>HYPERLINK("https://www.codechef.com/problems/CPPMCQ19", "https://www.codechef.com/problems/CPPMCQ19")</f>
        <v/>
      </c>
      <c r="K284" s="2" t="inlineStr"/>
      <c r="L284" s="2" t="inlineStr"/>
      <c r="M284" s="2" t="inlineStr"/>
      <c r="N284" s="2" t="inlineStr">
        <is>
          <t>No</t>
        </is>
      </c>
      <c r="O284" s="2" t="inlineStr">
        <is>
          <t>Unattempted</t>
        </is>
      </c>
    </row>
    <row r="285">
      <c r="A285" s="4" t="inlineStr">
        <is>
          <t>Interview Questions</t>
        </is>
      </c>
      <c r="B285" s="4" t="inlineStr">
        <is>
          <t>C++ Interview Questions and Answers</t>
        </is>
      </c>
      <c r="C285" s="4" t="inlineStr">
        <is>
          <t>Revise all the important concepts of C++ and prepare yourself for the interviews. Check explanation of the questions if you are not able to solve them and learn new concepts.</t>
        </is>
      </c>
      <c r="D285" s="4" t="inlineStr">
        <is>
          <t>Object-Oriented Programming (OOP) Basics - Object-Oriented Programming (OOP)</t>
        </is>
      </c>
      <c r="E285" s="4" t="n">
        <v>20</v>
      </c>
      <c r="F285" s="4" t="inlineStr">
        <is>
          <t>Pure Virtual Function</t>
        </is>
      </c>
      <c r="G285" s="4" t="inlineStr">
        <is>
          <t>CPPMCQ20</t>
        </is>
      </c>
      <c r="H285" s="4" t="inlineStr"/>
      <c r="I285" s="4" t="inlineStr">
        <is>
          <t>Easy</t>
        </is>
      </c>
      <c r="J285" s="5">
        <f>HYPERLINK("https://www.codechef.com/problems/CPPMCQ20", "https://www.codechef.com/problems/CPPMCQ20")</f>
        <v/>
      </c>
      <c r="K285" s="4" t="inlineStr"/>
      <c r="L285" s="4" t="inlineStr"/>
      <c r="M285" s="4" t="inlineStr"/>
      <c r="N285" s="4" t="inlineStr">
        <is>
          <t>No</t>
        </is>
      </c>
      <c r="O285" s="4" t="inlineStr">
        <is>
          <t>Unattempted</t>
        </is>
      </c>
    </row>
    <row r="286">
      <c r="A286" s="2" t="inlineStr">
        <is>
          <t>Interview Questions</t>
        </is>
      </c>
      <c r="B286" s="2" t="inlineStr">
        <is>
          <t>C++ Interview Questions and Answers</t>
        </is>
      </c>
      <c r="C286" s="2" t="inlineStr">
        <is>
          <t>Revise all the important concepts of C++ and prepare yourself for the interviews. Check explanation of the questions if you are not able to solve them and learn new concepts.</t>
        </is>
      </c>
      <c r="D286" s="2" t="inlineStr">
        <is>
          <t>Memory Management - Memory Management</t>
        </is>
      </c>
      <c r="E286" s="2" t="n">
        <v>21</v>
      </c>
      <c r="F286" s="2" t="inlineStr">
        <is>
          <t>Memory Allocation Location</t>
        </is>
      </c>
      <c r="G286" s="2" t="inlineStr">
        <is>
          <t>CPPMCQ21</t>
        </is>
      </c>
      <c r="H286" s="2" t="inlineStr"/>
      <c r="I286" s="2" t="inlineStr">
        <is>
          <t>Easy</t>
        </is>
      </c>
      <c r="J286" s="3">
        <f>HYPERLINK("https://www.codechef.com/problems/CPPMCQ21", "https://www.codechef.com/problems/CPPMCQ21")</f>
        <v/>
      </c>
      <c r="K286" s="2" t="inlineStr"/>
      <c r="L286" s="2" t="inlineStr"/>
      <c r="M286" s="2" t="inlineStr"/>
      <c r="N286" s="2" t="inlineStr">
        <is>
          <t>No</t>
        </is>
      </c>
      <c r="O286" s="2" t="inlineStr">
        <is>
          <t>Unattempted</t>
        </is>
      </c>
    </row>
    <row r="287">
      <c r="A287" s="4" t="inlineStr">
        <is>
          <t>Interview Questions</t>
        </is>
      </c>
      <c r="B287" s="4" t="inlineStr">
        <is>
          <t>C++ Interview Questions and Answers</t>
        </is>
      </c>
      <c r="C287" s="4" t="inlineStr">
        <is>
          <t>Revise all the important concepts of C++ and prepare yourself for the interviews. Check explanation of the questions if you are not able to solve them and learn new concepts.</t>
        </is>
      </c>
      <c r="D287" s="4" t="inlineStr">
        <is>
          <t>Memory Management - Memory Management</t>
        </is>
      </c>
      <c r="E287" s="4" t="n">
        <v>22</v>
      </c>
      <c r="F287" s="4" t="inlineStr">
        <is>
          <t>Dynamic Memory Allocation</t>
        </is>
      </c>
      <c r="G287" s="4" t="inlineStr">
        <is>
          <t>CPPMCQ22</t>
        </is>
      </c>
      <c r="H287" s="4" t="inlineStr"/>
      <c r="I287" s="4" t="inlineStr">
        <is>
          <t>Easy</t>
        </is>
      </c>
      <c r="J287" s="5">
        <f>HYPERLINK("https://www.codechef.com/problems/CPPMCQ22", "https://www.codechef.com/problems/CPPMCQ22")</f>
        <v/>
      </c>
      <c r="K287" s="4" t="inlineStr"/>
      <c r="L287" s="4" t="inlineStr"/>
      <c r="M287" s="4" t="inlineStr"/>
      <c r="N287" s="4" t="inlineStr">
        <is>
          <t>No</t>
        </is>
      </c>
      <c r="O287" s="4" t="inlineStr">
        <is>
          <t>Unattempted</t>
        </is>
      </c>
    </row>
    <row r="288">
      <c r="A288" s="2" t="inlineStr">
        <is>
          <t>Interview Questions</t>
        </is>
      </c>
      <c r="B288" s="2" t="inlineStr">
        <is>
          <t>C++ Interview Questions and Answers</t>
        </is>
      </c>
      <c r="C288" s="2" t="inlineStr">
        <is>
          <t>Revise all the important concepts of C++ and prepare yourself for the interviews. Check explanation of the questions if you are not able to solve them and learn new concepts.</t>
        </is>
      </c>
      <c r="D288" s="2" t="inlineStr">
        <is>
          <t>Memory Management - Memory Management</t>
        </is>
      </c>
      <c r="E288" s="2" t="n">
        <v>23</v>
      </c>
      <c r="F288" s="2" t="inlineStr">
        <is>
          <t>Memory Deallocation</t>
        </is>
      </c>
      <c r="G288" s="2" t="inlineStr">
        <is>
          <t>CPPMCQ23</t>
        </is>
      </c>
      <c r="H288" s="2" t="inlineStr"/>
      <c r="I288" s="2" t="inlineStr">
        <is>
          <t>Easy</t>
        </is>
      </c>
      <c r="J288" s="3">
        <f>HYPERLINK("https://www.codechef.com/problems/CPPMCQ23", "https://www.codechef.com/problems/CPPMCQ23")</f>
        <v/>
      </c>
      <c r="K288" s="2" t="inlineStr"/>
      <c r="L288" s="2" t="inlineStr"/>
      <c r="M288" s="2" t="inlineStr"/>
      <c r="N288" s="2" t="inlineStr">
        <is>
          <t>No</t>
        </is>
      </c>
      <c r="O288" s="2" t="inlineStr">
        <is>
          <t>Unattempted</t>
        </is>
      </c>
    </row>
    <row r="289">
      <c r="A289" s="4" t="inlineStr">
        <is>
          <t>Interview Questions</t>
        </is>
      </c>
      <c r="B289" s="4" t="inlineStr">
        <is>
          <t>C++ Interview Questions and Answers</t>
        </is>
      </c>
      <c r="C289" s="4" t="inlineStr">
        <is>
          <t>Revise all the important concepts of C++ and prepare yourself for the interviews. Check explanation of the questions if you are not able to solve them and learn new concepts.</t>
        </is>
      </c>
      <c r="D289" s="4" t="inlineStr">
        <is>
          <t>Memory Management - Memory Management</t>
        </is>
      </c>
      <c r="E289" s="4" t="n">
        <v>24</v>
      </c>
      <c r="F289" s="4" t="inlineStr">
        <is>
          <t>Smart Pointer Usage</t>
        </is>
      </c>
      <c r="G289" s="4" t="inlineStr">
        <is>
          <t>CPPMCQ24</t>
        </is>
      </c>
      <c r="H289" s="4" t="inlineStr"/>
      <c r="I289" s="4" t="inlineStr">
        <is>
          <t>Easy</t>
        </is>
      </c>
      <c r="J289" s="5">
        <f>HYPERLINK("https://www.codechef.com/problems/CPPMCQ24", "https://www.codechef.com/problems/CPPMCQ24")</f>
        <v/>
      </c>
      <c r="K289" s="4" t="inlineStr"/>
      <c r="L289" s="4" t="inlineStr"/>
      <c r="M289" s="4" t="inlineStr"/>
      <c r="N289" s="4" t="inlineStr">
        <is>
          <t>No</t>
        </is>
      </c>
      <c r="O289" s="4" t="inlineStr">
        <is>
          <t>Unattempted</t>
        </is>
      </c>
    </row>
    <row r="290">
      <c r="A290" s="2" t="inlineStr">
        <is>
          <t>Interview Questions</t>
        </is>
      </c>
      <c r="B290" s="2" t="inlineStr">
        <is>
          <t>C++ Interview Questions and Answers</t>
        </is>
      </c>
      <c r="C290" s="2" t="inlineStr">
        <is>
          <t>Revise all the important concepts of C++ and prepare yourself for the interviews. Check explanation of the questions if you are not able to solve them and learn new concepts.</t>
        </is>
      </c>
      <c r="D290" s="2" t="inlineStr">
        <is>
          <t>Memory Management - Memory Management</t>
        </is>
      </c>
      <c r="E290" s="2" t="n">
        <v>25</v>
      </c>
      <c r="F290" s="2" t="inlineStr">
        <is>
          <t>Shared Ownership</t>
        </is>
      </c>
      <c r="G290" s="2" t="inlineStr">
        <is>
          <t>CPPMCQ25</t>
        </is>
      </c>
      <c r="H290" s="2" t="inlineStr"/>
      <c r="I290" s="2" t="inlineStr">
        <is>
          <t>Easy</t>
        </is>
      </c>
      <c r="J290" s="3">
        <f>HYPERLINK("https://www.codechef.com/problems/CPPMCQ25", "https://www.codechef.com/problems/CPPMCQ25")</f>
        <v/>
      </c>
      <c r="K290" s="2" t="inlineStr"/>
      <c r="L290" s="2" t="inlineStr"/>
      <c r="M290" s="2" t="inlineStr"/>
      <c r="N290" s="2" t="inlineStr">
        <is>
          <t>No</t>
        </is>
      </c>
      <c r="O290" s="2" t="inlineStr">
        <is>
          <t>Unattempted</t>
        </is>
      </c>
    </row>
    <row r="291">
      <c r="A291" s="4" t="inlineStr">
        <is>
          <t>Interview Questions</t>
        </is>
      </c>
      <c r="B291" s="4" t="inlineStr">
        <is>
          <t>C++ Interview Questions and Answers</t>
        </is>
      </c>
      <c r="C291" s="4" t="inlineStr">
        <is>
          <t>Revise all the important concepts of C++ and prepare yourself for the interviews. Check explanation of the questions if you are not able to solve them and learn new concepts.</t>
        </is>
      </c>
      <c r="D291" s="4" t="inlineStr">
        <is>
          <t>Memory Management - Memory Management</t>
        </is>
      </c>
      <c r="E291" s="4" t="n">
        <v>26</v>
      </c>
      <c r="F291" s="4" t="inlineStr">
        <is>
          <t>Array Deallocation</t>
        </is>
      </c>
      <c r="G291" s="4" t="inlineStr">
        <is>
          <t>CPPMCQ26</t>
        </is>
      </c>
      <c r="H291" s="4" t="inlineStr"/>
      <c r="I291" s="4" t="inlineStr">
        <is>
          <t>Easy</t>
        </is>
      </c>
      <c r="J291" s="5">
        <f>HYPERLINK("https://www.codechef.com/problems/CPPMCQ26", "https://www.codechef.com/problems/CPPMCQ26")</f>
        <v/>
      </c>
      <c r="K291" s="4" t="inlineStr"/>
      <c r="L291" s="4" t="inlineStr"/>
      <c r="M291" s="4" t="inlineStr"/>
      <c r="N291" s="4" t="inlineStr">
        <is>
          <t>No</t>
        </is>
      </c>
      <c r="O291" s="4" t="inlineStr">
        <is>
          <t>Unattempted</t>
        </is>
      </c>
    </row>
    <row r="292">
      <c r="A292" s="2" t="inlineStr">
        <is>
          <t>Interview Questions</t>
        </is>
      </c>
      <c r="B292" s="2" t="inlineStr">
        <is>
          <t>C++ Interview Questions and Answers</t>
        </is>
      </c>
      <c r="C292" s="2" t="inlineStr">
        <is>
          <t>Revise all the important concepts of C++ and prepare yourself for the interviews. Check explanation of the questions if you are not able to solve them and learn new concepts.</t>
        </is>
      </c>
      <c r="D292" s="2" t="inlineStr">
        <is>
          <t>Memory Management - Memory Management</t>
        </is>
      </c>
      <c r="E292" s="2" t="n">
        <v>27</v>
      </c>
      <c r="F292" s="2" t="inlineStr">
        <is>
          <t>Stack vs Heap Performance</t>
        </is>
      </c>
      <c r="G292" s="2" t="inlineStr">
        <is>
          <t>CPPMCQ27</t>
        </is>
      </c>
      <c r="H292" s="2" t="inlineStr"/>
      <c r="I292" s="2" t="inlineStr">
        <is>
          <t>Easy</t>
        </is>
      </c>
      <c r="J292" s="3">
        <f>HYPERLINK("https://www.codechef.com/problems/CPPMCQ27", "https://www.codechef.com/problems/CPPMCQ27")</f>
        <v/>
      </c>
      <c r="K292" s="2" t="inlineStr"/>
      <c r="L292" s="2" t="inlineStr"/>
      <c r="M292" s="2" t="inlineStr"/>
      <c r="N292" s="2" t="inlineStr">
        <is>
          <t>No</t>
        </is>
      </c>
      <c r="O292" s="2" t="inlineStr">
        <is>
          <t>Unattempted</t>
        </is>
      </c>
    </row>
    <row r="293">
      <c r="A293" s="4" t="inlineStr">
        <is>
          <t>Interview Questions</t>
        </is>
      </c>
      <c r="B293" s="4" t="inlineStr">
        <is>
          <t>C++ Interview Questions and Answers</t>
        </is>
      </c>
      <c r="C293" s="4" t="inlineStr">
        <is>
          <t>Revise all the important concepts of C++ and prepare yourself for the interviews. Check explanation of the questions if you are not able to solve them and learn new concepts.</t>
        </is>
      </c>
      <c r="D293" s="4" t="inlineStr">
        <is>
          <t>Memory Management - Memory Management</t>
        </is>
      </c>
      <c r="E293" s="4" t="n">
        <v>28</v>
      </c>
      <c r="F293" s="4" t="inlineStr">
        <is>
          <t>Weak Pointer Purpose</t>
        </is>
      </c>
      <c r="G293" s="4" t="inlineStr">
        <is>
          <t>CPPMCQ28</t>
        </is>
      </c>
      <c r="H293" s="4" t="inlineStr"/>
      <c r="I293" s="4" t="inlineStr">
        <is>
          <t>Medium</t>
        </is>
      </c>
      <c r="J293" s="5">
        <f>HYPERLINK("https://www.codechef.com/problems/CPPMCQ28", "https://www.codechef.com/problems/CPPMCQ28")</f>
        <v/>
      </c>
      <c r="K293" s="4" t="inlineStr"/>
      <c r="L293" s="4" t="inlineStr"/>
      <c r="M293" s="4" t="inlineStr"/>
      <c r="N293" s="4" t="inlineStr">
        <is>
          <t>No</t>
        </is>
      </c>
      <c r="O293" s="4" t="inlineStr">
        <is>
          <t>Unattempted</t>
        </is>
      </c>
    </row>
    <row r="294">
      <c r="A294" s="2" t="inlineStr">
        <is>
          <t>Interview Questions</t>
        </is>
      </c>
      <c r="B294" s="2" t="inlineStr">
        <is>
          <t>C++ Interview Questions and Answers</t>
        </is>
      </c>
      <c r="C294" s="2" t="inlineStr">
        <is>
          <t>Revise all the important concepts of C++ and prepare yourself for the interviews. Check explanation of the questions if you are not able to solve them and learn new concepts.</t>
        </is>
      </c>
      <c r="D294" s="2" t="inlineStr">
        <is>
          <t>Memory Management - Memory Management</t>
        </is>
      </c>
      <c r="E294" s="2" t="n">
        <v>29</v>
      </c>
      <c r="F294" s="2" t="inlineStr">
        <is>
          <t>Memory Leak Identification</t>
        </is>
      </c>
      <c r="G294" s="2" t="inlineStr">
        <is>
          <t>CPPMCQ29</t>
        </is>
      </c>
      <c r="H294" s="2" t="inlineStr"/>
      <c r="I294" s="2" t="inlineStr">
        <is>
          <t>Medium</t>
        </is>
      </c>
      <c r="J294" s="3">
        <f>HYPERLINK("https://www.codechef.com/problems/CPPMCQ29", "https://www.codechef.com/problems/CPPMCQ29")</f>
        <v/>
      </c>
      <c r="K294" s="2" t="inlineStr"/>
      <c r="L294" s="2" t="inlineStr"/>
      <c r="M294" s="2" t="inlineStr"/>
      <c r="N294" s="2" t="inlineStr">
        <is>
          <t>No</t>
        </is>
      </c>
      <c r="O294" s="2" t="inlineStr">
        <is>
          <t>Unattempted</t>
        </is>
      </c>
    </row>
    <row r="295">
      <c r="A295" s="4" t="inlineStr">
        <is>
          <t>Interview Questions</t>
        </is>
      </c>
      <c r="B295" s="4" t="inlineStr">
        <is>
          <t>C++ Interview Questions and Answers</t>
        </is>
      </c>
      <c r="C295" s="4" t="inlineStr">
        <is>
          <t>Revise all the important concepts of C++ and prepare yourself for the interviews. Check explanation of the questions if you are not able to solve them and learn new concepts.</t>
        </is>
      </c>
      <c r="D295" s="4" t="inlineStr">
        <is>
          <t>Memory Management - Memory Management</t>
        </is>
      </c>
      <c r="E295" s="4" t="n">
        <v>30</v>
      </c>
      <c r="F295" s="4" t="inlineStr">
        <is>
          <t>Smart Pointer Creation</t>
        </is>
      </c>
      <c r="G295" s="4" t="inlineStr">
        <is>
          <t>CPPMCQ30</t>
        </is>
      </c>
      <c r="H295" s="4" t="inlineStr"/>
      <c r="I295" s="4" t="inlineStr">
        <is>
          <t>Easy</t>
        </is>
      </c>
      <c r="J295" s="5">
        <f>HYPERLINK("https://www.codechef.com/problems/CPPMCQ30", "https://www.codechef.com/problems/CPPMCQ30")</f>
        <v/>
      </c>
      <c r="K295" s="4" t="inlineStr"/>
      <c r="L295" s="4" t="inlineStr"/>
      <c r="M295" s="4" t="inlineStr"/>
      <c r="N295" s="4" t="inlineStr">
        <is>
          <t>No</t>
        </is>
      </c>
      <c r="O295" s="4" t="inlineStr">
        <is>
          <t>Unattempted</t>
        </is>
      </c>
    </row>
    <row r="296">
      <c r="A296" s="2" t="inlineStr">
        <is>
          <t>Interview Questions</t>
        </is>
      </c>
      <c r="B296" s="2" t="inlineStr">
        <is>
          <t>C++ Interview Questions and Answers</t>
        </is>
      </c>
      <c r="C296" s="2" t="inlineStr">
        <is>
          <t>Revise all the important concepts of C++ and prepare yourself for the interviews. Check explanation of the questions if you are not able to solve them and learn new concepts.</t>
        </is>
      </c>
      <c r="D296" s="2" t="inlineStr">
        <is>
          <t>Exception Handling - Exception Handling</t>
        </is>
      </c>
      <c r="E296" s="2" t="n">
        <v>31</v>
      </c>
      <c r="F296" s="2" t="inlineStr">
        <is>
          <t>Exception Handling Basics</t>
        </is>
      </c>
      <c r="G296" s="2" t="inlineStr">
        <is>
          <t>CPPMCQ31</t>
        </is>
      </c>
      <c r="H296" s="2" t="inlineStr"/>
      <c r="I296" s="2" t="inlineStr">
        <is>
          <t>Easy</t>
        </is>
      </c>
      <c r="J296" s="3">
        <f>HYPERLINK("https://www.codechef.com/problems/CPPMCQ31", "https://www.codechef.com/problems/CPPMCQ31")</f>
        <v/>
      </c>
      <c r="K296" s="2" t="inlineStr"/>
      <c r="L296" s="2" t="inlineStr"/>
      <c r="M296" s="2" t="inlineStr"/>
      <c r="N296" s="2" t="inlineStr">
        <is>
          <t>No</t>
        </is>
      </c>
      <c r="O296" s="2" t="inlineStr">
        <is>
          <t>Unattempted</t>
        </is>
      </c>
    </row>
    <row r="297">
      <c r="A297" s="4" t="inlineStr">
        <is>
          <t>Interview Questions</t>
        </is>
      </c>
      <c r="B297" s="4" t="inlineStr">
        <is>
          <t>C++ Interview Questions and Answers</t>
        </is>
      </c>
      <c r="C297" s="4" t="inlineStr">
        <is>
          <t>Revise all the important concepts of C++ and prepare yourself for the interviews. Check explanation of the questions if you are not able to solve them and learn new concepts.</t>
        </is>
      </c>
      <c r="D297" s="4" t="inlineStr">
        <is>
          <t>Exception Handling - Exception Handling</t>
        </is>
      </c>
      <c r="E297" s="4" t="n">
        <v>32</v>
      </c>
      <c r="F297" s="4" t="inlineStr">
        <is>
          <t>Exception Throwing</t>
        </is>
      </c>
      <c r="G297" s="4" t="inlineStr">
        <is>
          <t>CPPMCQ32</t>
        </is>
      </c>
      <c r="H297" s="4" t="inlineStr"/>
      <c r="I297" s="4" t="inlineStr">
        <is>
          <t>Easy</t>
        </is>
      </c>
      <c r="J297" s="5">
        <f>HYPERLINK("https://www.codechef.com/problems/CPPMCQ32", "https://www.codechef.com/problems/CPPMCQ32")</f>
        <v/>
      </c>
      <c r="K297" s="4" t="inlineStr"/>
      <c r="L297" s="4" t="inlineStr"/>
      <c r="M297" s="4" t="inlineStr"/>
      <c r="N297" s="4" t="inlineStr">
        <is>
          <t>No</t>
        </is>
      </c>
      <c r="O297" s="4" t="inlineStr">
        <is>
          <t>Unattempted</t>
        </is>
      </c>
    </row>
    <row r="298">
      <c r="A298" s="2" t="inlineStr">
        <is>
          <t>Interview Questions</t>
        </is>
      </c>
      <c r="B298" s="2" t="inlineStr">
        <is>
          <t>C++ Interview Questions and Answers</t>
        </is>
      </c>
      <c r="C298" s="2" t="inlineStr">
        <is>
          <t>Revise all the important concepts of C++ and prepare yourself for the interviews. Check explanation of the questions if you are not able to solve them and learn new concepts.</t>
        </is>
      </c>
      <c r="D298" s="2" t="inlineStr">
        <is>
          <t>Exception Handling - Exception Handling</t>
        </is>
      </c>
      <c r="E298" s="2" t="n">
        <v>33</v>
      </c>
      <c r="F298" s="2" t="inlineStr">
        <is>
          <t>Exception Catching</t>
        </is>
      </c>
      <c r="G298" s="2" t="inlineStr">
        <is>
          <t>CPPMCQ33</t>
        </is>
      </c>
      <c r="H298" s="2" t="inlineStr"/>
      <c r="I298" s="2" t="inlineStr">
        <is>
          <t>Easy</t>
        </is>
      </c>
      <c r="J298" s="3">
        <f>HYPERLINK("https://www.codechef.com/problems/CPPMCQ33", "https://www.codechef.com/problems/CPPMCQ33")</f>
        <v/>
      </c>
      <c r="K298" s="2" t="inlineStr"/>
      <c r="L298" s="2" t="inlineStr"/>
      <c r="M298" s="2" t="inlineStr"/>
      <c r="N298" s="2" t="inlineStr">
        <is>
          <t>No</t>
        </is>
      </c>
      <c r="O298" s="2" t="inlineStr">
        <is>
          <t>Unattempted</t>
        </is>
      </c>
    </row>
    <row r="299">
      <c r="A299" s="4" t="inlineStr">
        <is>
          <t>Interview Questions</t>
        </is>
      </c>
      <c r="B299" s="4" t="inlineStr">
        <is>
          <t>C++ Interview Questions and Answers</t>
        </is>
      </c>
      <c r="C299" s="4" t="inlineStr">
        <is>
          <t>Revise all the important concepts of C++ and prepare yourself for the interviews. Check explanation of the questions if you are not able to solve them and learn new concepts.</t>
        </is>
      </c>
      <c r="D299" s="4" t="inlineStr">
        <is>
          <t>Exception Handling - Exception Handling</t>
        </is>
      </c>
      <c r="E299" s="4" t="n">
        <v>34</v>
      </c>
      <c r="F299" s="4" t="inlineStr">
        <is>
          <t>Custom Exception Class</t>
        </is>
      </c>
      <c r="G299" s="4" t="inlineStr">
        <is>
          <t>CPPMCQ34</t>
        </is>
      </c>
      <c r="H299" s="4" t="inlineStr"/>
      <c r="I299" s="4" t="inlineStr">
        <is>
          <t>Easy</t>
        </is>
      </c>
      <c r="J299" s="5">
        <f>HYPERLINK("https://www.codechef.com/problems/CPPMCQ34", "https://www.codechef.com/problems/CPPMCQ34")</f>
        <v/>
      </c>
      <c r="K299" s="4" t="inlineStr"/>
      <c r="L299" s="4" t="inlineStr"/>
      <c r="M299" s="4" t="inlineStr"/>
      <c r="N299" s="4" t="inlineStr">
        <is>
          <t>No</t>
        </is>
      </c>
      <c r="O299" s="4" t="inlineStr">
        <is>
          <t>Unattempted</t>
        </is>
      </c>
    </row>
    <row r="300">
      <c r="A300" s="2" t="inlineStr">
        <is>
          <t>Interview Questions</t>
        </is>
      </c>
      <c r="B300" s="2" t="inlineStr">
        <is>
          <t>C++ Interview Questions and Answers</t>
        </is>
      </c>
      <c r="C300" s="2" t="inlineStr">
        <is>
          <t>Revise all the important concepts of C++ and prepare yourself for the interviews. Check explanation of the questions if you are not able to solve them and learn new concepts.</t>
        </is>
      </c>
      <c r="D300" s="2" t="inlineStr">
        <is>
          <t>Exception Handling - Exception Handling</t>
        </is>
      </c>
      <c r="E300" s="2" t="n">
        <v>35</v>
      </c>
      <c r="F300" s="2" t="inlineStr">
        <is>
          <t>Exception Propagation</t>
        </is>
      </c>
      <c r="G300" s="2" t="inlineStr">
        <is>
          <t>CPPMCQ35</t>
        </is>
      </c>
      <c r="H300" s="2" t="inlineStr"/>
      <c r="I300" s="2" t="inlineStr">
        <is>
          <t>Easy</t>
        </is>
      </c>
      <c r="J300" s="3">
        <f>HYPERLINK("https://www.codechef.com/problems/CPPMCQ35", "https://www.codechef.com/problems/CPPMCQ35")</f>
        <v/>
      </c>
      <c r="K300" s="2" t="inlineStr"/>
      <c r="L300" s="2" t="inlineStr"/>
      <c r="M300" s="2" t="inlineStr"/>
      <c r="N300" s="2" t="inlineStr">
        <is>
          <t>No</t>
        </is>
      </c>
      <c r="O300" s="2" t="inlineStr">
        <is>
          <t>Unattempted</t>
        </is>
      </c>
    </row>
    <row r="301">
      <c r="A301" s="4" t="inlineStr">
        <is>
          <t>Interview Questions</t>
        </is>
      </c>
      <c r="B301" s="4" t="inlineStr">
        <is>
          <t>C++ Interview Questions and Answers</t>
        </is>
      </c>
      <c r="C301" s="4" t="inlineStr">
        <is>
          <t>Revise all the important concepts of C++ and prepare yourself for the interviews. Check explanation of the questions if you are not able to solve them and learn new concepts.</t>
        </is>
      </c>
      <c r="D301" s="4" t="inlineStr">
        <is>
          <t>Exception Handling - Exception Handling</t>
        </is>
      </c>
      <c r="E301" s="4" t="n">
        <v>36</v>
      </c>
      <c r="F301" s="4" t="inlineStr">
        <is>
          <t>Multiple Catch Blocks</t>
        </is>
      </c>
      <c r="G301" s="4" t="inlineStr">
        <is>
          <t>CPPMCQ36</t>
        </is>
      </c>
      <c r="H301" s="4" t="inlineStr"/>
      <c r="I301" s="4" t="inlineStr">
        <is>
          <t>Easy</t>
        </is>
      </c>
      <c r="J301" s="5">
        <f>HYPERLINK("https://www.codechef.com/problems/CPPMCQ36", "https://www.codechef.com/problems/CPPMCQ36")</f>
        <v/>
      </c>
      <c r="K301" s="4" t="inlineStr"/>
      <c r="L301" s="4" t="inlineStr"/>
      <c r="M301" s="4" t="inlineStr"/>
      <c r="N301" s="4" t="inlineStr">
        <is>
          <t>No</t>
        </is>
      </c>
      <c r="O301" s="4" t="inlineStr">
        <is>
          <t>Unattempted</t>
        </is>
      </c>
    </row>
    <row r="302">
      <c r="A302" s="2" t="inlineStr">
        <is>
          <t>Interview Questions</t>
        </is>
      </c>
      <c r="B302" s="2" t="inlineStr">
        <is>
          <t>C++ Interview Questions and Answers</t>
        </is>
      </c>
      <c r="C302" s="2" t="inlineStr">
        <is>
          <t>Revise all the important concepts of C++ and prepare yourself for the interviews. Check explanation of the questions if you are not able to solve them and learn new concepts.</t>
        </is>
      </c>
      <c r="D302" s="2" t="inlineStr">
        <is>
          <t>Exception Handling - Exception Handling</t>
        </is>
      </c>
      <c r="E302" s="2" t="n">
        <v>37</v>
      </c>
      <c r="F302" s="2" t="inlineStr">
        <is>
          <t>Nested Try-Catch</t>
        </is>
      </c>
      <c r="G302" s="2" t="inlineStr">
        <is>
          <t>CPPMCQ37</t>
        </is>
      </c>
      <c r="H302" s="2" t="inlineStr"/>
      <c r="I302" s="2" t="inlineStr">
        <is>
          <t>Medium</t>
        </is>
      </c>
      <c r="J302" s="3">
        <f>HYPERLINK("https://www.codechef.com/problems/CPPMCQ37", "https://www.codechef.com/problems/CPPMCQ37")</f>
        <v/>
      </c>
      <c r="K302" s="2" t="inlineStr"/>
      <c r="L302" s="2" t="inlineStr"/>
      <c r="M302" s="2" t="inlineStr"/>
      <c r="N302" s="2" t="inlineStr">
        <is>
          <t>No</t>
        </is>
      </c>
      <c r="O302" s="2" t="inlineStr">
        <is>
          <t>Unattempted</t>
        </is>
      </c>
    </row>
    <row r="303">
      <c r="A303" s="4" t="inlineStr">
        <is>
          <t>Interview Questions</t>
        </is>
      </c>
      <c r="B303" s="4" t="inlineStr">
        <is>
          <t>C++ Interview Questions and Answers</t>
        </is>
      </c>
      <c r="C303" s="4" t="inlineStr">
        <is>
          <t>Revise all the important concepts of C++ and prepare yourself for the interviews. Check explanation of the questions if you are not able to solve them and learn new concepts.</t>
        </is>
      </c>
      <c r="D303" s="4" t="inlineStr">
        <is>
          <t>Exception Handling - Exception Handling</t>
        </is>
      </c>
      <c r="E303" s="4" t="n">
        <v>38</v>
      </c>
      <c r="F303" s="4" t="inlineStr">
        <is>
          <t>Rethrowing Exceptions</t>
        </is>
      </c>
      <c r="G303" s="4" t="inlineStr">
        <is>
          <t>CPPMCQ38</t>
        </is>
      </c>
      <c r="H303" s="4" t="inlineStr"/>
      <c r="I303" s="4" t="inlineStr">
        <is>
          <t>Easy</t>
        </is>
      </c>
      <c r="J303" s="5">
        <f>HYPERLINK("https://www.codechef.com/problems/CPPMCQ38", "https://www.codechef.com/problems/CPPMCQ38")</f>
        <v/>
      </c>
      <c r="K303" s="4" t="inlineStr"/>
      <c r="L303" s="4" t="inlineStr"/>
      <c r="M303" s="4" t="inlineStr"/>
      <c r="N303" s="4" t="inlineStr">
        <is>
          <t>No</t>
        </is>
      </c>
      <c r="O303" s="4" t="inlineStr">
        <is>
          <t>Unattempted</t>
        </is>
      </c>
    </row>
    <row r="304">
      <c r="A304" s="2" t="inlineStr">
        <is>
          <t>Interview Questions</t>
        </is>
      </c>
      <c r="B304" s="2" t="inlineStr">
        <is>
          <t>C++ Interview Questions and Answers</t>
        </is>
      </c>
      <c r="C304" s="2" t="inlineStr">
        <is>
          <t>Revise all the important concepts of C++ and prepare yourself for the interviews. Check explanation of the questions if you are not able to solve them and learn new concepts.</t>
        </is>
      </c>
      <c r="D304" s="2" t="inlineStr">
        <is>
          <t>Exception Handling - Exception Handling</t>
        </is>
      </c>
      <c r="E304" s="2" t="n">
        <v>39</v>
      </c>
      <c r="F304" s="2" t="inlineStr">
        <is>
          <t>Exception Specification</t>
        </is>
      </c>
      <c r="G304" s="2" t="inlineStr">
        <is>
          <t>CPPMCQ39</t>
        </is>
      </c>
      <c r="H304" s="2" t="inlineStr"/>
      <c r="I304" s="2" t="inlineStr">
        <is>
          <t>Medium</t>
        </is>
      </c>
      <c r="J304" s="3">
        <f>HYPERLINK("https://www.codechef.com/problems/CPPMCQ39", "https://www.codechef.com/problems/CPPMCQ39")</f>
        <v/>
      </c>
      <c r="K304" s="2" t="inlineStr"/>
      <c r="L304" s="2" t="inlineStr"/>
      <c r="M304" s="2" t="inlineStr"/>
      <c r="N304" s="2" t="inlineStr">
        <is>
          <t>No</t>
        </is>
      </c>
      <c r="O304" s="2" t="inlineStr">
        <is>
          <t>Unattempted</t>
        </is>
      </c>
    </row>
    <row r="305">
      <c r="A305" s="4" t="inlineStr">
        <is>
          <t>Interview Questions</t>
        </is>
      </c>
      <c r="B305" s="4" t="inlineStr">
        <is>
          <t>C++ Interview Questions and Answers</t>
        </is>
      </c>
      <c r="C305" s="4" t="inlineStr">
        <is>
          <t>Revise all the important concepts of C++ and prepare yourself for the interviews. Check explanation of the questions if you are not able to solve them and learn new concepts.</t>
        </is>
      </c>
      <c r="D305" s="4" t="inlineStr">
        <is>
          <t>Exception Handling - Exception Handling</t>
        </is>
      </c>
      <c r="E305" s="4" t="n">
        <v>40</v>
      </c>
      <c r="F305" s="4" t="inlineStr">
        <is>
          <t>Stack Unwinding</t>
        </is>
      </c>
      <c r="G305" s="4" t="inlineStr">
        <is>
          <t>CPPMCQ40</t>
        </is>
      </c>
      <c r="H305" s="4" t="inlineStr"/>
      <c r="I305" s="4" t="inlineStr">
        <is>
          <t>Medium</t>
        </is>
      </c>
      <c r="J305" s="5">
        <f>HYPERLINK("https://www.codechef.com/problems/CPPMCQ40", "https://www.codechef.com/problems/CPPMCQ40")</f>
        <v/>
      </c>
      <c r="K305" s="4" t="inlineStr"/>
      <c r="L305" s="4" t="inlineStr"/>
      <c r="M305" s="4" t="inlineStr"/>
      <c r="N305" s="4" t="inlineStr">
        <is>
          <t>No</t>
        </is>
      </c>
      <c r="O305" s="4" t="inlineStr">
        <is>
          <t>Unattempted</t>
        </is>
      </c>
    </row>
    <row r="306">
      <c r="A306" s="2" t="inlineStr">
        <is>
          <t>Interview Questions</t>
        </is>
      </c>
      <c r="B306" s="2" t="inlineStr">
        <is>
          <t>C++ Interview Questions and Answers</t>
        </is>
      </c>
      <c r="C306" s="2" t="inlineStr">
        <is>
          <t>Revise all the important concepts of C++ and prepare yourself for the interviews. Check explanation of the questions if you are not able to solve them and learn new concepts.</t>
        </is>
      </c>
      <c r="D306" s="2" t="inlineStr">
        <is>
          <t>File I/O - File IO</t>
        </is>
      </c>
      <c r="E306" s="2" t="n">
        <v>41</v>
      </c>
      <c r="F306" s="2" t="inlineStr">
        <is>
          <t>File Opening Mode</t>
        </is>
      </c>
      <c r="G306" s="2" t="inlineStr">
        <is>
          <t>CPPMCQ41</t>
        </is>
      </c>
      <c r="H306" s="2" t="inlineStr"/>
      <c r="I306" s="2" t="inlineStr">
        <is>
          <t>Easy</t>
        </is>
      </c>
      <c r="J306" s="3">
        <f>HYPERLINK("https://www.codechef.com/problems/CPPMCQ41", "https://www.codechef.com/problems/CPPMCQ41")</f>
        <v/>
      </c>
      <c r="K306" s="2" t="inlineStr"/>
      <c r="L306" s="2" t="inlineStr"/>
      <c r="M306" s="2" t="inlineStr"/>
      <c r="N306" s="2" t="inlineStr">
        <is>
          <t>No</t>
        </is>
      </c>
      <c r="O306" s="2" t="inlineStr">
        <is>
          <t>Unattempted</t>
        </is>
      </c>
    </row>
    <row r="307">
      <c r="A307" s="4" t="inlineStr">
        <is>
          <t>Interview Questions</t>
        </is>
      </c>
      <c r="B307" s="4" t="inlineStr">
        <is>
          <t>C++ Interview Questions and Answers</t>
        </is>
      </c>
      <c r="C307" s="4" t="inlineStr">
        <is>
          <t>Revise all the important concepts of C++ and prepare yourself for the interviews. Check explanation of the questions if you are not able to solve them and learn new concepts.</t>
        </is>
      </c>
      <c r="D307" s="4" t="inlineStr">
        <is>
          <t>File I/O - File IO</t>
        </is>
      </c>
      <c r="E307" s="4" t="n">
        <v>42</v>
      </c>
      <c r="F307" s="4" t="inlineStr">
        <is>
          <t>File Stream Classes</t>
        </is>
      </c>
      <c r="G307" s="4" t="inlineStr">
        <is>
          <t>CPPMCQ42</t>
        </is>
      </c>
      <c r="H307" s="4" t="inlineStr"/>
      <c r="I307" s="4" t="inlineStr">
        <is>
          <t>Easy</t>
        </is>
      </c>
      <c r="J307" s="5">
        <f>HYPERLINK("https://www.codechef.com/problems/CPPMCQ42", "https://www.codechef.com/problems/CPPMCQ42")</f>
        <v/>
      </c>
      <c r="K307" s="4" t="inlineStr"/>
      <c r="L307" s="4" t="inlineStr"/>
      <c r="M307" s="4" t="inlineStr"/>
      <c r="N307" s="4" t="inlineStr">
        <is>
          <t>No</t>
        </is>
      </c>
      <c r="O307" s="4" t="inlineStr">
        <is>
          <t>Unattempted</t>
        </is>
      </c>
    </row>
    <row r="308">
      <c r="A308" s="2" t="inlineStr">
        <is>
          <t>Interview Questions</t>
        </is>
      </c>
      <c r="B308" s="2" t="inlineStr">
        <is>
          <t>C++ Interview Questions and Answers</t>
        </is>
      </c>
      <c r="C308" s="2" t="inlineStr">
        <is>
          <t>Revise all the important concepts of C++ and prepare yourself for the interviews. Check explanation of the questions if you are not able to solve them and learn new concepts.</t>
        </is>
      </c>
      <c r="D308" s="2" t="inlineStr">
        <is>
          <t>File I/O - File IO</t>
        </is>
      </c>
      <c r="E308" s="2" t="n">
        <v>43</v>
      </c>
      <c r="F308" s="2" t="inlineStr">
        <is>
          <t>Closing a File</t>
        </is>
      </c>
      <c r="G308" s="2" t="inlineStr">
        <is>
          <t>CPPMCQ43</t>
        </is>
      </c>
      <c r="H308" s="2" t="inlineStr"/>
      <c r="I308" s="2" t="inlineStr">
        <is>
          <t>Easy</t>
        </is>
      </c>
      <c r="J308" s="3">
        <f>HYPERLINK("https://www.codechef.com/problems/CPPMCQ43", "https://www.codechef.com/problems/CPPMCQ43")</f>
        <v/>
      </c>
      <c r="K308" s="2" t="inlineStr"/>
      <c r="L308" s="2" t="inlineStr"/>
      <c r="M308" s="2" t="inlineStr"/>
      <c r="N308" s="2" t="inlineStr">
        <is>
          <t>No</t>
        </is>
      </c>
      <c r="O308" s="2" t="inlineStr">
        <is>
          <t>Unattempted</t>
        </is>
      </c>
    </row>
    <row r="309">
      <c r="A309" s="4" t="inlineStr">
        <is>
          <t>Interview Questions</t>
        </is>
      </c>
      <c r="B309" s="4" t="inlineStr">
        <is>
          <t>C++ Interview Questions and Answers</t>
        </is>
      </c>
      <c r="C309" s="4" t="inlineStr">
        <is>
          <t>Revise all the important concepts of C++ and prepare yourself for the interviews. Check explanation of the questions if you are not able to solve them and learn new concepts.</t>
        </is>
      </c>
      <c r="D309" s="4" t="inlineStr">
        <is>
          <t>File I/O - File IO</t>
        </is>
      </c>
      <c r="E309" s="4" t="n">
        <v>44</v>
      </c>
      <c r="F309" s="4" t="inlineStr">
        <is>
          <t>Reading from a File</t>
        </is>
      </c>
      <c r="G309" s="4" t="inlineStr">
        <is>
          <t>CPPMCQ44</t>
        </is>
      </c>
      <c r="H309" s="4" t="inlineStr"/>
      <c r="I309" s="4" t="inlineStr">
        <is>
          <t>Easy</t>
        </is>
      </c>
      <c r="J309" s="5">
        <f>HYPERLINK("https://www.codechef.com/problems/CPPMCQ44", "https://www.codechef.com/problems/CPPMCQ44")</f>
        <v/>
      </c>
      <c r="K309" s="4" t="inlineStr"/>
      <c r="L309" s="4" t="inlineStr"/>
      <c r="M309" s="4" t="inlineStr"/>
      <c r="N309" s="4" t="inlineStr">
        <is>
          <t>No</t>
        </is>
      </c>
      <c r="O309" s="4" t="inlineStr">
        <is>
          <t>Unattempted</t>
        </is>
      </c>
    </row>
    <row r="310">
      <c r="A310" s="2" t="inlineStr">
        <is>
          <t>Interview Questions</t>
        </is>
      </c>
      <c r="B310" s="2" t="inlineStr">
        <is>
          <t>C++ Interview Questions and Answers</t>
        </is>
      </c>
      <c r="C310" s="2" t="inlineStr">
        <is>
          <t>Revise all the important concepts of C++ and prepare yourself for the interviews. Check explanation of the questions if you are not able to solve them and learn new concepts.</t>
        </is>
      </c>
      <c r="D310" s="2" t="inlineStr">
        <is>
          <t>File I/O - File IO</t>
        </is>
      </c>
      <c r="E310" s="2" t="n">
        <v>45</v>
      </c>
      <c r="F310" s="2" t="inlineStr">
        <is>
          <t>Writing to a File</t>
        </is>
      </c>
      <c r="G310" s="2" t="inlineStr">
        <is>
          <t>CPPMCQ45</t>
        </is>
      </c>
      <c r="H310" s="2" t="inlineStr"/>
      <c r="I310" s="2" t="inlineStr">
        <is>
          <t>Easy</t>
        </is>
      </c>
      <c r="J310" s="3">
        <f>HYPERLINK("https://www.codechef.com/problems/CPPMCQ45", "https://www.codechef.com/problems/CPPMCQ45")</f>
        <v/>
      </c>
      <c r="K310" s="2" t="inlineStr"/>
      <c r="L310" s="2" t="inlineStr"/>
      <c r="M310" s="2" t="inlineStr"/>
      <c r="N310" s="2" t="inlineStr">
        <is>
          <t>No</t>
        </is>
      </c>
      <c r="O310" s="2" t="inlineStr">
        <is>
          <t>Unattempted</t>
        </is>
      </c>
    </row>
    <row r="311">
      <c r="A311" s="4" t="inlineStr">
        <is>
          <t>Interview Questions</t>
        </is>
      </c>
      <c r="B311" s="4" t="inlineStr">
        <is>
          <t>C++ Interview Questions and Answers</t>
        </is>
      </c>
      <c r="C311" s="4" t="inlineStr">
        <is>
          <t>Revise all the important concepts of C++ and prepare yourself for the interviews. Check explanation of the questions if you are not able to solve them and learn new concepts.</t>
        </is>
      </c>
      <c r="D311" s="4" t="inlineStr">
        <is>
          <t>File I/O - File IO</t>
        </is>
      </c>
      <c r="E311" s="4" t="n">
        <v>46</v>
      </c>
      <c r="F311" s="4" t="inlineStr">
        <is>
          <t>Checking File Open Status</t>
        </is>
      </c>
      <c r="G311" s="4" t="inlineStr">
        <is>
          <t>CPPMCQ46</t>
        </is>
      </c>
      <c r="H311" s="4" t="inlineStr"/>
      <c r="I311" s="4" t="inlineStr">
        <is>
          <t>Easy</t>
        </is>
      </c>
      <c r="J311" s="5">
        <f>HYPERLINK("https://www.codechef.com/problems/CPPMCQ46", "https://www.codechef.com/problems/CPPMCQ46")</f>
        <v/>
      </c>
      <c r="K311" s="4" t="inlineStr"/>
      <c r="L311" s="4" t="inlineStr"/>
      <c r="M311" s="4" t="inlineStr"/>
      <c r="N311" s="4" t="inlineStr">
        <is>
          <t>No</t>
        </is>
      </c>
      <c r="O311" s="4" t="inlineStr">
        <is>
          <t>Unattempted</t>
        </is>
      </c>
    </row>
    <row r="312">
      <c r="A312" s="2" t="inlineStr">
        <is>
          <t>Interview Questions</t>
        </is>
      </c>
      <c r="B312" s="2" t="inlineStr">
        <is>
          <t>C++ Interview Questions and Answers</t>
        </is>
      </c>
      <c r="C312" s="2" t="inlineStr">
        <is>
          <t>Revise all the important concepts of C++ and prepare yourself for the interviews. Check explanation of the questions if you are not able to solve them and learn new concepts.</t>
        </is>
      </c>
      <c r="D312" s="2" t="inlineStr">
        <is>
          <t>File I/O - File IO</t>
        </is>
      </c>
      <c r="E312" s="2" t="n">
        <v>47</v>
      </c>
      <c r="F312" s="2" t="inlineStr">
        <is>
          <t>End of File Detection</t>
        </is>
      </c>
      <c r="G312" s="2" t="inlineStr">
        <is>
          <t>CPPMCQ47</t>
        </is>
      </c>
      <c r="H312" s="2" t="inlineStr"/>
      <c r="I312" s="2" t="inlineStr">
        <is>
          <t>Easy</t>
        </is>
      </c>
      <c r="J312" s="3">
        <f>HYPERLINK("https://www.codechef.com/problems/CPPMCQ47", "https://www.codechef.com/problems/CPPMCQ47")</f>
        <v/>
      </c>
      <c r="K312" s="2" t="inlineStr"/>
      <c r="L312" s="2" t="inlineStr"/>
      <c r="M312" s="2" t="inlineStr"/>
      <c r="N312" s="2" t="inlineStr">
        <is>
          <t>No</t>
        </is>
      </c>
      <c r="O312" s="2" t="inlineStr">
        <is>
          <t>Unattempted</t>
        </is>
      </c>
    </row>
    <row r="313">
      <c r="A313" s="4" t="inlineStr">
        <is>
          <t>Interview Questions</t>
        </is>
      </c>
      <c r="B313" s="4" t="inlineStr">
        <is>
          <t>C++ Interview Questions and Answers</t>
        </is>
      </c>
      <c r="C313" s="4" t="inlineStr">
        <is>
          <t>Revise all the important concepts of C++ and prepare yourself for the interviews. Check explanation of the questions if you are not able to solve them and learn new concepts.</t>
        </is>
      </c>
      <c r="D313" s="4" t="inlineStr">
        <is>
          <t>File I/O - File IO</t>
        </is>
      </c>
      <c r="E313" s="4" t="n">
        <v>48</v>
      </c>
      <c r="F313" s="4" t="inlineStr">
        <is>
          <t>File Position</t>
        </is>
      </c>
      <c r="G313" s="4" t="inlineStr">
        <is>
          <t>CPPMCQ48</t>
        </is>
      </c>
      <c r="H313" s="4" t="inlineStr"/>
      <c r="I313" s="4" t="inlineStr">
        <is>
          <t>Easy</t>
        </is>
      </c>
      <c r="J313" s="5">
        <f>HYPERLINK("https://www.codechef.com/problems/CPPMCQ48", "https://www.codechef.com/problems/CPPMCQ48")</f>
        <v/>
      </c>
      <c r="K313" s="4" t="inlineStr"/>
      <c r="L313" s="4" t="inlineStr"/>
      <c r="M313" s="4" t="inlineStr"/>
      <c r="N313" s="4" t="inlineStr">
        <is>
          <t>No</t>
        </is>
      </c>
      <c r="O313" s="4" t="inlineStr">
        <is>
          <t>Unattempted</t>
        </is>
      </c>
    </row>
    <row r="314">
      <c r="A314" s="2" t="inlineStr">
        <is>
          <t>Interview Questions</t>
        </is>
      </c>
      <c r="B314" s="2" t="inlineStr">
        <is>
          <t>C++ Interview Questions and Answers</t>
        </is>
      </c>
      <c r="C314" s="2" t="inlineStr">
        <is>
          <t>Revise all the important concepts of C++ and prepare yourself for the interviews. Check explanation of the questions if you are not able to solve them and learn new concepts.</t>
        </is>
      </c>
      <c r="D314" s="2" t="inlineStr">
        <is>
          <t>File I/O - File IO</t>
        </is>
      </c>
      <c r="E314" s="2" t="n">
        <v>49</v>
      </c>
      <c r="F314" s="2" t="inlineStr">
        <is>
          <t>Binary File Operations</t>
        </is>
      </c>
      <c r="G314" s="2" t="inlineStr">
        <is>
          <t>CPPMCQ49</t>
        </is>
      </c>
      <c r="H314" s="2" t="inlineStr"/>
      <c r="I314" s="2" t="inlineStr">
        <is>
          <t>Easy</t>
        </is>
      </c>
      <c r="J314" s="3">
        <f>HYPERLINK("https://www.codechef.com/problems/CPPMCQ49", "https://www.codechef.com/problems/CPPMCQ49")</f>
        <v/>
      </c>
      <c r="K314" s="2" t="inlineStr"/>
      <c r="L314" s="2" t="inlineStr"/>
      <c r="M314" s="2" t="inlineStr"/>
      <c r="N314" s="2" t="inlineStr">
        <is>
          <t>No</t>
        </is>
      </c>
      <c r="O314" s="2" t="inlineStr">
        <is>
          <t>Unattempted</t>
        </is>
      </c>
    </row>
    <row r="315">
      <c r="A315" s="4" t="inlineStr">
        <is>
          <t>Interview Questions</t>
        </is>
      </c>
      <c r="B315" s="4" t="inlineStr">
        <is>
          <t>C++ Interview Questions and Answers</t>
        </is>
      </c>
      <c r="C315" s="4" t="inlineStr">
        <is>
          <t>Revise all the important concepts of C++ and prepare yourself for the interviews. Check explanation of the questions if you are not able to solve them and learn new concepts.</t>
        </is>
      </c>
      <c r="D315" s="4" t="inlineStr">
        <is>
          <t>File I/O - File IO</t>
        </is>
      </c>
      <c r="E315" s="4" t="n">
        <v>50</v>
      </c>
      <c r="F315" s="4" t="inlineStr">
        <is>
          <t>Stream Error Handling</t>
        </is>
      </c>
      <c r="G315" s="4" t="inlineStr">
        <is>
          <t>CPPMCQ50</t>
        </is>
      </c>
      <c r="H315" s="4" t="inlineStr"/>
      <c r="I315" s="4" t="inlineStr">
        <is>
          <t>Easy</t>
        </is>
      </c>
      <c r="J315" s="5">
        <f>HYPERLINK("https://www.codechef.com/problems/CPPMCQ50", "https://www.codechef.com/problems/CPPMCQ50")</f>
        <v/>
      </c>
      <c r="K315" s="4" t="inlineStr"/>
      <c r="L315" s="4" t="inlineStr"/>
      <c r="M315" s="4" t="inlineStr"/>
      <c r="N315" s="4" t="inlineStr">
        <is>
          <t>No</t>
        </is>
      </c>
      <c r="O315" s="4" t="inlineStr">
        <is>
          <t>Unattempted</t>
        </is>
      </c>
    </row>
    <row r="316">
      <c r="A316" s="2" t="inlineStr">
        <is>
          <t>Interview Questions</t>
        </is>
      </c>
      <c r="B316" s="2" t="inlineStr">
        <is>
          <t>C++ Interview Questions and Answers</t>
        </is>
      </c>
      <c r="C316" s="2" t="inlineStr">
        <is>
          <t>Revise all the important concepts of C++ and prepare yourself for the interviews. Check explanation of the questions if you are not able to solve them and learn new concepts.</t>
        </is>
      </c>
      <c r="D316" s="2" t="inlineStr">
        <is>
          <t>Pointers and References - Pointers and References</t>
        </is>
      </c>
      <c r="E316" s="2" t="n">
        <v>51</v>
      </c>
      <c r="F316" s="2" t="inlineStr">
        <is>
          <t>Pointer Declaration</t>
        </is>
      </c>
      <c r="G316" s="2" t="inlineStr">
        <is>
          <t>CPPMCQ51</t>
        </is>
      </c>
      <c r="H316" s="2" t="inlineStr"/>
      <c r="I316" s="2" t="inlineStr">
        <is>
          <t>Easy</t>
        </is>
      </c>
      <c r="J316" s="3">
        <f>HYPERLINK("https://www.codechef.com/problems/CPPMCQ51", "https://www.codechef.com/problems/CPPMCQ51")</f>
        <v/>
      </c>
      <c r="K316" s="2" t="inlineStr"/>
      <c r="L316" s="2" t="inlineStr"/>
      <c r="M316" s="2" t="inlineStr"/>
      <c r="N316" s="2" t="inlineStr">
        <is>
          <t>No</t>
        </is>
      </c>
      <c r="O316" s="2" t="inlineStr">
        <is>
          <t>Unattempted</t>
        </is>
      </c>
    </row>
    <row r="317">
      <c r="A317" s="4" t="inlineStr">
        <is>
          <t>Interview Questions</t>
        </is>
      </c>
      <c r="B317" s="4" t="inlineStr">
        <is>
          <t>C++ Interview Questions and Answers</t>
        </is>
      </c>
      <c r="C317" s="4" t="inlineStr">
        <is>
          <t>Revise all the important concepts of C++ and prepare yourself for the interviews. Check explanation of the questions if you are not able to solve them and learn new concepts.</t>
        </is>
      </c>
      <c r="D317" s="4" t="inlineStr">
        <is>
          <t>Pointers and References - Pointers and References</t>
        </is>
      </c>
      <c r="E317" s="4" t="n">
        <v>52</v>
      </c>
      <c r="F317" s="4" t="inlineStr">
        <is>
          <t>Reference Variable Declaration</t>
        </is>
      </c>
      <c r="G317" s="4" t="inlineStr">
        <is>
          <t>CPPMCQ52</t>
        </is>
      </c>
      <c r="H317" s="4" t="inlineStr"/>
      <c r="I317" s="4" t="inlineStr">
        <is>
          <t>Easy</t>
        </is>
      </c>
      <c r="J317" s="5">
        <f>HYPERLINK("https://www.codechef.com/problems/CPPMCQ52", "https://www.codechef.com/problems/CPPMCQ52")</f>
        <v/>
      </c>
      <c r="K317" s="4" t="inlineStr"/>
      <c r="L317" s="4" t="inlineStr"/>
      <c r="M317" s="4" t="inlineStr"/>
      <c r="N317" s="4" t="inlineStr">
        <is>
          <t>No</t>
        </is>
      </c>
      <c r="O317" s="4" t="inlineStr">
        <is>
          <t>Unattempted</t>
        </is>
      </c>
    </row>
    <row r="318">
      <c r="A318" s="2" t="inlineStr">
        <is>
          <t>Interview Questions</t>
        </is>
      </c>
      <c r="B318" s="2" t="inlineStr">
        <is>
          <t>C++ Interview Questions and Answers</t>
        </is>
      </c>
      <c r="C318" s="2" t="inlineStr">
        <is>
          <t>Revise all the important concepts of C++ and prepare yourself for the interviews. Check explanation of the questions if you are not able to solve them and learn new concepts.</t>
        </is>
      </c>
      <c r="D318" s="2" t="inlineStr">
        <is>
          <t>Pointers and References - Pointers and References</t>
        </is>
      </c>
      <c r="E318" s="2" t="n">
        <v>53</v>
      </c>
      <c r="F318" s="2" t="inlineStr">
        <is>
          <t>Pointer Dereferencing</t>
        </is>
      </c>
      <c r="G318" s="2" t="inlineStr">
        <is>
          <t>CPPMCQ53</t>
        </is>
      </c>
      <c r="H318" s="2" t="inlineStr"/>
      <c r="I318" s="2" t="inlineStr">
        <is>
          <t>Easy</t>
        </is>
      </c>
      <c r="J318" s="3">
        <f>HYPERLINK("https://www.codechef.com/problems/CPPMCQ53", "https://www.codechef.com/problems/CPPMCQ53")</f>
        <v/>
      </c>
      <c r="K318" s="2" t="inlineStr"/>
      <c r="L318" s="2" t="inlineStr"/>
      <c r="M318" s="2" t="inlineStr"/>
      <c r="N318" s="2" t="inlineStr">
        <is>
          <t>No</t>
        </is>
      </c>
      <c r="O318" s="2" t="inlineStr">
        <is>
          <t>Unattempted</t>
        </is>
      </c>
    </row>
    <row r="319">
      <c r="A319" s="4" t="inlineStr">
        <is>
          <t>Interview Questions</t>
        </is>
      </c>
      <c r="B319" s="4" t="inlineStr">
        <is>
          <t>C++ Interview Questions and Answers</t>
        </is>
      </c>
      <c r="C319" s="4" t="inlineStr">
        <is>
          <t>Revise all the important concepts of C++ and prepare yourself for the interviews. Check explanation of the questions if you are not able to solve them and learn new concepts.</t>
        </is>
      </c>
      <c r="D319" s="4" t="inlineStr">
        <is>
          <t>Pointers and References - Pointers and References</t>
        </is>
      </c>
      <c r="E319" s="4" t="n">
        <v>54</v>
      </c>
      <c r="F319" s="4" t="inlineStr">
        <is>
          <t>Address-of Operator</t>
        </is>
      </c>
      <c r="G319" s="4" t="inlineStr">
        <is>
          <t>CPPMCQ54</t>
        </is>
      </c>
      <c r="H319" s="4" t="inlineStr"/>
      <c r="I319" s="4" t="inlineStr">
        <is>
          <t>Easy</t>
        </is>
      </c>
      <c r="J319" s="5">
        <f>HYPERLINK("https://www.codechef.com/problems/CPPMCQ54", "https://www.codechef.com/problems/CPPMCQ54")</f>
        <v/>
      </c>
      <c r="K319" s="4" t="inlineStr"/>
      <c r="L319" s="4" t="inlineStr"/>
      <c r="M319" s="4" t="inlineStr"/>
      <c r="N319" s="4" t="inlineStr">
        <is>
          <t>No</t>
        </is>
      </c>
      <c r="O319" s="4" t="inlineStr">
        <is>
          <t>Unattempted</t>
        </is>
      </c>
    </row>
    <row r="320">
      <c r="A320" s="2" t="inlineStr">
        <is>
          <t>Interview Questions</t>
        </is>
      </c>
      <c r="B320" s="2" t="inlineStr">
        <is>
          <t>C++ Interview Questions and Answers</t>
        </is>
      </c>
      <c r="C320" s="2" t="inlineStr">
        <is>
          <t>Revise all the important concepts of C++ and prepare yourself for the interviews. Check explanation of the questions if you are not able to solve them and learn new concepts.</t>
        </is>
      </c>
      <c r="D320" s="2" t="inlineStr">
        <is>
          <t>Pointers and References - Pointers and References</t>
        </is>
      </c>
      <c r="E320" s="2" t="n">
        <v>55</v>
      </c>
      <c r="F320" s="2" t="inlineStr">
        <is>
          <t>Pointer Arithmetic</t>
        </is>
      </c>
      <c r="G320" s="2" t="inlineStr">
        <is>
          <t>CPPMCQ55</t>
        </is>
      </c>
      <c r="H320" s="2" t="inlineStr"/>
      <c r="I320" s="2" t="inlineStr">
        <is>
          <t>Easy</t>
        </is>
      </c>
      <c r="J320" s="3">
        <f>HYPERLINK("https://www.codechef.com/problems/CPPMCQ55", "https://www.codechef.com/problems/CPPMCQ55")</f>
        <v/>
      </c>
      <c r="K320" s="2" t="inlineStr"/>
      <c r="L320" s="2" t="inlineStr"/>
      <c r="M320" s="2" t="inlineStr"/>
      <c r="N320" s="2" t="inlineStr">
        <is>
          <t>No</t>
        </is>
      </c>
      <c r="O320" s="2" t="inlineStr">
        <is>
          <t>Unattempted</t>
        </is>
      </c>
    </row>
    <row r="321">
      <c r="A321" s="4" t="inlineStr">
        <is>
          <t>Interview Questions</t>
        </is>
      </c>
      <c r="B321" s="4" t="inlineStr">
        <is>
          <t>C++ Interview Questions and Answers</t>
        </is>
      </c>
      <c r="C321" s="4" t="inlineStr">
        <is>
          <t>Revise all the important concepts of C++ and prepare yourself for the interviews. Check explanation of the questions if you are not able to solve them and learn new concepts.</t>
        </is>
      </c>
      <c r="D321" s="4" t="inlineStr">
        <is>
          <t>Pointers and References - Pointers and References</t>
        </is>
      </c>
      <c r="E321" s="4" t="n">
        <v>56</v>
      </c>
      <c r="F321" s="4" t="inlineStr">
        <is>
          <t>Const References</t>
        </is>
      </c>
      <c r="G321" s="4" t="inlineStr">
        <is>
          <t>CPPMCQ56</t>
        </is>
      </c>
      <c r="H321" s="4" t="inlineStr"/>
      <c r="I321" s="4" t="inlineStr">
        <is>
          <t>Easy</t>
        </is>
      </c>
      <c r="J321" s="5">
        <f>HYPERLINK("https://www.codechef.com/problems/CPPMCQ56", "https://www.codechef.com/problems/CPPMCQ56")</f>
        <v/>
      </c>
      <c r="K321" s="4" t="inlineStr"/>
      <c r="L321" s="4" t="inlineStr"/>
      <c r="M321" s="4" t="inlineStr"/>
      <c r="N321" s="4" t="inlineStr">
        <is>
          <t>No</t>
        </is>
      </c>
      <c r="O321" s="4" t="inlineStr">
        <is>
          <t>Unattempted</t>
        </is>
      </c>
    </row>
    <row r="322">
      <c r="A322" s="2" t="inlineStr">
        <is>
          <t>Interview Questions</t>
        </is>
      </c>
      <c r="B322" s="2" t="inlineStr">
        <is>
          <t>C++ Interview Questions and Answers</t>
        </is>
      </c>
      <c r="C322" s="2" t="inlineStr">
        <is>
          <t>Revise all the important concepts of C++ and prepare yourself for the interviews. Check explanation of the questions if you are not able to solve them and learn new concepts.</t>
        </is>
      </c>
      <c r="D322" s="2" t="inlineStr">
        <is>
          <t>Pointers and References - Pointers and References</t>
        </is>
      </c>
      <c r="E322" s="2" t="n">
        <v>57</v>
      </c>
      <c r="F322" s="2" t="inlineStr">
        <is>
          <t>Null Pointer</t>
        </is>
      </c>
      <c r="G322" s="2" t="inlineStr">
        <is>
          <t>CPPMCQ57</t>
        </is>
      </c>
      <c r="H322" s="2" t="inlineStr"/>
      <c r="I322" s="2" t="inlineStr">
        <is>
          <t>Easy</t>
        </is>
      </c>
      <c r="J322" s="3">
        <f>HYPERLINK("https://www.codechef.com/problems/CPPMCQ57", "https://www.codechef.com/problems/CPPMCQ57")</f>
        <v/>
      </c>
      <c r="K322" s="2" t="inlineStr"/>
      <c r="L322" s="2" t="inlineStr"/>
      <c r="M322" s="2" t="inlineStr"/>
      <c r="N322" s="2" t="inlineStr">
        <is>
          <t>No</t>
        </is>
      </c>
      <c r="O322" s="2" t="inlineStr">
        <is>
          <t>Unattempted</t>
        </is>
      </c>
    </row>
    <row r="323">
      <c r="A323" s="4" t="inlineStr">
        <is>
          <t>Interview Questions</t>
        </is>
      </c>
      <c r="B323" s="4" t="inlineStr">
        <is>
          <t>C++ Interview Questions and Answers</t>
        </is>
      </c>
      <c r="C323" s="4" t="inlineStr">
        <is>
          <t>Revise all the important concepts of C++ and prepare yourself for the interviews. Check explanation of the questions if you are not able to solve them and learn new concepts.</t>
        </is>
      </c>
      <c r="D323" s="4" t="inlineStr">
        <is>
          <t>Pointers and References - Pointers and References</t>
        </is>
      </c>
      <c r="E323" s="4" t="n">
        <v>58</v>
      </c>
      <c r="F323" s="4" t="inlineStr">
        <is>
          <t>Pointer to Pointer</t>
        </is>
      </c>
      <c r="G323" s="4" t="inlineStr">
        <is>
          <t>CPPMCQ58</t>
        </is>
      </c>
      <c r="H323" s="4" t="inlineStr"/>
      <c r="I323" s="4" t="inlineStr">
        <is>
          <t>Medium</t>
        </is>
      </c>
      <c r="J323" s="5">
        <f>HYPERLINK("https://www.codechef.com/problems/CPPMCQ58", "https://www.codechef.com/problems/CPPMCQ58")</f>
        <v/>
      </c>
      <c r="K323" s="4" t="inlineStr"/>
      <c r="L323" s="4" t="inlineStr"/>
      <c r="M323" s="4" t="inlineStr"/>
      <c r="N323" s="4" t="inlineStr">
        <is>
          <t>No</t>
        </is>
      </c>
      <c r="O323" s="4" t="inlineStr">
        <is>
          <t>Unattempted</t>
        </is>
      </c>
    </row>
    <row r="324">
      <c r="A324" s="2" t="inlineStr">
        <is>
          <t>Interview Questions</t>
        </is>
      </c>
      <c r="B324" s="2" t="inlineStr">
        <is>
          <t>C++ Interview Questions and Answers</t>
        </is>
      </c>
      <c r="C324" s="2" t="inlineStr">
        <is>
          <t>Revise all the important concepts of C++ and prepare yourself for the interviews. Check explanation of the questions if you are not able to solve them and learn new concepts.</t>
        </is>
      </c>
      <c r="D324" s="2" t="inlineStr">
        <is>
          <t>Pointers and References - Pointers and References</t>
        </is>
      </c>
      <c r="E324" s="2" t="n">
        <v>59</v>
      </c>
      <c r="F324" s="2" t="inlineStr">
        <is>
          <t>Reference vs Pointer</t>
        </is>
      </c>
      <c r="G324" s="2" t="inlineStr">
        <is>
          <t>CPPMCQ59</t>
        </is>
      </c>
      <c r="H324" s="2" t="inlineStr"/>
      <c r="I324" s="2" t="inlineStr">
        <is>
          <t>Easy</t>
        </is>
      </c>
      <c r="J324" s="3">
        <f>HYPERLINK("https://www.codechef.com/problems/CPPMCQ59", "https://www.codechef.com/problems/CPPMCQ59")</f>
        <v/>
      </c>
      <c r="K324" s="2" t="inlineStr"/>
      <c r="L324" s="2" t="inlineStr"/>
      <c r="M324" s="2" t="inlineStr"/>
      <c r="N324" s="2" t="inlineStr">
        <is>
          <t>No</t>
        </is>
      </c>
      <c r="O324" s="2" t="inlineStr">
        <is>
          <t>Unattempted</t>
        </is>
      </c>
    </row>
    <row r="325">
      <c r="A325" s="4" t="inlineStr">
        <is>
          <t>Interview Questions</t>
        </is>
      </c>
      <c r="B325" s="4" t="inlineStr">
        <is>
          <t>C++ Interview Questions and Answers</t>
        </is>
      </c>
      <c r="C325" s="4" t="inlineStr">
        <is>
          <t>Revise all the important concepts of C++ and prepare yourself for the interviews. Check explanation of the questions if you are not able to solve them and learn new concepts.</t>
        </is>
      </c>
      <c r="D325" s="4" t="inlineStr">
        <is>
          <t>Pointers and References - Pointers and References</t>
        </is>
      </c>
      <c r="E325" s="4" t="n">
        <v>60</v>
      </c>
      <c r="F325" s="4" t="inlineStr">
        <is>
          <t>Array Decay</t>
        </is>
      </c>
      <c r="G325" s="4" t="inlineStr">
        <is>
          <t>CPPMCQ60</t>
        </is>
      </c>
      <c r="H325" s="4" t="inlineStr"/>
      <c r="I325" s="4" t="inlineStr">
        <is>
          <t>Easy</t>
        </is>
      </c>
      <c r="J325" s="5">
        <f>HYPERLINK("https://www.codechef.com/problems/CPPMCQ60", "https://www.codechef.com/problems/CPPMCQ60")</f>
        <v/>
      </c>
      <c r="K325" s="4" t="inlineStr"/>
      <c r="L325" s="4" t="inlineStr"/>
      <c r="M325" s="4" t="inlineStr"/>
      <c r="N325" s="4" t="inlineStr">
        <is>
          <t>No</t>
        </is>
      </c>
      <c r="O325" s="4" t="inlineStr">
        <is>
          <t>Unattempted</t>
        </is>
      </c>
    </row>
    <row r="326">
      <c r="A326" s="2" t="inlineStr">
        <is>
          <t>Interview Questions</t>
        </is>
      </c>
      <c r="B326" s="2" t="inlineStr">
        <is>
          <t>C++ Interview Questions and Answers</t>
        </is>
      </c>
      <c r="C326" s="2" t="inlineStr">
        <is>
          <t>Revise all the important concepts of C++ and prepare yourself for the interviews. Check explanation of the questions if you are not able to solve them and learn new concepts.</t>
        </is>
      </c>
      <c r="D326" s="2" t="inlineStr">
        <is>
          <t>Standard Template Library (STL) - Standard Template Library (STL)</t>
        </is>
      </c>
      <c r="E326" s="2" t="n">
        <v>61</v>
      </c>
      <c r="F326" s="2" t="inlineStr">
        <is>
          <t>Vector Capacity</t>
        </is>
      </c>
      <c r="G326" s="2" t="inlineStr">
        <is>
          <t>CPPMCQ61</t>
        </is>
      </c>
      <c r="H326" s="2" t="inlineStr"/>
      <c r="I326" s="2" t="inlineStr">
        <is>
          <t>Easy</t>
        </is>
      </c>
      <c r="J326" s="3">
        <f>HYPERLINK("https://www.codechef.com/problems/CPPMCQ61", "https://www.codechef.com/problems/CPPMCQ61")</f>
        <v/>
      </c>
      <c r="K326" s="2" t="inlineStr"/>
      <c r="L326" s="2" t="inlineStr"/>
      <c r="M326" s="2" t="inlineStr"/>
      <c r="N326" s="2" t="inlineStr">
        <is>
          <t>No</t>
        </is>
      </c>
      <c r="O326" s="2" t="inlineStr">
        <is>
          <t>Unattempted</t>
        </is>
      </c>
    </row>
    <row r="327">
      <c r="A327" s="4" t="inlineStr">
        <is>
          <t>Interview Questions</t>
        </is>
      </c>
      <c r="B327" s="4" t="inlineStr">
        <is>
          <t>C++ Interview Questions and Answers</t>
        </is>
      </c>
      <c r="C327" s="4" t="inlineStr">
        <is>
          <t>Revise all the important concepts of C++ and prepare yourself for the interviews. Check explanation of the questions if you are not able to solve them and learn new concepts.</t>
        </is>
      </c>
      <c r="D327" s="4" t="inlineStr">
        <is>
          <t>Standard Template Library (STL) - Standard Template Library (STL)</t>
        </is>
      </c>
      <c r="E327" s="4" t="n">
        <v>62</v>
      </c>
      <c r="F327" s="4" t="inlineStr">
        <is>
          <t>Map Key Uniqueness</t>
        </is>
      </c>
      <c r="G327" s="4" t="inlineStr">
        <is>
          <t>CPPMCQ62</t>
        </is>
      </c>
      <c r="H327" s="4" t="inlineStr"/>
      <c r="I327" s="4" t="inlineStr">
        <is>
          <t>Easy</t>
        </is>
      </c>
      <c r="J327" s="5">
        <f>HYPERLINK("https://www.codechef.com/problems/CPPMCQ62", "https://www.codechef.com/problems/CPPMCQ62")</f>
        <v/>
      </c>
      <c r="K327" s="4" t="inlineStr"/>
      <c r="L327" s="4" t="inlineStr"/>
      <c r="M327" s="4" t="inlineStr"/>
      <c r="N327" s="4" t="inlineStr">
        <is>
          <t>No</t>
        </is>
      </c>
      <c r="O327" s="4" t="inlineStr">
        <is>
          <t>Unattempted</t>
        </is>
      </c>
    </row>
    <row r="328">
      <c r="A328" s="2" t="inlineStr">
        <is>
          <t>Interview Questions</t>
        </is>
      </c>
      <c r="B328" s="2" t="inlineStr">
        <is>
          <t>C++ Interview Questions and Answers</t>
        </is>
      </c>
      <c r="C328" s="2" t="inlineStr">
        <is>
          <t>Revise all the important concepts of C++ and prepare yourself for the interviews. Check explanation of the questions if you are not able to solve them and learn new concepts.</t>
        </is>
      </c>
      <c r="D328" s="2" t="inlineStr">
        <is>
          <t>Standard Template Library (STL) - Standard Template Library (STL)</t>
        </is>
      </c>
      <c r="E328" s="2" t="n">
        <v>63</v>
      </c>
      <c r="F328" s="2" t="inlineStr">
        <is>
          <t>Iterator Invalidation</t>
        </is>
      </c>
      <c r="G328" s="2" t="inlineStr">
        <is>
          <t>CPPMCQ63</t>
        </is>
      </c>
      <c r="H328" s="2" t="inlineStr"/>
      <c r="I328" s="2" t="inlineStr">
        <is>
          <t>Medium</t>
        </is>
      </c>
      <c r="J328" s="3">
        <f>HYPERLINK("https://www.codechef.com/problems/CPPMCQ63", "https://www.codechef.com/problems/CPPMCQ63")</f>
        <v/>
      </c>
      <c r="K328" s="2" t="inlineStr"/>
      <c r="L328" s="2" t="inlineStr"/>
      <c r="M328" s="2" t="inlineStr"/>
      <c r="N328" s="2" t="inlineStr">
        <is>
          <t>No</t>
        </is>
      </c>
      <c r="O328" s="2" t="inlineStr">
        <is>
          <t>Unattempted</t>
        </is>
      </c>
    </row>
    <row r="329">
      <c r="A329" s="4" t="inlineStr">
        <is>
          <t>Interview Questions</t>
        </is>
      </c>
      <c r="B329" s="4" t="inlineStr">
        <is>
          <t>C++ Interview Questions and Answers</t>
        </is>
      </c>
      <c r="C329" s="4" t="inlineStr">
        <is>
          <t>Revise all the important concepts of C++ and prepare yourself for the interviews. Check explanation of the questions if you are not able to solve them and learn new concepts.</t>
        </is>
      </c>
      <c r="D329" s="4" t="inlineStr">
        <is>
          <t>Standard Template Library (STL) - Standard Template Library (STL)</t>
        </is>
      </c>
      <c r="E329" s="4" t="n">
        <v>64</v>
      </c>
      <c r="F329" s="4" t="inlineStr">
        <is>
          <t>Algorithm Complexity</t>
        </is>
      </c>
      <c r="G329" s="4" t="inlineStr">
        <is>
          <t>CPPMCQ64</t>
        </is>
      </c>
      <c r="H329" s="4" t="inlineStr"/>
      <c r="I329" s="4" t="inlineStr">
        <is>
          <t>Easy</t>
        </is>
      </c>
      <c r="J329" s="5">
        <f>HYPERLINK("https://www.codechef.com/problems/CPPMCQ64", "https://www.codechef.com/problems/CPPMCQ64")</f>
        <v/>
      </c>
      <c r="K329" s="4" t="inlineStr"/>
      <c r="L329" s="4" t="inlineStr"/>
      <c r="M329" s="4" t="inlineStr"/>
      <c r="N329" s="4" t="inlineStr">
        <is>
          <t>No</t>
        </is>
      </c>
      <c r="O329" s="4" t="inlineStr">
        <is>
          <t>Unattempted</t>
        </is>
      </c>
    </row>
    <row r="330">
      <c r="A330" s="2" t="inlineStr">
        <is>
          <t>Interview Questions</t>
        </is>
      </c>
      <c r="B330" s="2" t="inlineStr">
        <is>
          <t>C++ Interview Questions and Answers</t>
        </is>
      </c>
      <c r="C330" s="2" t="inlineStr">
        <is>
          <t>Revise all the important concepts of C++ and prepare yourself for the interviews. Check explanation of the questions if you are not able to solve them and learn new concepts.</t>
        </is>
      </c>
      <c r="D330" s="2" t="inlineStr">
        <is>
          <t>Standard Template Library (STL) - Standard Template Library (STL)</t>
        </is>
      </c>
      <c r="E330" s="2" t="n">
        <v>65</v>
      </c>
      <c r="F330" s="2" t="inlineStr">
        <is>
          <t>Container Adaptor</t>
        </is>
      </c>
      <c r="G330" s="2" t="inlineStr">
        <is>
          <t>CPPMCQ65</t>
        </is>
      </c>
      <c r="H330" s="2" t="inlineStr"/>
      <c r="I330" s="2" t="inlineStr">
        <is>
          <t>Easy</t>
        </is>
      </c>
      <c r="J330" s="3">
        <f>HYPERLINK("https://www.codechef.com/problems/CPPMCQ65", "https://www.codechef.com/problems/CPPMCQ65")</f>
        <v/>
      </c>
      <c r="K330" s="2" t="inlineStr"/>
      <c r="L330" s="2" t="inlineStr"/>
      <c r="M330" s="2" t="inlineStr"/>
      <c r="N330" s="2" t="inlineStr">
        <is>
          <t>No</t>
        </is>
      </c>
      <c r="O330" s="2" t="inlineStr">
        <is>
          <t>Unattempted</t>
        </is>
      </c>
    </row>
    <row r="331">
      <c r="A331" s="4" t="inlineStr">
        <is>
          <t>Interview Questions</t>
        </is>
      </c>
      <c r="B331" s="4" t="inlineStr">
        <is>
          <t>C++ Interview Questions and Answers</t>
        </is>
      </c>
      <c r="C331" s="4" t="inlineStr">
        <is>
          <t>Revise all the important concepts of C++ and prepare yourself for the interviews. Check explanation of the questions if you are not able to solve them and learn new concepts.</t>
        </is>
      </c>
      <c r="D331" s="4" t="inlineStr">
        <is>
          <t>Standard Template Library (STL) - Standard Template Library (STL)</t>
        </is>
      </c>
      <c r="E331" s="4" t="n">
        <v>66</v>
      </c>
      <c r="F331" s="4" t="inlineStr">
        <is>
          <t>Algorithm Predicate</t>
        </is>
      </c>
      <c r="G331" s="4" t="inlineStr">
        <is>
          <t>CPPMCQ66</t>
        </is>
      </c>
      <c r="H331" s="4" t="inlineStr"/>
      <c r="I331" s="4" t="inlineStr">
        <is>
          <t>Easy</t>
        </is>
      </c>
      <c r="J331" s="5">
        <f>HYPERLINK("https://www.codechef.com/problems/CPPMCQ66", "https://www.codechef.com/problems/CPPMCQ66")</f>
        <v/>
      </c>
      <c r="K331" s="4" t="inlineStr"/>
      <c r="L331" s="4" t="inlineStr"/>
      <c r="M331" s="4" t="inlineStr"/>
      <c r="N331" s="4" t="inlineStr">
        <is>
          <t>No</t>
        </is>
      </c>
      <c r="O331" s="4" t="inlineStr">
        <is>
          <t>Unattempted</t>
        </is>
      </c>
    </row>
    <row r="332">
      <c r="A332" s="2" t="inlineStr">
        <is>
          <t>Interview Questions</t>
        </is>
      </c>
      <c r="B332" s="2" t="inlineStr">
        <is>
          <t>C++ Interview Questions and Answers</t>
        </is>
      </c>
      <c r="C332" s="2" t="inlineStr">
        <is>
          <t>Revise all the important concepts of C++ and prepare yourself for the interviews. Check explanation of the questions if you are not able to solve them and learn new concepts.</t>
        </is>
      </c>
      <c r="D332" s="2" t="inlineStr">
        <is>
          <t>Standard Template Library (STL) - Standard Template Library (STL)</t>
        </is>
      </c>
      <c r="E332" s="2" t="n">
        <v>67</v>
      </c>
      <c r="F332" s="2" t="inlineStr">
        <is>
          <t>List vs Vector</t>
        </is>
      </c>
      <c r="G332" s="2" t="inlineStr">
        <is>
          <t>CPPMCQ67</t>
        </is>
      </c>
      <c r="H332" s="2" t="inlineStr"/>
      <c r="I332" s="2" t="inlineStr">
        <is>
          <t>Easy</t>
        </is>
      </c>
      <c r="J332" s="3">
        <f>HYPERLINK("https://www.codechef.com/problems/CPPMCQ67", "https://www.codechef.com/problems/CPPMCQ67")</f>
        <v/>
      </c>
      <c r="K332" s="2" t="inlineStr"/>
      <c r="L332" s="2" t="inlineStr"/>
      <c r="M332" s="2" t="inlineStr"/>
      <c r="N332" s="2" t="inlineStr">
        <is>
          <t>No</t>
        </is>
      </c>
      <c r="O332" s="2" t="inlineStr">
        <is>
          <t>Unattempted</t>
        </is>
      </c>
    </row>
    <row r="333">
      <c r="A333" s="4" t="inlineStr">
        <is>
          <t>Interview Questions</t>
        </is>
      </c>
      <c r="B333" s="4" t="inlineStr">
        <is>
          <t>C++ Interview Questions and Answers</t>
        </is>
      </c>
      <c r="C333" s="4" t="inlineStr">
        <is>
          <t>Revise all the important concepts of C++ and prepare yourself for the interviews. Check explanation of the questions if you are not able to solve them and learn new concepts.</t>
        </is>
      </c>
      <c r="D333" s="4" t="inlineStr">
        <is>
          <t>Standard Template Library (STL) - Standard Template Library (STL)</t>
        </is>
      </c>
      <c r="E333" s="4" t="n">
        <v>68</v>
      </c>
      <c r="F333" s="4" t="inlineStr">
        <is>
          <t>Iterator Category</t>
        </is>
      </c>
      <c r="G333" s="4" t="inlineStr">
        <is>
          <t>CPPMCQ68</t>
        </is>
      </c>
      <c r="H333" s="4" t="inlineStr"/>
      <c r="I333" s="4" t="inlineStr">
        <is>
          <t>Medium</t>
        </is>
      </c>
      <c r="J333" s="5">
        <f>HYPERLINK("https://www.codechef.com/problems/CPPMCQ68", "https://www.codechef.com/problems/CPPMCQ68")</f>
        <v/>
      </c>
      <c r="K333" s="4" t="inlineStr"/>
      <c r="L333" s="4" t="inlineStr"/>
      <c r="M333" s="4" t="inlineStr"/>
      <c r="N333" s="4" t="inlineStr">
        <is>
          <t>No</t>
        </is>
      </c>
      <c r="O333" s="4" t="inlineStr">
        <is>
          <t>Unattempted</t>
        </is>
      </c>
    </row>
    <row r="334">
      <c r="A334" s="2" t="inlineStr">
        <is>
          <t>Interview Questions</t>
        </is>
      </c>
      <c r="B334" s="2" t="inlineStr">
        <is>
          <t>C++ Interview Questions and Answers</t>
        </is>
      </c>
      <c r="C334" s="2" t="inlineStr">
        <is>
          <t>Revise all the important concepts of C++ and prepare yourself for the interviews. Check explanation of the questions if you are not able to solve them and learn new concepts.</t>
        </is>
      </c>
      <c r="D334" s="2" t="inlineStr">
        <is>
          <t>Standard Template Library (STL) - Standard Template Library (STL)</t>
        </is>
      </c>
      <c r="E334" s="2" t="n">
        <v>69</v>
      </c>
      <c r="F334" s="2" t="inlineStr">
        <is>
          <t>Algorithm Efficiency</t>
        </is>
      </c>
      <c r="G334" s="2" t="inlineStr">
        <is>
          <t>CPPMCQ69</t>
        </is>
      </c>
      <c r="H334" s="2" t="inlineStr"/>
      <c r="I334" s="2" t="inlineStr">
        <is>
          <t>Easy</t>
        </is>
      </c>
      <c r="J334" s="3">
        <f>HYPERLINK("https://www.codechef.com/problems/CPPMCQ69", "https://www.codechef.com/problems/CPPMCQ69")</f>
        <v/>
      </c>
      <c r="K334" s="2" t="inlineStr"/>
      <c r="L334" s="2" t="inlineStr"/>
      <c r="M334" s="2" t="inlineStr"/>
      <c r="N334" s="2" t="inlineStr">
        <is>
          <t>No</t>
        </is>
      </c>
      <c r="O334" s="2" t="inlineStr">
        <is>
          <t>Unattempted</t>
        </is>
      </c>
    </row>
    <row r="335">
      <c r="A335" s="4" t="inlineStr">
        <is>
          <t>Interview Questions</t>
        </is>
      </c>
      <c r="B335" s="4" t="inlineStr">
        <is>
          <t>C++ Interview Questions and Answers</t>
        </is>
      </c>
      <c r="C335" s="4" t="inlineStr">
        <is>
          <t>Revise all the important concepts of C++ and prepare yourself for the interviews. Check explanation of the questions if you are not able to solve them and learn new concepts.</t>
        </is>
      </c>
      <c r="D335" s="4" t="inlineStr">
        <is>
          <t>Standard Template Library (STL) - Standard Template Library (STL)</t>
        </is>
      </c>
      <c r="E335" s="4" t="n">
        <v>70</v>
      </c>
      <c r="F335" s="4" t="inlineStr">
        <is>
          <t>Container Element Requirements</t>
        </is>
      </c>
      <c r="G335" s="4" t="inlineStr">
        <is>
          <t>CPPMCQ70</t>
        </is>
      </c>
      <c r="H335" s="4" t="inlineStr"/>
      <c r="I335" s="4" t="inlineStr">
        <is>
          <t>Easy</t>
        </is>
      </c>
      <c r="J335" s="5">
        <f>HYPERLINK("https://www.codechef.com/problems/CPPMCQ70", "https://www.codechef.com/problems/CPPMCQ70")</f>
        <v/>
      </c>
      <c r="K335" s="4" t="inlineStr"/>
      <c r="L335" s="4" t="inlineStr"/>
      <c r="M335" s="4" t="inlineStr"/>
      <c r="N335" s="4" t="inlineStr">
        <is>
          <t>No</t>
        </is>
      </c>
      <c r="O335" s="4" t="inlineStr">
        <is>
          <t>Unattempted</t>
        </is>
      </c>
    </row>
    <row r="336">
      <c r="A336" s="2" t="inlineStr">
        <is>
          <t>Interview Questions</t>
        </is>
      </c>
      <c r="B336" s="2" t="inlineStr">
        <is>
          <t>C++ Interview Questions and Answers</t>
        </is>
      </c>
      <c r="C336" s="2" t="inlineStr">
        <is>
          <t>Revise all the important concepts of C++ and prepare yourself for the interviews. Check explanation of the questions if you are not able to solve them and learn new concepts.</t>
        </is>
      </c>
      <c r="D336" s="2" t="inlineStr">
        <is>
          <t>Const Correctness - Const Correctness</t>
        </is>
      </c>
      <c r="E336" s="2" t="n">
        <v>71</v>
      </c>
      <c r="F336" s="2" t="inlineStr">
        <is>
          <t>Const Variable Modification</t>
        </is>
      </c>
      <c r="G336" s="2" t="inlineStr">
        <is>
          <t>CPPMCQ71</t>
        </is>
      </c>
      <c r="H336" s="2" t="inlineStr"/>
      <c r="I336" s="2" t="inlineStr">
        <is>
          <t>Easy</t>
        </is>
      </c>
      <c r="J336" s="3">
        <f>HYPERLINK("https://www.codechef.com/problems/CPPMCQ71", "https://www.codechef.com/problems/CPPMCQ71")</f>
        <v/>
      </c>
      <c r="K336" s="2" t="inlineStr"/>
      <c r="L336" s="2" t="inlineStr"/>
      <c r="M336" s="2" t="inlineStr"/>
      <c r="N336" s="2" t="inlineStr">
        <is>
          <t>No</t>
        </is>
      </c>
      <c r="O336" s="2" t="inlineStr">
        <is>
          <t>Unattempted</t>
        </is>
      </c>
    </row>
    <row r="337">
      <c r="A337" s="4" t="inlineStr">
        <is>
          <t>Interview Questions</t>
        </is>
      </c>
      <c r="B337" s="4" t="inlineStr">
        <is>
          <t>C++ Interview Questions and Answers</t>
        </is>
      </c>
      <c r="C337" s="4" t="inlineStr">
        <is>
          <t>Revise all the important concepts of C++ and prepare yourself for the interviews. Check explanation of the questions if you are not able to solve them and learn new concepts.</t>
        </is>
      </c>
      <c r="D337" s="4" t="inlineStr">
        <is>
          <t>Const Correctness - Const Correctness</t>
        </is>
      </c>
      <c r="E337" s="4" t="n">
        <v>72</v>
      </c>
      <c r="F337" s="4" t="inlineStr">
        <is>
          <t>Const Member Function</t>
        </is>
      </c>
      <c r="G337" s="4" t="inlineStr">
        <is>
          <t>CPPMCQ72</t>
        </is>
      </c>
      <c r="H337" s="4" t="inlineStr"/>
      <c r="I337" s="4" t="inlineStr">
        <is>
          <t>Easy</t>
        </is>
      </c>
      <c r="J337" s="5">
        <f>HYPERLINK("https://www.codechef.com/problems/CPPMCQ72", "https://www.codechef.com/problems/CPPMCQ72")</f>
        <v/>
      </c>
      <c r="K337" s="4" t="inlineStr"/>
      <c r="L337" s="4" t="inlineStr"/>
      <c r="M337" s="4" t="inlineStr"/>
      <c r="N337" s="4" t="inlineStr">
        <is>
          <t>No</t>
        </is>
      </c>
      <c r="O337" s="4" t="inlineStr">
        <is>
          <t>Unattempted</t>
        </is>
      </c>
    </row>
    <row r="338">
      <c r="A338" s="2" t="inlineStr">
        <is>
          <t>Interview Questions</t>
        </is>
      </c>
      <c r="B338" s="2" t="inlineStr">
        <is>
          <t>C++ Interview Questions and Answers</t>
        </is>
      </c>
      <c r="C338" s="2" t="inlineStr">
        <is>
          <t>Revise all the important concepts of C++ and prepare yourself for the interviews. Check explanation of the questions if you are not able to solve them and learn new concepts.</t>
        </is>
      </c>
      <c r="D338" s="2" t="inlineStr">
        <is>
          <t>Const Correctness - Const Correctness</t>
        </is>
      </c>
      <c r="E338" s="2" t="n">
        <v>73</v>
      </c>
      <c r="F338" s="2" t="inlineStr">
        <is>
          <t>Const Pointer Declaration</t>
        </is>
      </c>
      <c r="G338" s="2" t="inlineStr">
        <is>
          <t>CPPMCQ73</t>
        </is>
      </c>
      <c r="H338" s="2" t="inlineStr"/>
      <c r="I338" s="2" t="inlineStr">
        <is>
          <t>Easy</t>
        </is>
      </c>
      <c r="J338" s="3">
        <f>HYPERLINK("https://www.codechef.com/problems/CPPMCQ73", "https://www.codechef.com/problems/CPPMCQ73")</f>
        <v/>
      </c>
      <c r="K338" s="2" t="inlineStr"/>
      <c r="L338" s="2" t="inlineStr"/>
      <c r="M338" s="2" t="inlineStr"/>
      <c r="N338" s="2" t="inlineStr">
        <is>
          <t>No</t>
        </is>
      </c>
      <c r="O338" s="2" t="inlineStr">
        <is>
          <t>Unattempted</t>
        </is>
      </c>
    </row>
    <row r="339">
      <c r="A339" s="4" t="inlineStr">
        <is>
          <t>Interview Questions</t>
        </is>
      </c>
      <c r="B339" s="4" t="inlineStr">
        <is>
          <t>C++ Interview Questions and Answers</t>
        </is>
      </c>
      <c r="C339" s="4" t="inlineStr">
        <is>
          <t>Revise all the important concepts of C++ and prepare yourself for the interviews. Check explanation of the questions if you are not able to solve them and learn new concepts.</t>
        </is>
      </c>
      <c r="D339" s="4" t="inlineStr">
        <is>
          <t>Const Correctness - Const Correctness</t>
        </is>
      </c>
      <c r="E339" s="4" t="n">
        <v>74</v>
      </c>
      <c r="F339" s="4" t="inlineStr">
        <is>
          <t>Const Reference Parameter</t>
        </is>
      </c>
      <c r="G339" s="4" t="inlineStr">
        <is>
          <t>CPPMCQ74</t>
        </is>
      </c>
      <c r="H339" s="4" t="inlineStr"/>
      <c r="I339" s="4" t="inlineStr">
        <is>
          <t>Easy</t>
        </is>
      </c>
      <c r="J339" s="5">
        <f>HYPERLINK("https://www.codechef.com/problems/CPPMCQ74", "https://www.codechef.com/problems/CPPMCQ74")</f>
        <v/>
      </c>
      <c r="K339" s="4" t="inlineStr"/>
      <c r="L339" s="4" t="inlineStr"/>
      <c r="M339" s="4" t="inlineStr"/>
      <c r="N339" s="4" t="inlineStr">
        <is>
          <t>No</t>
        </is>
      </c>
      <c r="O339" s="4" t="inlineStr">
        <is>
          <t>Unattempted</t>
        </is>
      </c>
    </row>
    <row r="340">
      <c r="A340" s="2" t="inlineStr">
        <is>
          <t>Interview Questions</t>
        </is>
      </c>
      <c r="B340" s="2" t="inlineStr">
        <is>
          <t>C++ Interview Questions and Answers</t>
        </is>
      </c>
      <c r="C340" s="2" t="inlineStr">
        <is>
          <t>Revise all the important concepts of C++ and prepare yourself for the interviews. Check explanation of the questions if you are not able to solve them and learn new concepts.</t>
        </is>
      </c>
      <c r="D340" s="2" t="inlineStr">
        <is>
          <t>Const Correctness - Const Correctness</t>
        </is>
      </c>
      <c r="E340" s="2" t="n">
        <v>75</v>
      </c>
      <c r="F340" s="2" t="inlineStr">
        <is>
          <t>Mutable Keyword</t>
        </is>
      </c>
      <c r="G340" s="2" t="inlineStr">
        <is>
          <t>CPPMCQ75</t>
        </is>
      </c>
      <c r="H340" s="2" t="inlineStr"/>
      <c r="I340" s="2" t="inlineStr">
        <is>
          <t>Medium</t>
        </is>
      </c>
      <c r="J340" s="3">
        <f>HYPERLINK("https://www.codechef.com/problems/CPPMCQ75", "https://www.codechef.com/problems/CPPMCQ75")</f>
        <v/>
      </c>
      <c r="K340" s="2" t="inlineStr"/>
      <c r="L340" s="2" t="inlineStr"/>
      <c r="M340" s="2" t="inlineStr"/>
      <c r="N340" s="2" t="inlineStr">
        <is>
          <t>No</t>
        </is>
      </c>
      <c r="O340" s="2" t="inlineStr">
        <is>
          <t>Unattempted</t>
        </is>
      </c>
    </row>
    <row r="341">
      <c r="A341" s="4" t="inlineStr">
        <is>
          <t>Interview Questions</t>
        </is>
      </c>
      <c r="B341" s="4" t="inlineStr">
        <is>
          <t>C++ Interview Questions and Answers</t>
        </is>
      </c>
      <c r="C341" s="4" t="inlineStr">
        <is>
          <t>Revise all the important concepts of C++ and prepare yourself for the interviews. Check explanation of the questions if you are not able to solve them and learn new concepts.</t>
        </is>
      </c>
      <c r="D341" s="4" t="inlineStr">
        <is>
          <t>Const Correctness - Const Correctness</t>
        </is>
      </c>
      <c r="E341" s="4" t="n">
        <v>76</v>
      </c>
      <c r="F341" s="4" t="inlineStr">
        <is>
          <t>Const Iterator</t>
        </is>
      </c>
      <c r="G341" s="4" t="inlineStr">
        <is>
          <t>CPPMCQ76</t>
        </is>
      </c>
      <c r="H341" s="4" t="inlineStr"/>
      <c r="I341" s="4" t="inlineStr">
        <is>
          <t>Easy</t>
        </is>
      </c>
      <c r="J341" s="5">
        <f>HYPERLINK("https://www.codechef.com/problems/CPPMCQ76", "https://www.codechef.com/problems/CPPMCQ76")</f>
        <v/>
      </c>
      <c r="K341" s="4" t="inlineStr"/>
      <c r="L341" s="4" t="inlineStr"/>
      <c r="M341" s="4" t="inlineStr"/>
      <c r="N341" s="4" t="inlineStr">
        <is>
          <t>No</t>
        </is>
      </c>
      <c r="O341" s="4" t="inlineStr">
        <is>
          <t>Unattempted</t>
        </is>
      </c>
    </row>
    <row r="342">
      <c r="A342" s="2" t="inlineStr">
        <is>
          <t>Interview Questions</t>
        </is>
      </c>
      <c r="B342" s="2" t="inlineStr">
        <is>
          <t>C++ Interview Questions and Answers</t>
        </is>
      </c>
      <c r="C342" s="2" t="inlineStr">
        <is>
          <t>Revise all the important concepts of C++ and prepare yourself for the interviews. Check explanation of the questions if you are not able to solve them and learn new concepts.</t>
        </is>
      </c>
      <c r="D342" s="2" t="inlineStr">
        <is>
          <t>Const Correctness - Const Correctness</t>
        </is>
      </c>
      <c r="E342" s="2" t="n">
        <v>77</v>
      </c>
      <c r="F342" s="2" t="inlineStr">
        <is>
          <t>Const Cast</t>
        </is>
      </c>
      <c r="G342" s="2" t="inlineStr">
        <is>
          <t>CPPMCQ77</t>
        </is>
      </c>
      <c r="H342" s="2" t="inlineStr"/>
      <c r="I342" s="2" t="inlineStr">
        <is>
          <t>Easy</t>
        </is>
      </c>
      <c r="J342" s="3">
        <f>HYPERLINK("https://www.codechef.com/problems/CPPMCQ77", "https://www.codechef.com/problems/CPPMCQ77")</f>
        <v/>
      </c>
      <c r="K342" s="2" t="inlineStr"/>
      <c r="L342" s="2" t="inlineStr"/>
      <c r="M342" s="2" t="inlineStr"/>
      <c r="N342" s="2" t="inlineStr">
        <is>
          <t>No</t>
        </is>
      </c>
      <c r="O342" s="2" t="inlineStr">
        <is>
          <t>Unattempted</t>
        </is>
      </c>
    </row>
    <row r="343">
      <c r="A343" s="4" t="inlineStr">
        <is>
          <t>Interview Questions</t>
        </is>
      </c>
      <c r="B343" s="4" t="inlineStr">
        <is>
          <t>C++ Interview Questions and Answers</t>
        </is>
      </c>
      <c r="C343" s="4" t="inlineStr">
        <is>
          <t>Revise all the important concepts of C++ and prepare yourself for the interviews. Check explanation of the questions if you are not able to solve them and learn new concepts.</t>
        </is>
      </c>
      <c r="D343" s="4" t="inlineStr">
        <is>
          <t>Const Correctness - Const Correctness</t>
        </is>
      </c>
      <c r="E343" s="4" t="n">
        <v>78</v>
      </c>
      <c r="F343" s="4" t="inlineStr">
        <is>
          <t>Logical Constness</t>
        </is>
      </c>
      <c r="G343" s="4" t="inlineStr">
        <is>
          <t>CPPMCQ78</t>
        </is>
      </c>
      <c r="H343" s="4" t="inlineStr"/>
      <c r="I343" s="4" t="inlineStr">
        <is>
          <t>Medium</t>
        </is>
      </c>
      <c r="J343" s="5">
        <f>HYPERLINK("https://www.codechef.com/problems/CPPMCQ78", "https://www.codechef.com/problems/CPPMCQ78")</f>
        <v/>
      </c>
      <c r="K343" s="4" t="inlineStr"/>
      <c r="L343" s="4" t="inlineStr"/>
      <c r="M343" s="4" t="inlineStr"/>
      <c r="N343" s="4" t="inlineStr">
        <is>
          <t>No</t>
        </is>
      </c>
      <c r="O343" s="4" t="inlineStr">
        <is>
          <t>Unattempted</t>
        </is>
      </c>
    </row>
    <row r="344">
      <c r="A344" s="2" t="inlineStr">
        <is>
          <t>Interview Questions</t>
        </is>
      </c>
      <c r="B344" s="2" t="inlineStr">
        <is>
          <t>C++ Interview Questions and Answers</t>
        </is>
      </c>
      <c r="C344" s="2" t="inlineStr">
        <is>
          <t>Revise all the important concepts of C++ and prepare yourself for the interviews. Check explanation of the questions if you are not able to solve them and learn new concepts.</t>
        </is>
      </c>
      <c r="D344" s="2" t="inlineStr">
        <is>
          <t>Const Correctness - Const Correctness</t>
        </is>
      </c>
      <c r="E344" s="2" t="n">
        <v>79</v>
      </c>
      <c r="F344" s="2" t="inlineStr">
        <is>
          <t>Const Function Parameters</t>
        </is>
      </c>
      <c r="G344" s="2" t="inlineStr">
        <is>
          <t>CPPMCQ79</t>
        </is>
      </c>
      <c r="H344" s="2" t="inlineStr"/>
      <c r="I344" s="2" t="inlineStr">
        <is>
          <t>Easy</t>
        </is>
      </c>
      <c r="J344" s="3">
        <f>HYPERLINK("https://www.codechef.com/problems/CPPMCQ79", "https://www.codechef.com/problems/CPPMCQ79")</f>
        <v/>
      </c>
      <c r="K344" s="2" t="inlineStr"/>
      <c r="L344" s="2" t="inlineStr"/>
      <c r="M344" s="2" t="inlineStr"/>
      <c r="N344" s="2" t="inlineStr">
        <is>
          <t>No</t>
        </is>
      </c>
      <c r="O344" s="2" t="inlineStr">
        <is>
          <t>Unattempted</t>
        </is>
      </c>
    </row>
    <row r="345">
      <c r="A345" s="4" t="inlineStr">
        <is>
          <t>Interview Questions</t>
        </is>
      </c>
      <c r="B345" s="4" t="inlineStr">
        <is>
          <t>C++ Interview Questions and Answers</t>
        </is>
      </c>
      <c r="C345" s="4" t="inlineStr">
        <is>
          <t>Revise all the important concepts of C++ and prepare yourself for the interviews. Check explanation of the questions if you are not able to solve them and learn new concepts.</t>
        </is>
      </c>
      <c r="D345" s="4" t="inlineStr">
        <is>
          <t>Const Correctness - Const Correctness</t>
        </is>
      </c>
      <c r="E345" s="4" t="n">
        <v>80</v>
      </c>
      <c r="F345" s="4" t="inlineStr">
        <is>
          <t>Const Member Function Overloading</t>
        </is>
      </c>
      <c r="G345" s="4" t="inlineStr">
        <is>
          <t>CPPMCQ80</t>
        </is>
      </c>
      <c r="H345" s="4" t="inlineStr"/>
      <c r="I345" s="4" t="inlineStr">
        <is>
          <t>Easy</t>
        </is>
      </c>
      <c r="J345" s="5">
        <f>HYPERLINK("https://www.codechef.com/problems/CPPMCQ80", "https://www.codechef.com/problems/CPPMCQ80")</f>
        <v/>
      </c>
      <c r="K345" s="4" t="inlineStr"/>
      <c r="L345" s="4" t="inlineStr"/>
      <c r="M345" s="4" t="inlineStr"/>
      <c r="N345" s="4" t="inlineStr">
        <is>
          <t>No</t>
        </is>
      </c>
      <c r="O345" s="4" t="inlineStr">
        <is>
          <t>Unattempted</t>
        </is>
      </c>
    </row>
    <row r="346">
      <c r="A346" s="2" t="inlineStr">
        <is>
          <t>Interview Questions</t>
        </is>
      </c>
      <c r="B346" s="2" t="inlineStr">
        <is>
          <t>C++ Interview Questions and Answers</t>
        </is>
      </c>
      <c r="C346" s="2" t="inlineStr">
        <is>
          <t>Revise all the important concepts of C++ and prepare yourself for the interviews. Check explanation of the questions if you are not able to solve them and learn new concepts.</t>
        </is>
      </c>
      <c r="D346" s="2" t="inlineStr">
        <is>
          <t>Virtual Functions and Abstract Classes - Virtual Functions and Abstract Classes</t>
        </is>
      </c>
      <c r="E346" s="2" t="n">
        <v>81</v>
      </c>
      <c r="F346" s="2" t="inlineStr">
        <is>
          <t>Virtual Function Behavior</t>
        </is>
      </c>
      <c r="G346" s="2" t="inlineStr">
        <is>
          <t>CPPMCQ81</t>
        </is>
      </c>
      <c r="H346" s="2" t="inlineStr"/>
      <c r="I346" s="2" t="inlineStr">
        <is>
          <t>Easy</t>
        </is>
      </c>
      <c r="J346" s="3">
        <f>HYPERLINK("https://www.codechef.com/problems/CPPMCQ81", "https://www.codechef.com/problems/CPPMCQ81")</f>
        <v/>
      </c>
      <c r="K346" s="2" t="inlineStr"/>
      <c r="L346" s="2" t="inlineStr"/>
      <c r="M346" s="2" t="inlineStr"/>
      <c r="N346" s="2" t="inlineStr">
        <is>
          <t>No</t>
        </is>
      </c>
      <c r="O346" s="2" t="inlineStr">
        <is>
          <t>Unattempted</t>
        </is>
      </c>
    </row>
    <row r="347">
      <c r="A347" s="4" t="inlineStr">
        <is>
          <t>Interview Questions</t>
        </is>
      </c>
      <c r="B347" s="4" t="inlineStr">
        <is>
          <t>C++ Interview Questions and Answers</t>
        </is>
      </c>
      <c r="C347" s="4" t="inlineStr">
        <is>
          <t>Revise all the important concepts of C++ and prepare yourself for the interviews. Check explanation of the questions if you are not able to solve them and learn new concepts.</t>
        </is>
      </c>
      <c r="D347" s="4" t="inlineStr">
        <is>
          <t>Virtual Functions and Abstract Classes - Virtual Functions and Abstract Classes</t>
        </is>
      </c>
      <c r="E347" s="4" t="n">
        <v>82</v>
      </c>
      <c r="F347" s="4" t="inlineStr">
        <is>
          <t>Pure Virtual Function Syntax</t>
        </is>
      </c>
      <c r="G347" s="4" t="inlineStr">
        <is>
          <t>CPPMCQ82</t>
        </is>
      </c>
      <c r="H347" s="4" t="inlineStr"/>
      <c r="I347" s="4" t="inlineStr">
        <is>
          <t>Easy</t>
        </is>
      </c>
      <c r="J347" s="5">
        <f>HYPERLINK("https://www.codechef.com/problems/CPPMCQ82", "https://www.codechef.com/problems/CPPMCQ82")</f>
        <v/>
      </c>
      <c r="K347" s="4" t="inlineStr"/>
      <c r="L347" s="4" t="inlineStr"/>
      <c r="M347" s="4" t="inlineStr"/>
      <c r="N347" s="4" t="inlineStr">
        <is>
          <t>No</t>
        </is>
      </c>
      <c r="O347" s="4" t="inlineStr">
        <is>
          <t>Unattempted</t>
        </is>
      </c>
    </row>
    <row r="348">
      <c r="A348" s="2" t="inlineStr">
        <is>
          <t>Interview Questions</t>
        </is>
      </c>
      <c r="B348" s="2" t="inlineStr">
        <is>
          <t>C++ Interview Questions and Answers</t>
        </is>
      </c>
      <c r="C348" s="2" t="inlineStr">
        <is>
          <t>Revise all the important concepts of C++ and prepare yourself for the interviews. Check explanation of the questions if you are not able to solve them and learn new concepts.</t>
        </is>
      </c>
      <c r="D348" s="2" t="inlineStr">
        <is>
          <t>Virtual Functions and Abstract Classes - Virtual Functions and Abstract Classes</t>
        </is>
      </c>
      <c r="E348" s="2" t="n">
        <v>83</v>
      </c>
      <c r="F348" s="2" t="inlineStr">
        <is>
          <t>Abstract Class Definition</t>
        </is>
      </c>
      <c r="G348" s="2" t="inlineStr">
        <is>
          <t>CPPMCQ83</t>
        </is>
      </c>
      <c r="H348" s="2" t="inlineStr"/>
      <c r="I348" s="2" t="inlineStr">
        <is>
          <t>Easy</t>
        </is>
      </c>
      <c r="J348" s="3">
        <f>HYPERLINK("https://www.codechef.com/problems/CPPMCQ83", "https://www.codechef.com/problems/CPPMCQ83")</f>
        <v/>
      </c>
      <c r="K348" s="2" t="inlineStr"/>
      <c r="L348" s="2" t="inlineStr"/>
      <c r="M348" s="2" t="inlineStr"/>
      <c r="N348" s="2" t="inlineStr">
        <is>
          <t>No</t>
        </is>
      </c>
      <c r="O348" s="2" t="inlineStr">
        <is>
          <t>Unattempted</t>
        </is>
      </c>
    </row>
    <row r="349">
      <c r="A349" s="4" t="inlineStr">
        <is>
          <t>Interview Questions</t>
        </is>
      </c>
      <c r="B349" s="4" t="inlineStr">
        <is>
          <t>C++ Interview Questions and Answers</t>
        </is>
      </c>
      <c r="C349" s="4" t="inlineStr">
        <is>
          <t>Revise all the important concepts of C++ and prepare yourself for the interviews. Check explanation of the questions if you are not able to solve them and learn new concepts.</t>
        </is>
      </c>
      <c r="D349" s="4" t="inlineStr">
        <is>
          <t>Virtual Functions and Abstract Classes - Virtual Functions and Abstract Classes</t>
        </is>
      </c>
      <c r="E349" s="4" t="n">
        <v>84</v>
      </c>
      <c r="F349" s="4" t="inlineStr">
        <is>
          <t>Virtual Destructor Usage</t>
        </is>
      </c>
      <c r="G349" s="4" t="inlineStr">
        <is>
          <t>CPPMCQ84</t>
        </is>
      </c>
      <c r="H349" s="4" t="inlineStr"/>
      <c r="I349" s="4" t="inlineStr">
        <is>
          <t>Medium</t>
        </is>
      </c>
      <c r="J349" s="5">
        <f>HYPERLINK("https://www.codechef.com/problems/CPPMCQ84", "https://www.codechef.com/problems/CPPMCQ84")</f>
        <v/>
      </c>
      <c r="K349" s="4" t="inlineStr"/>
      <c r="L349" s="4" t="inlineStr"/>
      <c r="M349" s="4" t="inlineStr"/>
      <c r="N349" s="4" t="inlineStr">
        <is>
          <t>No</t>
        </is>
      </c>
      <c r="O349" s="4" t="inlineStr">
        <is>
          <t>Unattempted</t>
        </is>
      </c>
    </row>
    <row r="350">
      <c r="A350" s="2" t="inlineStr">
        <is>
          <t>Interview Questions</t>
        </is>
      </c>
      <c r="B350" s="2" t="inlineStr">
        <is>
          <t>C++ Interview Questions and Answers</t>
        </is>
      </c>
      <c r="C350" s="2" t="inlineStr">
        <is>
          <t>Revise all the important concepts of C++ and prepare yourself for the interviews. Check explanation of the questions if you are not able to solve them and learn new concepts.</t>
        </is>
      </c>
      <c r="D350" s="2" t="inlineStr">
        <is>
          <t>Virtual Functions and Abstract Classes - Virtual Functions and Abstract Classes</t>
        </is>
      </c>
      <c r="E350" s="2" t="n">
        <v>85</v>
      </c>
      <c r="F350" s="2" t="inlineStr">
        <is>
          <t>Interface Implementation</t>
        </is>
      </c>
      <c r="G350" s="2" t="inlineStr">
        <is>
          <t>CPPMCQ85</t>
        </is>
      </c>
      <c r="H350" s="2" t="inlineStr"/>
      <c r="I350" s="2" t="inlineStr">
        <is>
          <t>Easy</t>
        </is>
      </c>
      <c r="J350" s="3">
        <f>HYPERLINK("https://www.codechef.com/problems/CPPMCQ85", "https://www.codechef.com/problems/CPPMCQ85")</f>
        <v/>
      </c>
      <c r="K350" s="2" t="inlineStr"/>
      <c r="L350" s="2" t="inlineStr"/>
      <c r="M350" s="2" t="inlineStr"/>
      <c r="N350" s="2" t="inlineStr">
        <is>
          <t>No</t>
        </is>
      </c>
      <c r="O350" s="2" t="inlineStr">
        <is>
          <t>Unattempted</t>
        </is>
      </c>
    </row>
    <row r="351">
      <c r="A351" s="4" t="inlineStr">
        <is>
          <t>Interview Questions</t>
        </is>
      </c>
      <c r="B351" s="4" t="inlineStr">
        <is>
          <t>C++ Interview Questions and Answers</t>
        </is>
      </c>
      <c r="C351" s="4" t="inlineStr">
        <is>
          <t>Revise all the important concepts of C++ and prepare yourself for the interviews. Check explanation of the questions if you are not able to solve them and learn new concepts.</t>
        </is>
      </c>
      <c r="D351" s="4" t="inlineStr">
        <is>
          <t>Virtual Functions and Abstract Classes - Virtual Functions and Abstract Classes</t>
        </is>
      </c>
      <c r="E351" s="4" t="n">
        <v>86</v>
      </c>
      <c r="F351" s="4" t="inlineStr">
        <is>
          <t>Virtual Function Table</t>
        </is>
      </c>
      <c r="G351" s="4" t="inlineStr">
        <is>
          <t>CPPMCQ86</t>
        </is>
      </c>
      <c r="H351" s="4" t="inlineStr"/>
      <c r="I351" s="4" t="inlineStr">
        <is>
          <t>Hard</t>
        </is>
      </c>
      <c r="J351" s="5">
        <f>HYPERLINK("https://www.codechef.com/problems/CPPMCQ86", "https://www.codechef.com/problems/CPPMCQ86")</f>
        <v/>
      </c>
      <c r="K351" s="4" t="inlineStr"/>
      <c r="L351" s="4" t="inlineStr"/>
      <c r="M351" s="4" t="inlineStr"/>
      <c r="N351" s="4" t="inlineStr">
        <is>
          <t>No</t>
        </is>
      </c>
      <c r="O351" s="4" t="inlineStr">
        <is>
          <t>Unattempted</t>
        </is>
      </c>
    </row>
    <row r="352">
      <c r="A352" s="2" t="inlineStr">
        <is>
          <t>Interview Questions</t>
        </is>
      </c>
      <c r="B352" s="2" t="inlineStr">
        <is>
          <t>C++ Interview Questions and Answers</t>
        </is>
      </c>
      <c r="C352" s="2" t="inlineStr">
        <is>
          <t>Revise all the important concepts of C++ and prepare yourself for the interviews. Check explanation of the questions if you are not able to solve them and learn new concepts.</t>
        </is>
      </c>
      <c r="D352" s="2" t="inlineStr">
        <is>
          <t>Virtual Functions and Abstract Classes - Virtual Functions and Abstract Classes</t>
        </is>
      </c>
      <c r="E352" s="2" t="n">
        <v>87</v>
      </c>
      <c r="F352" s="2" t="inlineStr">
        <is>
          <t>Abstract Class Instantiation</t>
        </is>
      </c>
      <c r="G352" s="2" t="inlineStr">
        <is>
          <t>CPPMCQ87</t>
        </is>
      </c>
      <c r="H352" s="2" t="inlineStr"/>
      <c r="I352" s="2" t="inlineStr">
        <is>
          <t>Easy</t>
        </is>
      </c>
      <c r="J352" s="3">
        <f>HYPERLINK("https://www.codechef.com/problems/CPPMCQ87", "https://www.codechef.com/problems/CPPMCQ87")</f>
        <v/>
      </c>
      <c r="K352" s="2" t="inlineStr"/>
      <c r="L352" s="2" t="inlineStr"/>
      <c r="M352" s="2" t="inlineStr"/>
      <c r="N352" s="2" t="inlineStr">
        <is>
          <t>No</t>
        </is>
      </c>
      <c r="O352" s="2" t="inlineStr">
        <is>
          <t>Unattempted</t>
        </is>
      </c>
    </row>
    <row r="353">
      <c r="A353" s="4" t="inlineStr">
        <is>
          <t>Interview Questions</t>
        </is>
      </c>
      <c r="B353" s="4" t="inlineStr">
        <is>
          <t>C++ Interview Questions and Answers</t>
        </is>
      </c>
      <c r="C353" s="4" t="inlineStr">
        <is>
          <t>Revise all the important concepts of C++ and prepare yourself for the interviews. Check explanation of the questions if you are not able to solve them and learn new concepts.</t>
        </is>
      </c>
      <c r="D353" s="4" t="inlineStr">
        <is>
          <t>Virtual Functions and Abstract Classes - Virtual Functions and Abstract Classes</t>
        </is>
      </c>
      <c r="E353" s="4" t="n">
        <v>88</v>
      </c>
      <c r="F353" s="4" t="inlineStr">
        <is>
          <t>Override Keyword Usage</t>
        </is>
      </c>
      <c r="G353" s="4" t="inlineStr">
        <is>
          <t>CPPMCQ88</t>
        </is>
      </c>
      <c r="H353" s="4" t="inlineStr"/>
      <c r="I353" s="4" t="inlineStr">
        <is>
          <t>Easy</t>
        </is>
      </c>
      <c r="J353" s="5">
        <f>HYPERLINK("https://www.codechef.com/problems/CPPMCQ88", "https://www.codechef.com/problems/CPPMCQ88")</f>
        <v/>
      </c>
      <c r="K353" s="4" t="inlineStr"/>
      <c r="L353" s="4" t="inlineStr"/>
      <c r="M353" s="4" t="inlineStr"/>
      <c r="N353" s="4" t="inlineStr">
        <is>
          <t>No</t>
        </is>
      </c>
      <c r="O353" s="4" t="inlineStr">
        <is>
          <t>Unattempted</t>
        </is>
      </c>
    </row>
    <row r="354">
      <c r="A354" s="2" t="inlineStr">
        <is>
          <t>Interview Questions</t>
        </is>
      </c>
      <c r="B354" s="2" t="inlineStr">
        <is>
          <t>C++ Interview Questions and Answers</t>
        </is>
      </c>
      <c r="C354" s="2" t="inlineStr">
        <is>
          <t>Revise all the important concepts of C++ and prepare yourself for the interviews. Check explanation of the questions if you are not able to solve them and learn new concepts.</t>
        </is>
      </c>
      <c r="D354" s="2" t="inlineStr">
        <is>
          <t>Virtual Functions and Abstract Classes - Virtual Functions and Abstract Classes</t>
        </is>
      </c>
      <c r="E354" s="2" t="n">
        <v>89</v>
      </c>
      <c r="F354" s="2" t="inlineStr">
        <is>
          <t>Virtual Inheritance</t>
        </is>
      </c>
      <c r="G354" s="2" t="inlineStr">
        <is>
          <t>CPPMCQ89</t>
        </is>
      </c>
      <c r="H354" s="2" t="inlineStr"/>
      <c r="I354" s="2" t="inlineStr">
        <is>
          <t>Hard</t>
        </is>
      </c>
      <c r="J354" s="3">
        <f>HYPERLINK("https://www.codechef.com/problems/CPPMCQ89", "https://www.codechef.com/problems/CPPMCQ89")</f>
        <v/>
      </c>
      <c r="K354" s="2" t="inlineStr"/>
      <c r="L354" s="2" t="inlineStr"/>
      <c r="M354" s="2" t="inlineStr"/>
      <c r="N354" s="2" t="inlineStr">
        <is>
          <t>No</t>
        </is>
      </c>
      <c r="O354" s="2" t="inlineStr">
        <is>
          <t>Unattempted</t>
        </is>
      </c>
    </row>
    <row r="355">
      <c r="A355" s="4" t="inlineStr">
        <is>
          <t>Interview Questions</t>
        </is>
      </c>
      <c r="B355" s="4" t="inlineStr">
        <is>
          <t>C++ Interview Questions and Answers</t>
        </is>
      </c>
      <c r="C355" s="4" t="inlineStr">
        <is>
          <t>Revise all the important concepts of C++ and prepare yourself for the interviews. Check explanation of the questions if you are not able to solve them and learn new concepts.</t>
        </is>
      </c>
      <c r="D355" s="4" t="inlineStr">
        <is>
          <t>Virtual Functions and Abstract Classes - Virtual Functions and Abstract Classes</t>
        </is>
      </c>
      <c r="E355" s="4" t="n">
        <v>90</v>
      </c>
      <c r="F355" s="4" t="inlineStr">
        <is>
          <t>Pure Virtual Destructor</t>
        </is>
      </c>
      <c r="G355" s="4" t="inlineStr">
        <is>
          <t>CPPMCQ90</t>
        </is>
      </c>
      <c r="H355" s="4" t="inlineStr"/>
      <c r="I355" s="4" t="inlineStr">
        <is>
          <t>Medium</t>
        </is>
      </c>
      <c r="J355" s="5">
        <f>HYPERLINK("https://www.codechef.com/problems/CPPMCQ90", "https://www.codechef.com/problems/CPPMCQ90")</f>
        <v/>
      </c>
      <c r="K355" s="4" t="inlineStr"/>
      <c r="L355" s="4" t="inlineStr"/>
      <c r="M355" s="4" t="inlineStr"/>
      <c r="N355" s="4" t="inlineStr">
        <is>
          <t>No</t>
        </is>
      </c>
      <c r="O355" s="4" t="inlineStr">
        <is>
          <t>Unattempted</t>
        </is>
      </c>
    </row>
    <row r="356">
      <c r="A356" s="2" t="inlineStr">
        <is>
          <t>Interview Questions</t>
        </is>
      </c>
      <c r="B356" s="2" t="inlineStr">
        <is>
          <t>C++ Interview Questions and Answers</t>
        </is>
      </c>
      <c r="C356" s="2" t="inlineStr">
        <is>
          <t>Revise all the important concepts of C++ and prepare yourself for the interviews. Check explanation of the questions if you are not able to solve them and learn new concepts.</t>
        </is>
      </c>
      <c r="D356" s="2" t="inlineStr">
        <is>
          <t>Templates - Templates</t>
        </is>
      </c>
      <c r="E356" s="2" t="n">
        <v>91</v>
      </c>
      <c r="F356" s="2" t="inlineStr">
        <is>
          <t>Template Syntax</t>
        </is>
      </c>
      <c r="G356" s="2" t="inlineStr">
        <is>
          <t>CPPMCQ91</t>
        </is>
      </c>
      <c r="H356" s="2" t="inlineStr"/>
      <c r="I356" s="2" t="inlineStr">
        <is>
          <t>Easy</t>
        </is>
      </c>
      <c r="J356" s="3">
        <f>HYPERLINK("https://www.codechef.com/problems/CPPMCQ91", "https://www.codechef.com/problems/CPPMCQ91")</f>
        <v/>
      </c>
      <c r="K356" s="2" t="inlineStr"/>
      <c r="L356" s="2" t="inlineStr"/>
      <c r="M356" s="2" t="inlineStr"/>
      <c r="N356" s="2" t="inlineStr">
        <is>
          <t>No</t>
        </is>
      </c>
      <c r="O356" s="2" t="inlineStr">
        <is>
          <t>Unattempted</t>
        </is>
      </c>
    </row>
    <row r="357">
      <c r="A357" s="4" t="inlineStr">
        <is>
          <t>Interview Questions</t>
        </is>
      </c>
      <c r="B357" s="4" t="inlineStr">
        <is>
          <t>C++ Interview Questions and Answers</t>
        </is>
      </c>
      <c r="C357" s="4" t="inlineStr">
        <is>
          <t>Revise all the important concepts of C++ and prepare yourself for the interviews. Check explanation of the questions if you are not able to solve them and learn new concepts.</t>
        </is>
      </c>
      <c r="D357" s="4" t="inlineStr">
        <is>
          <t>Templates - Templates</t>
        </is>
      </c>
      <c r="E357" s="4" t="n">
        <v>92</v>
      </c>
      <c r="F357" s="4" t="inlineStr">
        <is>
          <t>Function Template Usage</t>
        </is>
      </c>
      <c r="G357" s="4" t="inlineStr">
        <is>
          <t>CPPMCQ92</t>
        </is>
      </c>
      <c r="H357" s="4" t="inlineStr"/>
      <c r="I357" s="4" t="inlineStr">
        <is>
          <t>Easy</t>
        </is>
      </c>
      <c r="J357" s="5">
        <f>HYPERLINK("https://www.codechef.com/problems/CPPMCQ92", "https://www.codechef.com/problems/CPPMCQ92")</f>
        <v/>
      </c>
      <c r="K357" s="4" t="inlineStr"/>
      <c r="L357" s="4" t="inlineStr"/>
      <c r="M357" s="4" t="inlineStr"/>
      <c r="N357" s="4" t="inlineStr">
        <is>
          <t>No</t>
        </is>
      </c>
      <c r="O357" s="4" t="inlineStr">
        <is>
          <t>Unattempted</t>
        </is>
      </c>
    </row>
    <row r="358">
      <c r="A358" s="2" t="inlineStr">
        <is>
          <t>Interview Questions</t>
        </is>
      </c>
      <c r="B358" s="2" t="inlineStr">
        <is>
          <t>C++ Interview Questions and Answers</t>
        </is>
      </c>
      <c r="C358" s="2" t="inlineStr">
        <is>
          <t>Revise all the important concepts of C++ and prepare yourself for the interviews. Check explanation of the questions if you are not able to solve them and learn new concepts.</t>
        </is>
      </c>
      <c r="D358" s="2" t="inlineStr">
        <is>
          <t>Templates - Templates</t>
        </is>
      </c>
      <c r="E358" s="2" t="n">
        <v>93</v>
      </c>
      <c r="F358" s="2" t="inlineStr">
        <is>
          <t>Class Template Declaration</t>
        </is>
      </c>
      <c r="G358" s="2" t="inlineStr">
        <is>
          <t>CPPMCQ93</t>
        </is>
      </c>
      <c r="H358" s="2" t="inlineStr"/>
      <c r="I358" s="2" t="inlineStr">
        <is>
          <t>Easy</t>
        </is>
      </c>
      <c r="J358" s="3">
        <f>HYPERLINK("https://www.codechef.com/problems/CPPMCQ93", "https://www.codechef.com/problems/CPPMCQ93")</f>
        <v/>
      </c>
      <c r="K358" s="2" t="inlineStr"/>
      <c r="L358" s="2" t="inlineStr"/>
      <c r="M358" s="2" t="inlineStr"/>
      <c r="N358" s="2" t="inlineStr">
        <is>
          <t>No</t>
        </is>
      </c>
      <c r="O358" s="2" t="inlineStr">
        <is>
          <t>Unattempted</t>
        </is>
      </c>
    </row>
    <row r="359">
      <c r="A359" s="4" t="inlineStr">
        <is>
          <t>Interview Questions</t>
        </is>
      </c>
      <c r="B359" s="4" t="inlineStr">
        <is>
          <t>C++ Interview Questions and Answers</t>
        </is>
      </c>
      <c r="C359" s="4" t="inlineStr">
        <is>
          <t>Revise all the important concepts of C++ and prepare yourself for the interviews. Check explanation of the questions if you are not able to solve them and learn new concepts.</t>
        </is>
      </c>
      <c r="D359" s="4" t="inlineStr">
        <is>
          <t>Templates - Templates</t>
        </is>
      </c>
      <c r="E359" s="4" t="n">
        <v>94</v>
      </c>
      <c r="F359" s="4" t="inlineStr">
        <is>
          <t>Template Specialization</t>
        </is>
      </c>
      <c r="G359" s="4" t="inlineStr">
        <is>
          <t>CPPMCQ94</t>
        </is>
      </c>
      <c r="H359" s="4" t="inlineStr"/>
      <c r="I359" s="4" t="inlineStr">
        <is>
          <t>Hard</t>
        </is>
      </c>
      <c r="J359" s="5">
        <f>HYPERLINK("https://www.codechef.com/problems/CPPMCQ94", "https://www.codechef.com/problems/CPPMCQ94")</f>
        <v/>
      </c>
      <c r="K359" s="4" t="inlineStr"/>
      <c r="L359" s="4" t="inlineStr"/>
      <c r="M359" s="4" t="inlineStr"/>
      <c r="N359" s="4" t="inlineStr">
        <is>
          <t>No</t>
        </is>
      </c>
      <c r="O359" s="4" t="inlineStr">
        <is>
          <t>Unattempted</t>
        </is>
      </c>
    </row>
    <row r="360">
      <c r="A360" s="2" t="inlineStr">
        <is>
          <t>Interview Questions</t>
        </is>
      </c>
      <c r="B360" s="2" t="inlineStr">
        <is>
          <t>C++ Interview Questions and Answers</t>
        </is>
      </c>
      <c r="C360" s="2" t="inlineStr">
        <is>
          <t>Revise all the important concepts of C++ and prepare yourself for the interviews. Check explanation of the questions if you are not able to solve them and learn new concepts.</t>
        </is>
      </c>
      <c r="D360" s="2" t="inlineStr">
        <is>
          <t>Templates - Templates</t>
        </is>
      </c>
      <c r="E360" s="2" t="n">
        <v>95</v>
      </c>
      <c r="F360" s="2" t="inlineStr">
        <is>
          <t>Non-Type Template Parameters</t>
        </is>
      </c>
      <c r="G360" s="2" t="inlineStr">
        <is>
          <t>CPPMCQ95</t>
        </is>
      </c>
      <c r="H360" s="2" t="inlineStr"/>
      <c r="I360" s="2" t="inlineStr">
        <is>
          <t>Hard</t>
        </is>
      </c>
      <c r="J360" s="3">
        <f>HYPERLINK("https://www.codechef.com/problems/CPPMCQ95", "https://www.codechef.com/problems/CPPMCQ95")</f>
        <v/>
      </c>
      <c r="K360" s="2" t="inlineStr"/>
      <c r="L360" s="2" t="inlineStr"/>
      <c r="M360" s="2" t="inlineStr"/>
      <c r="N360" s="2" t="inlineStr">
        <is>
          <t>No</t>
        </is>
      </c>
      <c r="O360" s="2" t="inlineStr">
        <is>
          <t>Unattempted</t>
        </is>
      </c>
    </row>
    <row r="361">
      <c r="A361" s="4" t="inlineStr">
        <is>
          <t>Interview Questions</t>
        </is>
      </c>
      <c r="B361" s="4" t="inlineStr">
        <is>
          <t>C++ Interview Questions and Answers</t>
        </is>
      </c>
      <c r="C361" s="4" t="inlineStr">
        <is>
          <t>Revise all the important concepts of C++ and prepare yourself for the interviews. Check explanation of the questions if you are not able to solve them and learn new concepts.</t>
        </is>
      </c>
      <c r="D361" s="4" t="inlineStr">
        <is>
          <t>Templates - Templates</t>
        </is>
      </c>
      <c r="E361" s="4" t="n">
        <v>96</v>
      </c>
      <c r="F361" s="4" t="inlineStr">
        <is>
          <t>Template Parameter Deduction</t>
        </is>
      </c>
      <c r="G361" s="4" t="inlineStr">
        <is>
          <t>CPPMCQ96</t>
        </is>
      </c>
      <c r="H361" s="4" t="inlineStr"/>
      <c r="I361" s="4" t="inlineStr">
        <is>
          <t>Medium</t>
        </is>
      </c>
      <c r="J361" s="5">
        <f>HYPERLINK("https://www.codechef.com/problems/CPPMCQ96", "https://www.codechef.com/problems/CPPMCQ96")</f>
        <v/>
      </c>
      <c r="K361" s="4" t="inlineStr"/>
      <c r="L361" s="4" t="inlineStr"/>
      <c r="M361" s="4" t="inlineStr"/>
      <c r="N361" s="4" t="inlineStr">
        <is>
          <t>No</t>
        </is>
      </c>
      <c r="O361" s="4" t="inlineStr">
        <is>
          <t>Unattempted</t>
        </is>
      </c>
    </row>
    <row r="362">
      <c r="A362" s="2" t="inlineStr">
        <is>
          <t>Interview Questions</t>
        </is>
      </c>
      <c r="B362" s="2" t="inlineStr">
        <is>
          <t>C++ Interview Questions and Answers</t>
        </is>
      </c>
      <c r="C362" s="2" t="inlineStr">
        <is>
          <t>Revise all the important concepts of C++ and prepare yourself for the interviews. Check explanation of the questions if you are not able to solve them and learn new concepts.</t>
        </is>
      </c>
      <c r="D362" s="2" t="inlineStr">
        <is>
          <t>Templates - Templates</t>
        </is>
      </c>
      <c r="E362" s="2" t="n">
        <v>97</v>
      </c>
      <c r="F362" s="2" t="inlineStr">
        <is>
          <t>Variadic Templates</t>
        </is>
      </c>
      <c r="G362" s="2" t="inlineStr">
        <is>
          <t>CPPMCQ97</t>
        </is>
      </c>
      <c r="H362" s="2" t="inlineStr"/>
      <c r="I362" s="2" t="inlineStr">
        <is>
          <t>Hard</t>
        </is>
      </c>
      <c r="J362" s="3">
        <f>HYPERLINK("https://www.codechef.com/problems/CPPMCQ97", "https://www.codechef.com/problems/CPPMCQ97")</f>
        <v/>
      </c>
      <c r="K362" s="2" t="inlineStr"/>
      <c r="L362" s="2" t="inlineStr"/>
      <c r="M362" s="2" t="inlineStr"/>
      <c r="N362" s="2" t="inlineStr">
        <is>
          <t>No</t>
        </is>
      </c>
      <c r="O362" s="2" t="inlineStr">
        <is>
          <t>Unattempted</t>
        </is>
      </c>
    </row>
    <row r="363">
      <c r="A363" s="4" t="inlineStr">
        <is>
          <t>Interview Questions</t>
        </is>
      </c>
      <c r="B363" s="4" t="inlineStr">
        <is>
          <t>C++ Interview Questions and Answers</t>
        </is>
      </c>
      <c r="C363" s="4" t="inlineStr">
        <is>
          <t>Revise all the important concepts of C++ and prepare yourself for the interviews. Check explanation of the questions if you are not able to solve them and learn new concepts.</t>
        </is>
      </c>
      <c r="D363" s="4" t="inlineStr">
        <is>
          <t>Templates - Templates</t>
        </is>
      </c>
      <c r="E363" s="4" t="n">
        <v>98</v>
      </c>
      <c r="F363" s="4" t="inlineStr">
        <is>
          <t>Template Metaprogramming</t>
        </is>
      </c>
      <c r="G363" s="4" t="inlineStr">
        <is>
          <t>CPPMCQ98</t>
        </is>
      </c>
      <c r="H363" s="4" t="inlineStr"/>
      <c r="I363" s="4" t="inlineStr">
        <is>
          <t>Hard</t>
        </is>
      </c>
      <c r="J363" s="5">
        <f>HYPERLINK("https://www.codechef.com/problems/CPPMCQ98", "https://www.codechef.com/problems/CPPMCQ98")</f>
        <v/>
      </c>
      <c r="K363" s="4" t="inlineStr"/>
      <c r="L363" s="4" t="inlineStr"/>
      <c r="M363" s="4" t="inlineStr"/>
      <c r="N363" s="4" t="inlineStr">
        <is>
          <t>No</t>
        </is>
      </c>
      <c r="O363" s="4" t="inlineStr">
        <is>
          <t>Unattempted</t>
        </is>
      </c>
    </row>
    <row r="364">
      <c r="A364" s="2" t="inlineStr">
        <is>
          <t>Interview Questions</t>
        </is>
      </c>
      <c r="B364" s="2" t="inlineStr">
        <is>
          <t>C++ Interview Questions and Answers</t>
        </is>
      </c>
      <c r="C364" s="2" t="inlineStr">
        <is>
          <t>Revise all the important concepts of C++ and prepare yourself for the interviews. Check explanation of the questions if you are not able to solve them and learn new concepts.</t>
        </is>
      </c>
      <c r="D364" s="2" t="inlineStr">
        <is>
          <t>Templates - Templates</t>
        </is>
      </c>
      <c r="E364" s="2" t="n">
        <v>99</v>
      </c>
      <c r="F364" s="2" t="inlineStr">
        <is>
          <t>Template Instantiation</t>
        </is>
      </c>
      <c r="G364" s="2" t="inlineStr">
        <is>
          <t>CPPMCQ99</t>
        </is>
      </c>
      <c r="H364" s="2" t="inlineStr"/>
      <c r="I364" s="2" t="inlineStr">
        <is>
          <t>Medium</t>
        </is>
      </c>
      <c r="J364" s="3">
        <f>HYPERLINK("https://www.codechef.com/problems/CPPMCQ99", "https://www.codechef.com/problems/CPPMCQ99")</f>
        <v/>
      </c>
      <c r="K364" s="2" t="inlineStr"/>
      <c r="L364" s="2" t="inlineStr"/>
      <c r="M364" s="2" t="inlineStr"/>
      <c r="N364" s="2" t="inlineStr">
        <is>
          <t>No</t>
        </is>
      </c>
      <c r="O364" s="2" t="inlineStr">
        <is>
          <t>Unattempted</t>
        </is>
      </c>
    </row>
    <row r="365">
      <c r="A365" s="4" t="inlineStr">
        <is>
          <t>Interview Questions</t>
        </is>
      </c>
      <c r="B365" s="4" t="inlineStr">
        <is>
          <t>C++ Interview Questions and Answers</t>
        </is>
      </c>
      <c r="C365" s="4" t="inlineStr">
        <is>
          <t>Revise all the important concepts of C++ and prepare yourself for the interviews. Check explanation of the questions if you are not able to solve them and learn new concepts.</t>
        </is>
      </c>
      <c r="D365" s="4" t="inlineStr">
        <is>
          <t>Templates - Templates</t>
        </is>
      </c>
      <c r="E365" s="4" t="n">
        <v>100</v>
      </c>
      <c r="F365" s="4" t="inlineStr">
        <is>
          <t>Template Type Constraints</t>
        </is>
      </c>
      <c r="G365" s="4" t="inlineStr">
        <is>
          <t>CPPMCQ100</t>
        </is>
      </c>
      <c r="H365" s="4" t="inlineStr"/>
      <c r="I365" s="4" t="inlineStr">
        <is>
          <t>Medium</t>
        </is>
      </c>
      <c r="J365" s="5">
        <f>HYPERLINK("https://www.codechef.com/problems/CPPMCQ100", "https://www.codechef.com/problems/CPPMCQ100")</f>
        <v/>
      </c>
      <c r="K365" s="4" t="inlineStr"/>
      <c r="L365" s="4" t="inlineStr"/>
      <c r="M365" s="4" t="inlineStr"/>
      <c r="N365" s="4" t="inlineStr">
        <is>
          <t>No</t>
        </is>
      </c>
      <c r="O365" s="4" t="inlineStr">
        <is>
          <t>Unattempted</t>
        </is>
      </c>
    </row>
    <row r="366">
      <c r="A366" s="2" t="inlineStr">
        <is>
          <t>Interview Questions</t>
        </is>
      </c>
      <c r="B366" s="2" t="inlineStr">
        <is>
          <t>C++ Interview Questions and Answers</t>
        </is>
      </c>
      <c r="C366" s="2" t="inlineStr">
        <is>
          <t>Revise all the important concepts of C++ and prepare yourself for the interviews. Check explanation of the questions if you are not able to solve them and learn new concepts.</t>
        </is>
      </c>
      <c r="D366" s="2" t="inlineStr">
        <is>
          <t>Operator Overloading - Operator Overloading</t>
        </is>
      </c>
      <c r="E366" s="2" t="n">
        <v>101</v>
      </c>
      <c r="F366" s="2" t="inlineStr">
        <is>
          <t>Operator Overloading Basics</t>
        </is>
      </c>
      <c r="G366" s="2" t="inlineStr">
        <is>
          <t>CPPMCQ101</t>
        </is>
      </c>
      <c r="H366" s="2" t="inlineStr"/>
      <c r="I366" s="2" t="inlineStr">
        <is>
          <t>Easy</t>
        </is>
      </c>
      <c r="J366" s="3">
        <f>HYPERLINK("https://www.codechef.com/problems/CPPMCQ101", "https://www.codechef.com/problems/CPPMCQ101")</f>
        <v/>
      </c>
      <c r="K366" s="2" t="inlineStr"/>
      <c r="L366" s="2" t="inlineStr"/>
      <c r="M366" s="2" t="inlineStr"/>
      <c r="N366" s="2" t="inlineStr">
        <is>
          <t>No</t>
        </is>
      </c>
      <c r="O366" s="2" t="inlineStr">
        <is>
          <t>Unattempted</t>
        </is>
      </c>
    </row>
    <row r="367">
      <c r="A367" s="4" t="inlineStr">
        <is>
          <t>Interview Questions</t>
        </is>
      </c>
      <c r="B367" s="4" t="inlineStr">
        <is>
          <t>C++ Interview Questions and Answers</t>
        </is>
      </c>
      <c r="C367" s="4" t="inlineStr">
        <is>
          <t>Revise all the important concepts of C++ and prepare yourself for the interviews. Check explanation of the questions if you are not able to solve them and learn new concepts.</t>
        </is>
      </c>
      <c r="D367" s="4" t="inlineStr">
        <is>
          <t>Operator Overloading - Operator Overloading</t>
        </is>
      </c>
      <c r="E367" s="4" t="n">
        <v>102</v>
      </c>
      <c r="F367" s="4" t="inlineStr">
        <is>
          <t>Syntax for Operator Overloading</t>
        </is>
      </c>
      <c r="G367" s="4" t="inlineStr">
        <is>
          <t>CPPMCQ102</t>
        </is>
      </c>
      <c r="H367" s="4" t="inlineStr"/>
      <c r="I367" s="4" t="inlineStr">
        <is>
          <t>Medium</t>
        </is>
      </c>
      <c r="J367" s="5">
        <f>HYPERLINK("https://www.codechef.com/problems/CPPMCQ102", "https://www.codechef.com/problems/CPPMCQ102")</f>
        <v/>
      </c>
      <c r="K367" s="4" t="inlineStr"/>
      <c r="L367" s="4" t="inlineStr"/>
      <c r="M367" s="4" t="inlineStr"/>
      <c r="N367" s="4" t="inlineStr">
        <is>
          <t>No</t>
        </is>
      </c>
      <c r="O367" s="4" t="inlineStr">
        <is>
          <t>Unattempted</t>
        </is>
      </c>
    </row>
    <row r="368">
      <c r="A368" s="2" t="inlineStr">
        <is>
          <t>Interview Questions</t>
        </is>
      </c>
      <c r="B368" s="2" t="inlineStr">
        <is>
          <t>C++ Interview Questions and Answers</t>
        </is>
      </c>
      <c r="C368" s="2" t="inlineStr">
        <is>
          <t>Revise all the important concepts of C++ and prepare yourself for the interviews. Check explanation of the questions if you are not able to solve them and learn new concepts.</t>
        </is>
      </c>
      <c r="D368" s="2" t="inlineStr">
        <is>
          <t>Operator Overloading - Operator Overloading</t>
        </is>
      </c>
      <c r="E368" s="2" t="n">
        <v>103</v>
      </c>
      <c r="F368" s="2" t="inlineStr">
        <is>
          <t>Friend Function for Operator Overloading</t>
        </is>
      </c>
      <c r="G368" s="2" t="inlineStr">
        <is>
          <t>CPPMCQ103</t>
        </is>
      </c>
      <c r="H368" s="2" t="inlineStr"/>
      <c r="I368" s="2" t="inlineStr">
        <is>
          <t>Medium</t>
        </is>
      </c>
      <c r="J368" s="3">
        <f>HYPERLINK("https://www.codechef.com/problems/CPPMCQ103", "https://www.codechef.com/problems/CPPMCQ103")</f>
        <v/>
      </c>
      <c r="K368" s="2" t="inlineStr"/>
      <c r="L368" s="2" t="inlineStr"/>
      <c r="M368" s="2" t="inlineStr"/>
      <c r="N368" s="2" t="inlineStr">
        <is>
          <t>No</t>
        </is>
      </c>
      <c r="O368" s="2" t="inlineStr">
        <is>
          <t>Unattempted</t>
        </is>
      </c>
    </row>
    <row r="369">
      <c r="A369" s="4" t="inlineStr">
        <is>
          <t>Interview Questions</t>
        </is>
      </c>
      <c r="B369" s="4" t="inlineStr">
        <is>
          <t>C++ Interview Questions and Answers</t>
        </is>
      </c>
      <c r="C369" s="4" t="inlineStr">
        <is>
          <t>Revise all the important concepts of C++ and prepare yourself for the interviews. Check explanation of the questions if you are not able to solve them and learn new concepts.</t>
        </is>
      </c>
      <c r="D369" s="4" t="inlineStr">
        <is>
          <t>Operator Overloading - Operator Overloading</t>
        </is>
      </c>
      <c r="E369" s="4" t="n">
        <v>104</v>
      </c>
      <c r="F369" s="4" t="inlineStr">
        <is>
          <t>Overloading Stream Operators</t>
        </is>
      </c>
      <c r="G369" s="4" t="inlineStr">
        <is>
          <t>CPPMCQ104</t>
        </is>
      </c>
      <c r="H369" s="4" t="inlineStr"/>
      <c r="I369" s="4" t="inlineStr">
        <is>
          <t>Medium</t>
        </is>
      </c>
      <c r="J369" s="5">
        <f>HYPERLINK("https://www.codechef.com/problems/CPPMCQ104", "https://www.codechef.com/problems/CPPMCQ104")</f>
        <v/>
      </c>
      <c r="K369" s="4" t="inlineStr"/>
      <c r="L369" s="4" t="inlineStr"/>
      <c r="M369" s="4" t="inlineStr"/>
      <c r="N369" s="4" t="inlineStr">
        <is>
          <t>No</t>
        </is>
      </c>
      <c r="O369" s="4" t="inlineStr">
        <is>
          <t>Unattempted</t>
        </is>
      </c>
    </row>
    <row r="370">
      <c r="A370" s="2" t="inlineStr">
        <is>
          <t>Interview Questions</t>
        </is>
      </c>
      <c r="B370" s="2" t="inlineStr">
        <is>
          <t>C++ Interview Questions and Answers</t>
        </is>
      </c>
      <c r="C370" s="2" t="inlineStr">
        <is>
          <t>Revise all the important concepts of C++ and prepare yourself for the interviews. Check explanation of the questions if you are not able to solve them and learn new concepts.</t>
        </is>
      </c>
      <c r="D370" s="2" t="inlineStr">
        <is>
          <t>Operator Overloading - Operator Overloading</t>
        </is>
      </c>
      <c r="E370" s="2" t="n">
        <v>105</v>
      </c>
      <c r="F370" s="2" t="inlineStr">
        <is>
          <t>Overloading Assignment Operator</t>
        </is>
      </c>
      <c r="G370" s="2" t="inlineStr">
        <is>
          <t>CPPMCQ105</t>
        </is>
      </c>
      <c r="H370" s="2" t="inlineStr"/>
      <c r="I370" s="2" t="inlineStr">
        <is>
          <t>Medium</t>
        </is>
      </c>
      <c r="J370" s="3">
        <f>HYPERLINK("https://www.codechef.com/problems/CPPMCQ105", "https://www.codechef.com/problems/CPPMCQ105")</f>
        <v/>
      </c>
      <c r="K370" s="2" t="inlineStr"/>
      <c r="L370" s="2" t="inlineStr"/>
      <c r="M370" s="2" t="inlineStr"/>
      <c r="N370" s="2" t="inlineStr">
        <is>
          <t>No</t>
        </is>
      </c>
      <c r="O370" s="2" t="inlineStr">
        <is>
          <t>Unattempted</t>
        </is>
      </c>
    </row>
    <row r="371">
      <c r="A371" s="4" t="inlineStr">
        <is>
          <t>Interview Questions</t>
        </is>
      </c>
      <c r="B371" s="4" t="inlineStr">
        <is>
          <t>C++ Interview Questions and Answers</t>
        </is>
      </c>
      <c r="C371" s="4" t="inlineStr">
        <is>
          <t>Revise all the important concepts of C++ and prepare yourself for the interviews. Check explanation of the questions if you are not able to solve them and learn new concepts.</t>
        </is>
      </c>
      <c r="D371" s="4" t="inlineStr">
        <is>
          <t>Operator Overloading - Operator Overloading</t>
        </is>
      </c>
      <c r="E371" s="4" t="n">
        <v>106</v>
      </c>
      <c r="F371" s="4" t="inlineStr">
        <is>
          <t>Overloading Increment/Decrement Operators</t>
        </is>
      </c>
      <c r="G371" s="4" t="inlineStr">
        <is>
          <t>CPPMCQ106</t>
        </is>
      </c>
      <c r="H371" s="4" t="inlineStr"/>
      <c r="I371" s="4" t="inlineStr">
        <is>
          <t>Medium</t>
        </is>
      </c>
      <c r="J371" s="5">
        <f>HYPERLINK("https://www.codechef.com/problems/CPPMCQ106", "https://www.codechef.com/problems/CPPMCQ106")</f>
        <v/>
      </c>
      <c r="K371" s="4" t="inlineStr"/>
      <c r="L371" s="4" t="inlineStr"/>
      <c r="M371" s="4" t="inlineStr"/>
      <c r="N371" s="4" t="inlineStr">
        <is>
          <t>No</t>
        </is>
      </c>
      <c r="O371" s="4" t="inlineStr">
        <is>
          <t>Unattempted</t>
        </is>
      </c>
    </row>
    <row r="372">
      <c r="A372" s="2" t="inlineStr">
        <is>
          <t>Interview Questions</t>
        </is>
      </c>
      <c r="B372" s="2" t="inlineStr">
        <is>
          <t>C++ Interview Questions and Answers</t>
        </is>
      </c>
      <c r="C372" s="2" t="inlineStr">
        <is>
          <t>Revise all the important concepts of C++ and prepare yourself for the interviews. Check explanation of the questions if you are not able to solve them and learn new concepts.</t>
        </is>
      </c>
      <c r="D372" s="2" t="inlineStr">
        <is>
          <t>Operator Overloading - Operator Overloading</t>
        </is>
      </c>
      <c r="E372" s="2" t="n">
        <v>107</v>
      </c>
      <c r="F372" s="2" t="inlineStr">
        <is>
          <t>Overloading Comparison Operators</t>
        </is>
      </c>
      <c r="G372" s="2" t="inlineStr">
        <is>
          <t>CPPMCQ107</t>
        </is>
      </c>
      <c r="H372" s="2" t="inlineStr"/>
      <c r="I372" s="2" t="inlineStr">
        <is>
          <t>Medium</t>
        </is>
      </c>
      <c r="J372" s="3">
        <f>HYPERLINK("https://www.codechef.com/problems/CPPMCQ107", "https://www.codechef.com/problems/CPPMCQ107")</f>
        <v/>
      </c>
      <c r="K372" s="2" t="inlineStr"/>
      <c r="L372" s="2" t="inlineStr"/>
      <c r="M372" s="2" t="inlineStr"/>
      <c r="N372" s="2" t="inlineStr">
        <is>
          <t>No</t>
        </is>
      </c>
      <c r="O372" s="2" t="inlineStr">
        <is>
          <t>Unattempted</t>
        </is>
      </c>
    </row>
    <row r="373">
      <c r="A373" s="4" t="inlineStr">
        <is>
          <t>Interview Questions</t>
        </is>
      </c>
      <c r="B373" s="4" t="inlineStr">
        <is>
          <t>C++ Interview Questions and Answers</t>
        </is>
      </c>
      <c r="C373" s="4" t="inlineStr">
        <is>
          <t>Revise all the important concepts of C++ and prepare yourself for the interviews. Check explanation of the questions if you are not able to solve them and learn new concepts.</t>
        </is>
      </c>
      <c r="D373" s="4" t="inlineStr">
        <is>
          <t>Operator Overloading - Operator Overloading</t>
        </is>
      </c>
      <c r="E373" s="4" t="n">
        <v>108</v>
      </c>
      <c r="F373" s="4" t="inlineStr">
        <is>
          <t>Overloading Subscript Operator</t>
        </is>
      </c>
      <c r="G373" s="4" t="inlineStr">
        <is>
          <t>CPPMCQ108</t>
        </is>
      </c>
      <c r="H373" s="4" t="inlineStr"/>
      <c r="I373" s="4" t="inlineStr">
        <is>
          <t>Medium</t>
        </is>
      </c>
      <c r="J373" s="5">
        <f>HYPERLINK("https://www.codechef.com/problems/CPPMCQ108", "https://www.codechef.com/problems/CPPMCQ108")</f>
        <v/>
      </c>
      <c r="K373" s="4" t="inlineStr"/>
      <c r="L373" s="4" t="inlineStr"/>
      <c r="M373" s="4" t="inlineStr"/>
      <c r="N373" s="4" t="inlineStr">
        <is>
          <t>No</t>
        </is>
      </c>
      <c r="O373" s="4" t="inlineStr">
        <is>
          <t>Unattempted</t>
        </is>
      </c>
    </row>
    <row r="374">
      <c r="A374" s="2" t="inlineStr">
        <is>
          <t>Interview Questions</t>
        </is>
      </c>
      <c r="B374" s="2" t="inlineStr">
        <is>
          <t>C++ Interview Questions and Answers</t>
        </is>
      </c>
      <c r="C374" s="2" t="inlineStr">
        <is>
          <t>Revise all the important concepts of C++ and prepare yourself for the interviews. Check explanation of the questions if you are not able to solve them and learn new concepts.</t>
        </is>
      </c>
      <c r="D374" s="2" t="inlineStr">
        <is>
          <t>Operator Overloading - Operator Overloading</t>
        </is>
      </c>
      <c r="E374" s="2" t="n">
        <v>109</v>
      </c>
      <c r="F374" s="2" t="inlineStr">
        <is>
          <t>Overloading Function Call Operator</t>
        </is>
      </c>
      <c r="G374" s="2" t="inlineStr">
        <is>
          <t>CPPMCQ109</t>
        </is>
      </c>
      <c r="H374" s="2" t="inlineStr"/>
      <c r="I374" s="2" t="inlineStr">
        <is>
          <t>Medium</t>
        </is>
      </c>
      <c r="J374" s="3">
        <f>HYPERLINK("https://www.codechef.com/problems/CPPMCQ109", "https://www.codechef.com/problems/CPPMCQ109")</f>
        <v/>
      </c>
      <c r="K374" s="2" t="inlineStr"/>
      <c r="L374" s="2" t="inlineStr"/>
      <c r="M374" s="2" t="inlineStr"/>
      <c r="N374" s="2" t="inlineStr">
        <is>
          <t>No</t>
        </is>
      </c>
      <c r="O374" s="2" t="inlineStr">
        <is>
          <t>Unattempted</t>
        </is>
      </c>
    </row>
    <row r="375">
      <c r="A375" s="4" t="inlineStr">
        <is>
          <t>Interview Questions</t>
        </is>
      </c>
      <c r="B375" s="4" t="inlineStr">
        <is>
          <t>C++ Interview Questions and Answers</t>
        </is>
      </c>
      <c r="C375" s="4" t="inlineStr">
        <is>
          <t>Revise all the important concepts of C++ and prepare yourself for the interviews. Check explanation of the questions if you are not able to solve them and learn new concepts.</t>
        </is>
      </c>
      <c r="D375" s="4" t="inlineStr">
        <is>
          <t>Operator Overloading - Operator Overloading</t>
        </is>
      </c>
      <c r="E375" s="4" t="n">
        <v>110</v>
      </c>
      <c r="F375" s="4" t="inlineStr">
        <is>
          <t>Limitations of Operator Overloading</t>
        </is>
      </c>
      <c r="G375" s="4" t="inlineStr">
        <is>
          <t>CPPMCQ110</t>
        </is>
      </c>
      <c r="H375" s="4" t="inlineStr"/>
      <c r="I375" s="4" t="inlineStr">
        <is>
          <t>Easy</t>
        </is>
      </c>
      <c r="J375" s="5">
        <f>HYPERLINK("https://www.codechef.com/problems/CPPMCQ110", "https://www.codechef.com/problems/CPPMCQ110")</f>
        <v/>
      </c>
      <c r="K375" s="4" t="inlineStr"/>
      <c r="L375" s="4" t="inlineStr"/>
      <c r="M375" s="4" t="inlineStr"/>
      <c r="N375" s="4" t="inlineStr">
        <is>
          <t>No</t>
        </is>
      </c>
      <c r="O375" s="4" t="inlineStr">
        <is>
          <t>Unattempted</t>
        </is>
      </c>
    </row>
    <row r="376">
      <c r="A376" s="2" t="inlineStr">
        <is>
          <t>Interview Questions</t>
        </is>
      </c>
      <c r="B376" s="2" t="inlineStr">
        <is>
          <t>C++ Interview Questions and Answers</t>
        </is>
      </c>
      <c r="C376" s="2" t="inlineStr">
        <is>
          <t>Revise all the important concepts of C++ and prepare yourself for the interviews. Check explanation of the questions if you are not able to solve them and learn new concepts.</t>
        </is>
      </c>
      <c r="D376" s="2" t="inlineStr">
        <is>
          <t>Namespaces - Namespaces</t>
        </is>
      </c>
      <c r="E376" s="2" t="n">
        <v>111</v>
      </c>
      <c r="F376" s="2" t="inlineStr">
        <is>
          <t>Namespace Declaration</t>
        </is>
      </c>
      <c r="G376" s="2" t="inlineStr">
        <is>
          <t>CPPMCQ111</t>
        </is>
      </c>
      <c r="H376" s="2" t="inlineStr"/>
      <c r="I376" s="2" t="inlineStr">
        <is>
          <t>Easy</t>
        </is>
      </c>
      <c r="J376" s="3">
        <f>HYPERLINK("https://www.codechef.com/problems/CPPMCQ111", "https://www.codechef.com/problems/CPPMCQ111")</f>
        <v/>
      </c>
      <c r="K376" s="2" t="inlineStr"/>
      <c r="L376" s="2" t="inlineStr"/>
      <c r="M376" s="2" t="inlineStr"/>
      <c r="N376" s="2" t="inlineStr">
        <is>
          <t>No</t>
        </is>
      </c>
      <c r="O376" s="2" t="inlineStr">
        <is>
          <t>Unattempted</t>
        </is>
      </c>
    </row>
    <row r="377">
      <c r="A377" s="4" t="inlineStr">
        <is>
          <t>Interview Questions</t>
        </is>
      </c>
      <c r="B377" s="4" t="inlineStr">
        <is>
          <t>C++ Interview Questions and Answers</t>
        </is>
      </c>
      <c r="C377" s="4" t="inlineStr">
        <is>
          <t>Revise all the important concepts of C++ and prepare yourself for the interviews. Check explanation of the questions if you are not able to solve them and learn new concepts.</t>
        </is>
      </c>
      <c r="D377" s="4" t="inlineStr">
        <is>
          <t>Namespaces - Namespaces</t>
        </is>
      </c>
      <c r="E377" s="4" t="n">
        <v>112</v>
      </c>
      <c r="F377" s="4" t="inlineStr">
        <is>
          <t>Accessing Namespace Members</t>
        </is>
      </c>
      <c r="G377" s="4" t="inlineStr">
        <is>
          <t>CPPMCQ112</t>
        </is>
      </c>
      <c r="H377" s="4" t="inlineStr"/>
      <c r="I377" s="4" t="inlineStr">
        <is>
          <t>Easy</t>
        </is>
      </c>
      <c r="J377" s="5">
        <f>HYPERLINK("https://www.codechef.com/problems/CPPMCQ112", "https://www.codechef.com/problems/CPPMCQ112")</f>
        <v/>
      </c>
      <c r="K377" s="4" t="inlineStr"/>
      <c r="L377" s="4" t="inlineStr"/>
      <c r="M377" s="4" t="inlineStr"/>
      <c r="N377" s="4" t="inlineStr">
        <is>
          <t>No</t>
        </is>
      </c>
      <c r="O377" s="4" t="inlineStr">
        <is>
          <t>Unattempted</t>
        </is>
      </c>
    </row>
    <row r="378">
      <c r="A378" s="2" t="inlineStr">
        <is>
          <t>Interview Questions</t>
        </is>
      </c>
      <c r="B378" s="2" t="inlineStr">
        <is>
          <t>C++ Interview Questions and Answers</t>
        </is>
      </c>
      <c r="C378" s="2" t="inlineStr">
        <is>
          <t>Revise all the important concepts of C++ and prepare yourself for the interviews. Check explanation of the questions if you are not able to solve them and learn new concepts.</t>
        </is>
      </c>
      <c r="D378" s="2" t="inlineStr">
        <is>
          <t>Namespaces - Namespaces</t>
        </is>
      </c>
      <c r="E378" s="2" t="n">
        <v>113</v>
      </c>
      <c r="F378" s="2" t="inlineStr">
        <is>
          <t>Using Directive</t>
        </is>
      </c>
      <c r="G378" s="2" t="inlineStr">
        <is>
          <t>CPPMCQ113</t>
        </is>
      </c>
      <c r="H378" s="2" t="inlineStr"/>
      <c r="I378" s="2" t="inlineStr">
        <is>
          <t>Easy</t>
        </is>
      </c>
      <c r="J378" s="3">
        <f>HYPERLINK("https://www.codechef.com/problems/CPPMCQ113", "https://www.codechef.com/problems/CPPMCQ113")</f>
        <v/>
      </c>
      <c r="K378" s="2" t="inlineStr"/>
      <c r="L378" s="2" t="inlineStr"/>
      <c r="M378" s="2" t="inlineStr"/>
      <c r="N378" s="2" t="inlineStr">
        <is>
          <t>No</t>
        </is>
      </c>
      <c r="O378" s="2" t="inlineStr">
        <is>
          <t>Unattempted</t>
        </is>
      </c>
    </row>
    <row r="379">
      <c r="A379" s="4" t="inlineStr">
        <is>
          <t>Interview Questions</t>
        </is>
      </c>
      <c r="B379" s="4" t="inlineStr">
        <is>
          <t>C++ Interview Questions and Answers</t>
        </is>
      </c>
      <c r="C379" s="4" t="inlineStr">
        <is>
          <t>Revise all the important concepts of C++ and prepare yourself for the interviews. Check explanation of the questions if you are not able to solve them and learn new concepts.</t>
        </is>
      </c>
      <c r="D379" s="4" t="inlineStr">
        <is>
          <t>Namespaces - Namespaces</t>
        </is>
      </c>
      <c r="E379" s="4" t="n">
        <v>114</v>
      </c>
      <c r="F379" s="4" t="inlineStr">
        <is>
          <t>Nested Namespaces</t>
        </is>
      </c>
      <c r="G379" s="4" t="inlineStr">
        <is>
          <t>CPPMCQ114</t>
        </is>
      </c>
      <c r="H379" s="4" t="inlineStr"/>
      <c r="I379" s="4" t="inlineStr">
        <is>
          <t>Easy</t>
        </is>
      </c>
      <c r="J379" s="5">
        <f>HYPERLINK("https://www.codechef.com/problems/CPPMCQ114", "https://www.codechef.com/problems/CPPMCQ114")</f>
        <v/>
      </c>
      <c r="K379" s="4" t="inlineStr"/>
      <c r="L379" s="4" t="inlineStr"/>
      <c r="M379" s="4" t="inlineStr"/>
      <c r="N379" s="4" t="inlineStr">
        <is>
          <t>No</t>
        </is>
      </c>
      <c r="O379" s="4" t="inlineStr">
        <is>
          <t>Unattempted</t>
        </is>
      </c>
    </row>
    <row r="380">
      <c r="A380" s="2" t="inlineStr">
        <is>
          <t>Interview Questions</t>
        </is>
      </c>
      <c r="B380" s="2" t="inlineStr">
        <is>
          <t>C++ Interview Questions and Answers</t>
        </is>
      </c>
      <c r="C380" s="2" t="inlineStr">
        <is>
          <t>Revise all the important concepts of C++ and prepare yourself for the interviews. Check explanation of the questions if you are not able to solve them and learn new concepts.</t>
        </is>
      </c>
      <c r="D380" s="2" t="inlineStr">
        <is>
          <t>Namespaces - Namespaces</t>
        </is>
      </c>
      <c r="E380" s="2" t="n">
        <v>115</v>
      </c>
      <c r="F380" s="2" t="inlineStr">
        <is>
          <t>Anonymous Namespaces</t>
        </is>
      </c>
      <c r="G380" s="2" t="inlineStr">
        <is>
          <t>CPPMCQ115</t>
        </is>
      </c>
      <c r="H380" s="2" t="inlineStr"/>
      <c r="I380" s="2" t="inlineStr">
        <is>
          <t>Easy</t>
        </is>
      </c>
      <c r="J380" s="3">
        <f>HYPERLINK("https://www.codechef.com/problems/CPPMCQ115", "https://www.codechef.com/problems/CPPMCQ115")</f>
        <v/>
      </c>
      <c r="K380" s="2" t="inlineStr"/>
      <c r="L380" s="2" t="inlineStr"/>
      <c r="M380" s="2" t="inlineStr"/>
      <c r="N380" s="2" t="inlineStr">
        <is>
          <t>No</t>
        </is>
      </c>
      <c r="O380" s="2" t="inlineStr">
        <is>
          <t>Unattempted</t>
        </is>
      </c>
    </row>
    <row r="381">
      <c r="A381" s="4" t="inlineStr">
        <is>
          <t>Interview Questions</t>
        </is>
      </c>
      <c r="B381" s="4" t="inlineStr">
        <is>
          <t>C++ Interview Questions and Answers</t>
        </is>
      </c>
      <c r="C381" s="4" t="inlineStr">
        <is>
          <t>Revise all the important concepts of C++ and prepare yourself for the interviews. Check explanation of the questions if you are not able to solve them and learn new concepts.</t>
        </is>
      </c>
      <c r="D381" s="4" t="inlineStr">
        <is>
          <t>Namespaces - Namespaces</t>
        </is>
      </c>
      <c r="E381" s="4" t="n">
        <v>116</v>
      </c>
      <c r="F381" s="4" t="inlineStr">
        <is>
          <t>Namespace Alias</t>
        </is>
      </c>
      <c r="G381" s="4" t="inlineStr">
        <is>
          <t>CPPMCQ116</t>
        </is>
      </c>
      <c r="H381" s="4" t="inlineStr"/>
      <c r="I381" s="4" t="inlineStr">
        <is>
          <t>Easy</t>
        </is>
      </c>
      <c r="J381" s="5">
        <f>HYPERLINK("https://www.codechef.com/problems/CPPMCQ116", "https://www.codechef.com/problems/CPPMCQ116")</f>
        <v/>
      </c>
      <c r="K381" s="4" t="inlineStr"/>
      <c r="L381" s="4" t="inlineStr"/>
      <c r="M381" s="4" t="inlineStr"/>
      <c r="N381" s="4" t="inlineStr">
        <is>
          <t>No</t>
        </is>
      </c>
      <c r="O381" s="4" t="inlineStr">
        <is>
          <t>Unattempted</t>
        </is>
      </c>
    </row>
    <row r="382">
      <c r="A382" s="2" t="inlineStr">
        <is>
          <t>Interview Questions</t>
        </is>
      </c>
      <c r="B382" s="2" t="inlineStr">
        <is>
          <t>C++ Interview Questions and Answers</t>
        </is>
      </c>
      <c r="C382" s="2" t="inlineStr">
        <is>
          <t>Revise all the important concepts of C++ and prepare yourself for the interviews. Check explanation of the questions if you are not able to solve them and learn new concepts.</t>
        </is>
      </c>
      <c r="D382" s="2" t="inlineStr">
        <is>
          <t>Namespaces - Namespaces</t>
        </is>
      </c>
      <c r="E382" s="2" t="n">
        <v>117</v>
      </c>
      <c r="F382" s="2" t="inlineStr">
        <is>
          <t>Using Declaration</t>
        </is>
      </c>
      <c r="G382" s="2" t="inlineStr">
        <is>
          <t>CPPMCQ117</t>
        </is>
      </c>
      <c r="H382" s="2" t="inlineStr"/>
      <c r="I382" s="2" t="inlineStr">
        <is>
          <t>Easy</t>
        </is>
      </c>
      <c r="J382" s="3">
        <f>HYPERLINK("https://www.codechef.com/problems/CPPMCQ117", "https://www.codechef.com/problems/CPPMCQ117")</f>
        <v/>
      </c>
      <c r="K382" s="2" t="inlineStr"/>
      <c r="L382" s="2" t="inlineStr"/>
      <c r="M382" s="2" t="inlineStr"/>
      <c r="N382" s="2" t="inlineStr">
        <is>
          <t>No</t>
        </is>
      </c>
      <c r="O382" s="2" t="inlineStr">
        <is>
          <t>Unattempted</t>
        </is>
      </c>
    </row>
    <row r="383">
      <c r="A383" s="4" t="inlineStr">
        <is>
          <t>Interview Questions</t>
        </is>
      </c>
      <c r="B383" s="4" t="inlineStr">
        <is>
          <t>C++ Interview Questions and Answers</t>
        </is>
      </c>
      <c r="C383" s="4" t="inlineStr">
        <is>
          <t>Revise all the important concepts of C++ and prepare yourself for the interviews. Check explanation of the questions if you are not able to solve them and learn new concepts.</t>
        </is>
      </c>
      <c r="D383" s="4" t="inlineStr">
        <is>
          <t>Namespaces - Namespaces</t>
        </is>
      </c>
      <c r="E383" s="4" t="n">
        <v>118</v>
      </c>
      <c r="F383" s="4" t="inlineStr">
        <is>
          <t>Namespace and ODR</t>
        </is>
      </c>
      <c r="G383" s="4" t="inlineStr">
        <is>
          <t>CPPMCQ118</t>
        </is>
      </c>
      <c r="H383" s="4" t="inlineStr"/>
      <c r="I383" s="4" t="inlineStr">
        <is>
          <t>Hard</t>
        </is>
      </c>
      <c r="J383" s="5">
        <f>HYPERLINK("https://www.codechef.com/problems/CPPMCQ118", "https://www.codechef.com/problems/CPPMCQ118")</f>
        <v/>
      </c>
      <c r="K383" s="4" t="inlineStr"/>
      <c r="L383" s="4" t="inlineStr"/>
      <c r="M383" s="4" t="inlineStr"/>
      <c r="N383" s="4" t="inlineStr">
        <is>
          <t>No</t>
        </is>
      </c>
      <c r="O383" s="4" t="inlineStr">
        <is>
          <t>Unattempted</t>
        </is>
      </c>
    </row>
    <row r="384">
      <c r="A384" s="2" t="inlineStr">
        <is>
          <t>Interview Questions</t>
        </is>
      </c>
      <c r="B384" s="2" t="inlineStr">
        <is>
          <t>C++ Interview Questions and Answers</t>
        </is>
      </c>
      <c r="C384" s="2" t="inlineStr">
        <is>
          <t>Revise all the important concepts of C++ and prepare yourself for the interviews. Check explanation of the questions if you are not able to solve them and learn new concepts.</t>
        </is>
      </c>
      <c r="D384" s="2" t="inlineStr">
        <is>
          <t>Namespaces - Namespaces</t>
        </is>
      </c>
      <c r="E384" s="2" t="n">
        <v>119</v>
      </c>
      <c r="F384" s="2" t="inlineStr">
        <is>
          <t>Inline Namespaces</t>
        </is>
      </c>
      <c r="G384" s="2" t="inlineStr">
        <is>
          <t>CPPMCQ119</t>
        </is>
      </c>
      <c r="H384" s="2" t="inlineStr"/>
      <c r="I384" s="2" t="inlineStr">
        <is>
          <t>Medium</t>
        </is>
      </c>
      <c r="J384" s="3">
        <f>HYPERLINK("https://www.codechef.com/problems/CPPMCQ119", "https://www.codechef.com/problems/CPPMCQ119")</f>
        <v/>
      </c>
      <c r="K384" s="2" t="inlineStr"/>
      <c r="L384" s="2" t="inlineStr"/>
      <c r="M384" s="2" t="inlineStr"/>
      <c r="N384" s="2" t="inlineStr">
        <is>
          <t>No</t>
        </is>
      </c>
      <c r="O384" s="2" t="inlineStr">
        <is>
          <t>Unattempted</t>
        </is>
      </c>
    </row>
    <row r="385">
      <c r="A385" s="4" t="inlineStr">
        <is>
          <t>Interview Questions</t>
        </is>
      </c>
      <c r="B385" s="4" t="inlineStr">
        <is>
          <t>C++ Interview Questions and Answers</t>
        </is>
      </c>
      <c r="C385" s="4" t="inlineStr">
        <is>
          <t>Revise all the important concepts of C++ and prepare yourself for the interviews. Check explanation of the questions if you are not able to solve them and learn new concepts.</t>
        </is>
      </c>
      <c r="D385" s="4" t="inlineStr">
        <is>
          <t>Namespaces - Namespaces</t>
        </is>
      </c>
      <c r="E385" s="4" t="n">
        <v>120</v>
      </c>
      <c r="F385" s="4" t="inlineStr">
        <is>
          <t>Namespace Pitfall</t>
        </is>
      </c>
      <c r="G385" s="4" t="inlineStr">
        <is>
          <t>CPPMCQ120</t>
        </is>
      </c>
      <c r="H385" s="4" t="inlineStr"/>
      <c r="I385" s="4" t="inlineStr">
        <is>
          <t>Medium</t>
        </is>
      </c>
      <c r="J385" s="5">
        <f>HYPERLINK("https://www.codechef.com/problems/CPPMCQ120", "https://www.codechef.com/problems/CPPMCQ120")</f>
        <v/>
      </c>
      <c r="K385" s="4" t="inlineStr"/>
      <c r="L385" s="4" t="inlineStr"/>
      <c r="M385" s="4" t="inlineStr"/>
      <c r="N385" s="4" t="inlineStr">
        <is>
          <t>No</t>
        </is>
      </c>
      <c r="O385" s="4" t="inlineStr">
        <is>
          <t>Unattempted</t>
        </is>
      </c>
    </row>
    <row r="386">
      <c r="A386" s="2" t="inlineStr">
        <is>
          <t>Interview Questions</t>
        </is>
      </c>
      <c r="B386" s="2" t="inlineStr">
        <is>
          <t>Top SQL Interview Questions</t>
        </is>
      </c>
      <c r="C386" s="2" t="inlineStr">
        <is>
          <t>Revise all the important concepts with our 70 SQL interview questions. Prepare yourself for the upcoming SQL interviews by solving practice problems.</t>
        </is>
      </c>
      <c r="D386" s="2" t="inlineStr">
        <is>
          <t>SELECT statements and basic querying - Select</t>
        </is>
      </c>
      <c r="E386" s="2" t="n">
        <v>1</v>
      </c>
      <c r="F386" s="2" t="inlineStr">
        <is>
          <t>Data Retrieval</t>
        </is>
      </c>
      <c r="G386" s="2" t="inlineStr">
        <is>
          <t>SQLMCQ01</t>
        </is>
      </c>
      <c r="H386" s="2" t="inlineStr"/>
      <c r="I386" s="2" t="inlineStr">
        <is>
          <t>Easy</t>
        </is>
      </c>
      <c r="J386" s="3">
        <f>HYPERLINK("https://www.codechef.com/problems/SQLMCQ01", "https://www.codechef.com/problems/SQLMCQ01")</f>
        <v/>
      </c>
      <c r="K386" s="2" t="inlineStr"/>
      <c r="L386" s="2" t="inlineStr"/>
      <c r="M386" s="2" t="inlineStr"/>
      <c r="N386" s="2" t="inlineStr">
        <is>
          <t>No</t>
        </is>
      </c>
      <c r="O386" s="2" t="inlineStr">
        <is>
          <t>Unattempted</t>
        </is>
      </c>
    </row>
    <row r="387">
      <c r="A387" s="4" t="inlineStr">
        <is>
          <t>Interview Questions</t>
        </is>
      </c>
      <c r="B387" s="4" t="inlineStr">
        <is>
          <t>Top SQL Interview Questions</t>
        </is>
      </c>
      <c r="C387" s="4" t="inlineStr">
        <is>
          <t>Revise all the important concepts with our 70 SQL interview questions. Prepare yourself for the upcoming SQL interviews by solving practice problems.</t>
        </is>
      </c>
      <c r="D387" s="4" t="inlineStr">
        <is>
          <t>SELECT statements and basic querying - Select</t>
        </is>
      </c>
      <c r="E387" s="4" t="n">
        <v>2</v>
      </c>
      <c r="F387" s="4" t="inlineStr">
        <is>
          <t>Column Selection</t>
        </is>
      </c>
      <c r="G387" s="4" t="inlineStr">
        <is>
          <t>SQLMCQ02</t>
        </is>
      </c>
      <c r="H387" s="4" t="inlineStr"/>
      <c r="I387" s="4" t="inlineStr">
        <is>
          <t>Easy</t>
        </is>
      </c>
      <c r="J387" s="5">
        <f>HYPERLINK("https://www.codechef.com/problems/SQLMCQ02", "https://www.codechef.com/problems/SQLMCQ02")</f>
        <v/>
      </c>
      <c r="K387" s="4" t="inlineStr"/>
      <c r="L387" s="4" t="inlineStr"/>
      <c r="M387" s="4" t="inlineStr"/>
      <c r="N387" s="4" t="inlineStr">
        <is>
          <t>No</t>
        </is>
      </c>
      <c r="O387" s="4" t="inlineStr">
        <is>
          <t>Unattempted</t>
        </is>
      </c>
    </row>
    <row r="388">
      <c r="A388" s="2" t="inlineStr">
        <is>
          <t>Interview Questions</t>
        </is>
      </c>
      <c r="B388" s="2" t="inlineStr">
        <is>
          <t>Top SQL Interview Questions</t>
        </is>
      </c>
      <c r="C388" s="2" t="inlineStr">
        <is>
          <t>Revise all the important concepts with our 70 SQL interview questions. Prepare yourself for the upcoming SQL interviews by solving practice problems.</t>
        </is>
      </c>
      <c r="D388" s="2" t="inlineStr">
        <is>
          <t>SELECT statements and basic querying - Select</t>
        </is>
      </c>
      <c r="E388" s="2" t="n">
        <v>3</v>
      </c>
      <c r="F388" s="2" t="inlineStr">
        <is>
          <t>Result Ordering</t>
        </is>
      </c>
      <c r="G388" s="2" t="inlineStr">
        <is>
          <t>SQLMCQ03</t>
        </is>
      </c>
      <c r="H388" s="2" t="inlineStr"/>
      <c r="I388" s="2" t="inlineStr">
        <is>
          <t>Easy</t>
        </is>
      </c>
      <c r="J388" s="3">
        <f>HYPERLINK("https://www.codechef.com/problems/SQLMCQ03", "https://www.codechef.com/problems/SQLMCQ03")</f>
        <v/>
      </c>
      <c r="K388" s="2" t="inlineStr"/>
      <c r="L388" s="2" t="inlineStr"/>
      <c r="M388" s="2" t="inlineStr"/>
      <c r="N388" s="2" t="inlineStr">
        <is>
          <t>No</t>
        </is>
      </c>
      <c r="O388" s="2" t="inlineStr">
        <is>
          <t>Unattempted</t>
        </is>
      </c>
    </row>
    <row r="389">
      <c r="A389" s="4" t="inlineStr">
        <is>
          <t>Interview Questions</t>
        </is>
      </c>
      <c r="B389" s="4" t="inlineStr">
        <is>
          <t>Top SQL Interview Questions</t>
        </is>
      </c>
      <c r="C389" s="4" t="inlineStr">
        <is>
          <t>Revise all the important concepts with our 70 SQL interview questions. Prepare yourself for the upcoming SQL interviews by solving practice problems.</t>
        </is>
      </c>
      <c r="D389" s="4" t="inlineStr">
        <is>
          <t>SELECT statements and basic querying - Select</t>
        </is>
      </c>
      <c r="E389" s="4" t="n">
        <v>4</v>
      </c>
      <c r="F389" s="4" t="inlineStr">
        <is>
          <t>Distinct Values</t>
        </is>
      </c>
      <c r="G389" s="4" t="inlineStr">
        <is>
          <t>SQLMCQ04</t>
        </is>
      </c>
      <c r="H389" s="4" t="inlineStr"/>
      <c r="I389" s="4" t="inlineStr">
        <is>
          <t>Easy</t>
        </is>
      </c>
      <c r="J389" s="5">
        <f>HYPERLINK("https://www.codechef.com/problems/SQLMCQ04", "https://www.codechef.com/problems/SQLMCQ04")</f>
        <v/>
      </c>
      <c r="K389" s="4" t="inlineStr"/>
      <c r="L389" s="4" t="inlineStr"/>
      <c r="M389" s="4" t="inlineStr"/>
      <c r="N389" s="4" t="inlineStr">
        <is>
          <t>No</t>
        </is>
      </c>
      <c r="O389" s="4" t="inlineStr">
        <is>
          <t>Unattempted</t>
        </is>
      </c>
    </row>
    <row r="390">
      <c r="A390" s="2" t="inlineStr">
        <is>
          <t>Interview Questions</t>
        </is>
      </c>
      <c r="B390" s="2" t="inlineStr">
        <is>
          <t>Top SQL Interview Questions</t>
        </is>
      </c>
      <c r="C390" s="2" t="inlineStr">
        <is>
          <t>Revise all the important concepts with our 70 SQL interview questions. Prepare yourself for the upcoming SQL interviews by solving practice problems.</t>
        </is>
      </c>
      <c r="D390" s="2" t="inlineStr">
        <is>
          <t>SELECT statements and basic querying - Select</t>
        </is>
      </c>
      <c r="E390" s="2" t="n">
        <v>5</v>
      </c>
      <c r="F390" s="2" t="inlineStr">
        <is>
          <t>Limiting Results</t>
        </is>
      </c>
      <c r="G390" s="2" t="inlineStr">
        <is>
          <t>SQLMCQ05</t>
        </is>
      </c>
      <c r="H390" s="2" t="inlineStr"/>
      <c r="I390" s="2" t="inlineStr">
        <is>
          <t>Easy</t>
        </is>
      </c>
      <c r="J390" s="3">
        <f>HYPERLINK("https://www.codechef.com/problems/SQLMCQ05", "https://www.codechef.com/problems/SQLMCQ05")</f>
        <v/>
      </c>
      <c r="K390" s="2" t="inlineStr"/>
      <c r="L390" s="2" t="inlineStr"/>
      <c r="M390" s="2" t="inlineStr"/>
      <c r="N390" s="2" t="inlineStr">
        <is>
          <t>No</t>
        </is>
      </c>
      <c r="O390" s="2" t="inlineStr">
        <is>
          <t>Unattempted</t>
        </is>
      </c>
    </row>
    <row r="391">
      <c r="A391" s="4" t="inlineStr">
        <is>
          <t>Interview Questions</t>
        </is>
      </c>
      <c r="B391" s="4" t="inlineStr">
        <is>
          <t>Top SQL Interview Questions</t>
        </is>
      </c>
      <c r="C391" s="4" t="inlineStr">
        <is>
          <t>Revise all the important concepts with our 70 SQL interview questions. Prepare yourself for the upcoming SQL interviews by solving practice problems.</t>
        </is>
      </c>
      <c r="D391" s="4" t="inlineStr">
        <is>
          <t>Joins (INNER, LEFT, RIGHT, FULL OUTER) - Joins</t>
        </is>
      </c>
      <c r="E391" s="4" t="n">
        <v>6</v>
      </c>
      <c r="F391" s="4" t="inlineStr">
        <is>
          <t>Table Combination</t>
        </is>
      </c>
      <c r="G391" s="4" t="inlineStr">
        <is>
          <t>SQLMCQ06</t>
        </is>
      </c>
      <c r="H391" s="4" t="inlineStr"/>
      <c r="I391" s="4" t="inlineStr">
        <is>
          <t>Easy</t>
        </is>
      </c>
      <c r="J391" s="5">
        <f>HYPERLINK("https://www.codechef.com/problems/SQLMCQ06", "https://www.codechef.com/problems/SQLMCQ06")</f>
        <v/>
      </c>
      <c r="K391" s="4" t="inlineStr"/>
      <c r="L391" s="4" t="inlineStr"/>
      <c r="M391" s="4" t="inlineStr"/>
      <c r="N391" s="4" t="inlineStr">
        <is>
          <t>No</t>
        </is>
      </c>
      <c r="O391" s="4" t="inlineStr">
        <is>
          <t>Unattempted</t>
        </is>
      </c>
    </row>
    <row r="392">
      <c r="A392" s="2" t="inlineStr">
        <is>
          <t>Interview Questions</t>
        </is>
      </c>
      <c r="B392" s="2" t="inlineStr">
        <is>
          <t>Top SQL Interview Questions</t>
        </is>
      </c>
      <c r="C392" s="2" t="inlineStr">
        <is>
          <t>Revise all the important concepts with our 70 SQL interview questions. Prepare yourself for the upcoming SQL interviews by solving practice problems.</t>
        </is>
      </c>
      <c r="D392" s="2" t="inlineStr">
        <is>
          <t>Joins (INNER, LEFT, RIGHT, FULL OUTER) - Joins</t>
        </is>
      </c>
      <c r="E392" s="2" t="n">
        <v>7</v>
      </c>
      <c r="F392" s="2" t="inlineStr">
        <is>
          <t>Data Retrieval</t>
        </is>
      </c>
      <c r="G392" s="2" t="inlineStr">
        <is>
          <t>SQLMCQ07</t>
        </is>
      </c>
      <c r="H392" s="2" t="inlineStr"/>
      <c r="I392" s="2" t="inlineStr">
        <is>
          <t>Easy</t>
        </is>
      </c>
      <c r="J392" s="3">
        <f>HYPERLINK("https://www.codechef.com/problems/SQLMCQ07", "https://www.codechef.com/problems/SQLMCQ07")</f>
        <v/>
      </c>
      <c r="K392" s="2" t="inlineStr"/>
      <c r="L392" s="2" t="inlineStr"/>
      <c r="M392" s="2" t="inlineStr"/>
      <c r="N392" s="2" t="inlineStr">
        <is>
          <t>No</t>
        </is>
      </c>
      <c r="O392" s="2" t="inlineStr">
        <is>
          <t>Unattempted</t>
        </is>
      </c>
    </row>
    <row r="393">
      <c r="A393" s="4" t="inlineStr">
        <is>
          <t>Interview Questions</t>
        </is>
      </c>
      <c r="B393" s="4" t="inlineStr">
        <is>
          <t>Top SQL Interview Questions</t>
        </is>
      </c>
      <c r="C393" s="4" t="inlineStr">
        <is>
          <t>Revise all the important concepts with our 70 SQL interview questions. Prepare yourself for the upcoming SQL interviews by solving practice problems.</t>
        </is>
      </c>
      <c r="D393" s="4" t="inlineStr">
        <is>
          <t>Joins (INNER, LEFT, RIGHT, FULL OUTER) - Joins</t>
        </is>
      </c>
      <c r="E393" s="4" t="n">
        <v>8</v>
      </c>
      <c r="F393" s="4" t="inlineStr">
        <is>
          <t>Comprehensive Result</t>
        </is>
      </c>
      <c r="G393" s="4" t="inlineStr">
        <is>
          <t>SQLMCQ08</t>
        </is>
      </c>
      <c r="H393" s="4" t="inlineStr"/>
      <c r="I393" s="4" t="inlineStr">
        <is>
          <t>Easy</t>
        </is>
      </c>
      <c r="J393" s="5">
        <f>HYPERLINK("https://www.codechef.com/problems/SQLMCQ08", "https://www.codechef.com/problems/SQLMCQ08")</f>
        <v/>
      </c>
      <c r="K393" s="4" t="inlineStr"/>
      <c r="L393" s="4" t="inlineStr"/>
      <c r="M393" s="4" t="inlineStr"/>
      <c r="N393" s="4" t="inlineStr">
        <is>
          <t>No</t>
        </is>
      </c>
      <c r="O393" s="4" t="inlineStr">
        <is>
          <t>Unattempted</t>
        </is>
      </c>
    </row>
    <row r="394">
      <c r="A394" s="2" t="inlineStr">
        <is>
          <t>Interview Questions</t>
        </is>
      </c>
      <c r="B394" s="2" t="inlineStr">
        <is>
          <t>Top SQL Interview Questions</t>
        </is>
      </c>
      <c r="C394" s="2" t="inlineStr">
        <is>
          <t>Revise all the important concepts with our 70 SQL interview questions. Prepare yourself for the upcoming SQL interviews by solving practice problems.</t>
        </is>
      </c>
      <c r="D394" s="2" t="inlineStr">
        <is>
          <t>Joins (INNER, LEFT, RIGHT, FULL OUTER) - Joins</t>
        </is>
      </c>
      <c r="E394" s="2" t="n">
        <v>9</v>
      </c>
      <c r="F394" s="2" t="inlineStr">
        <is>
          <t>Reverse Direction</t>
        </is>
      </c>
      <c r="G394" s="2" t="inlineStr">
        <is>
          <t>SQLMCQ09</t>
        </is>
      </c>
      <c r="H394" s="2" t="inlineStr"/>
      <c r="I394" s="2" t="inlineStr">
        <is>
          <t>Medium</t>
        </is>
      </c>
      <c r="J394" s="3">
        <f>HYPERLINK("https://www.codechef.com/problems/SQLMCQ09", "https://www.codechef.com/problems/SQLMCQ09")</f>
        <v/>
      </c>
      <c r="K394" s="2" t="inlineStr"/>
      <c r="L394" s="2" t="inlineStr"/>
      <c r="M394" s="2" t="inlineStr"/>
      <c r="N394" s="2" t="inlineStr">
        <is>
          <t>No</t>
        </is>
      </c>
      <c r="O394" s="2" t="inlineStr">
        <is>
          <t>Unattempted</t>
        </is>
      </c>
    </row>
    <row r="395">
      <c r="A395" s="4" t="inlineStr">
        <is>
          <t>Interview Questions</t>
        </is>
      </c>
      <c r="B395" s="4" t="inlineStr">
        <is>
          <t>Top SQL Interview Questions</t>
        </is>
      </c>
      <c r="C395" s="4" t="inlineStr">
        <is>
          <t>Revise all the important concepts with our 70 SQL interview questions. Prepare yourself for the upcoming SQL interviews by solving practice problems.</t>
        </is>
      </c>
      <c r="D395" s="4" t="inlineStr">
        <is>
          <t>Joins (INNER, LEFT, RIGHT, FULL OUTER) - Joins</t>
        </is>
      </c>
      <c r="E395" s="4" t="n">
        <v>10</v>
      </c>
      <c r="F395" s="4" t="inlineStr">
        <is>
          <t>Missing Data Handling</t>
        </is>
      </c>
      <c r="G395" s="4" t="inlineStr">
        <is>
          <t>SQLMCQ10</t>
        </is>
      </c>
      <c r="H395" s="4" t="inlineStr"/>
      <c r="I395" s="4" t="inlineStr">
        <is>
          <t>Easy</t>
        </is>
      </c>
      <c r="J395" s="5">
        <f>HYPERLINK("https://www.codechef.com/problems/SQLMCQ10", "https://www.codechef.com/problems/SQLMCQ10")</f>
        <v/>
      </c>
      <c r="K395" s="4" t="inlineStr"/>
      <c r="L395" s="4" t="inlineStr"/>
      <c r="M395" s="4" t="inlineStr"/>
      <c r="N395" s="4" t="inlineStr">
        <is>
          <t>No</t>
        </is>
      </c>
      <c r="O395" s="4" t="inlineStr">
        <is>
          <t>Unattempted</t>
        </is>
      </c>
    </row>
    <row r="396">
      <c r="A396" s="2" t="inlineStr">
        <is>
          <t>Interview Questions</t>
        </is>
      </c>
      <c r="B396" s="2" t="inlineStr">
        <is>
          <t>Top SQL Interview Questions</t>
        </is>
      </c>
      <c r="C396" s="2" t="inlineStr">
        <is>
          <t>Revise all the important concepts with our 70 SQL interview questions. Prepare yourself for the upcoming SQL interviews by solving practice problems.</t>
        </is>
      </c>
      <c r="D396" s="2" t="inlineStr">
        <is>
          <t>Aggregation functions (COUNT, SUM, AVG, etc.) - Functions</t>
        </is>
      </c>
      <c r="E396" s="2" t="n">
        <v>11</v>
      </c>
      <c r="F396" s="2" t="inlineStr">
        <is>
          <t>Function Purpose</t>
        </is>
      </c>
      <c r="G396" s="2" t="inlineStr">
        <is>
          <t>SQLMCQ11</t>
        </is>
      </c>
      <c r="H396" s="2" t="inlineStr"/>
      <c r="I396" s="2" t="inlineStr">
        <is>
          <t>Easy</t>
        </is>
      </c>
      <c r="J396" s="3">
        <f>HYPERLINK("https://www.codechef.com/problems/SQLMCQ11", "https://www.codechef.com/problems/SQLMCQ11")</f>
        <v/>
      </c>
      <c r="K396" s="2" t="inlineStr"/>
      <c r="L396" s="2" t="inlineStr"/>
      <c r="M396" s="2" t="inlineStr"/>
      <c r="N396" s="2" t="inlineStr">
        <is>
          <t>No</t>
        </is>
      </c>
      <c r="O396" s="2" t="inlineStr">
        <is>
          <t>Unattempted</t>
        </is>
      </c>
    </row>
    <row r="397">
      <c r="A397" s="4" t="inlineStr">
        <is>
          <t>Interview Questions</t>
        </is>
      </c>
      <c r="B397" s="4" t="inlineStr">
        <is>
          <t>Top SQL Interview Questions</t>
        </is>
      </c>
      <c r="C397" s="4" t="inlineStr">
        <is>
          <t>Revise all the important concepts with our 70 SQL interview questions. Prepare yourself for the upcoming SQL interviews by solving practice problems.</t>
        </is>
      </c>
      <c r="D397" s="4" t="inlineStr">
        <is>
          <t>Aggregation functions (COUNT, SUM, AVG, etc.) - Functions</t>
        </is>
      </c>
      <c r="E397" s="4" t="n">
        <v>12</v>
      </c>
      <c r="F397" s="4" t="inlineStr">
        <is>
          <t>Distinct Values</t>
        </is>
      </c>
      <c r="G397" s="4" t="inlineStr">
        <is>
          <t>SQLMCQ12</t>
        </is>
      </c>
      <c r="H397" s="4" t="inlineStr"/>
      <c r="I397" s="4" t="inlineStr">
        <is>
          <t>Easy</t>
        </is>
      </c>
      <c r="J397" s="5">
        <f>HYPERLINK("https://www.codechef.com/problems/SQLMCQ12", "https://www.codechef.com/problems/SQLMCQ12")</f>
        <v/>
      </c>
      <c r="K397" s="4" t="inlineStr"/>
      <c r="L397" s="4" t="inlineStr"/>
      <c r="M397" s="4" t="inlineStr"/>
      <c r="N397" s="4" t="inlineStr">
        <is>
          <t>No</t>
        </is>
      </c>
      <c r="O397" s="4" t="inlineStr">
        <is>
          <t>Unattempted</t>
        </is>
      </c>
    </row>
    <row r="398">
      <c r="A398" s="2" t="inlineStr">
        <is>
          <t>Interview Questions</t>
        </is>
      </c>
      <c r="B398" s="2" t="inlineStr">
        <is>
          <t>Top SQL Interview Questions</t>
        </is>
      </c>
      <c r="C398" s="2" t="inlineStr">
        <is>
          <t>Revise all the important concepts with our 70 SQL interview questions. Prepare yourself for the upcoming SQL interviews by solving practice problems.</t>
        </is>
      </c>
      <c r="D398" s="2" t="inlineStr">
        <is>
          <t>Aggregation functions (COUNT, SUM, AVG, etc.) - Functions</t>
        </is>
      </c>
      <c r="E398" s="2" t="n">
        <v>13</v>
      </c>
      <c r="F398" s="2" t="inlineStr">
        <is>
          <t>Null Handling</t>
        </is>
      </c>
      <c r="G398" s="2" t="inlineStr">
        <is>
          <t>SQLMCQ13</t>
        </is>
      </c>
      <c r="H398" s="2" t="inlineStr"/>
      <c r="I398" s="2" t="inlineStr">
        <is>
          <t>Easy</t>
        </is>
      </c>
      <c r="J398" s="3">
        <f>HYPERLINK("https://www.codechef.com/problems/SQLMCQ13", "https://www.codechef.com/problems/SQLMCQ13")</f>
        <v/>
      </c>
      <c r="K398" s="2" t="inlineStr"/>
      <c r="L398" s="2" t="inlineStr"/>
      <c r="M398" s="2" t="inlineStr"/>
      <c r="N398" s="2" t="inlineStr">
        <is>
          <t>No</t>
        </is>
      </c>
      <c r="O398" s="2" t="inlineStr">
        <is>
          <t>Unattempted</t>
        </is>
      </c>
    </row>
    <row r="399">
      <c r="A399" s="4" t="inlineStr">
        <is>
          <t>Interview Questions</t>
        </is>
      </c>
      <c r="B399" s="4" t="inlineStr">
        <is>
          <t>Top SQL Interview Questions</t>
        </is>
      </c>
      <c r="C399" s="4" t="inlineStr">
        <is>
          <t>Revise all the important concepts with our 70 SQL interview questions. Prepare yourself for the upcoming SQL interviews by solving practice problems.</t>
        </is>
      </c>
      <c r="D399" s="4" t="inlineStr">
        <is>
          <t>Aggregation functions (COUNT, SUM, AVG, etc.) - Functions</t>
        </is>
      </c>
      <c r="E399" s="4" t="n">
        <v>14</v>
      </c>
      <c r="F399" s="4" t="inlineStr">
        <is>
          <t>Group Operation</t>
        </is>
      </c>
      <c r="G399" s="4" t="inlineStr">
        <is>
          <t>SQLMCQ14</t>
        </is>
      </c>
      <c r="H399" s="4" t="inlineStr"/>
      <c r="I399" s="4" t="inlineStr">
        <is>
          <t>Easy</t>
        </is>
      </c>
      <c r="J399" s="5">
        <f>HYPERLINK("https://www.codechef.com/problems/SQLMCQ14", "https://www.codechef.com/problems/SQLMCQ14")</f>
        <v/>
      </c>
      <c r="K399" s="4" t="inlineStr"/>
      <c r="L399" s="4" t="inlineStr"/>
      <c r="M399" s="4" t="inlineStr"/>
      <c r="N399" s="4" t="inlineStr">
        <is>
          <t>No</t>
        </is>
      </c>
      <c r="O399" s="4" t="inlineStr">
        <is>
          <t>Unattempted</t>
        </is>
      </c>
    </row>
    <row r="400">
      <c r="A400" s="2" t="inlineStr">
        <is>
          <t>Interview Questions</t>
        </is>
      </c>
      <c r="B400" s="2" t="inlineStr">
        <is>
          <t>Top SQL Interview Questions</t>
        </is>
      </c>
      <c r="C400" s="2" t="inlineStr">
        <is>
          <t>Revise all the important concepts with our 70 SQL interview questions. Prepare yourself for the upcoming SQL interviews by solving practice problems.</t>
        </is>
      </c>
      <c r="D400" s="2" t="inlineStr">
        <is>
          <t>Aggregation functions (COUNT, SUM, AVG, etc.) - Functions</t>
        </is>
      </c>
      <c r="E400" s="2" t="n">
        <v>15</v>
      </c>
      <c r="F400" s="2" t="inlineStr">
        <is>
          <t>Function Combination</t>
        </is>
      </c>
      <c r="G400" s="2" t="inlineStr">
        <is>
          <t>SQLMCQ15</t>
        </is>
      </c>
      <c r="H400" s="2" t="inlineStr"/>
      <c r="I400" s="2" t="inlineStr">
        <is>
          <t>Medium</t>
        </is>
      </c>
      <c r="J400" s="3">
        <f>HYPERLINK("https://www.codechef.com/problems/SQLMCQ15", "https://www.codechef.com/problems/SQLMCQ15")</f>
        <v/>
      </c>
      <c r="K400" s="2" t="inlineStr"/>
      <c r="L400" s="2" t="inlineStr"/>
      <c r="M400" s="2" t="inlineStr"/>
      <c r="N400" s="2" t="inlineStr">
        <is>
          <t>No</t>
        </is>
      </c>
      <c r="O400" s="2" t="inlineStr">
        <is>
          <t>Unattempted</t>
        </is>
      </c>
    </row>
    <row r="401">
      <c r="A401" s="4" t="inlineStr">
        <is>
          <t>Interview Questions</t>
        </is>
      </c>
      <c r="B401" s="4" t="inlineStr">
        <is>
          <t>Top SQL Interview Questions</t>
        </is>
      </c>
      <c r="C401" s="4" t="inlineStr">
        <is>
          <t>Revise all the important concepts with our 70 SQL interview questions. Prepare yourself for the upcoming SQL interviews by solving practice problems.</t>
        </is>
      </c>
      <c r="D401" s="4" t="inlineStr">
        <is>
          <t>GROUP BY and HAVING clauses - group by</t>
        </is>
      </c>
      <c r="E401" s="4" t="n">
        <v>16</v>
      </c>
      <c r="F401" s="4" t="inlineStr">
        <is>
          <t>Aggregate Function Usage</t>
        </is>
      </c>
      <c r="G401" s="4" t="inlineStr">
        <is>
          <t>SQLMCQ16</t>
        </is>
      </c>
      <c r="H401" s="4" t="inlineStr"/>
      <c r="I401" s="4" t="inlineStr">
        <is>
          <t>Easy</t>
        </is>
      </c>
      <c r="J401" s="5">
        <f>HYPERLINK("https://www.codechef.com/problems/SQLMCQ16", "https://www.codechef.com/problems/SQLMCQ16")</f>
        <v/>
      </c>
      <c r="K401" s="4" t="inlineStr"/>
      <c r="L401" s="4" t="inlineStr"/>
      <c r="M401" s="4" t="inlineStr"/>
      <c r="N401" s="4" t="inlineStr">
        <is>
          <t>No</t>
        </is>
      </c>
      <c r="O401" s="4" t="inlineStr">
        <is>
          <t>Unattempted</t>
        </is>
      </c>
    </row>
    <row r="402">
      <c r="A402" s="2" t="inlineStr">
        <is>
          <t>Interview Questions</t>
        </is>
      </c>
      <c r="B402" s="2" t="inlineStr">
        <is>
          <t>Top SQL Interview Questions</t>
        </is>
      </c>
      <c r="C402" s="2" t="inlineStr">
        <is>
          <t>Revise all the important concepts with our 70 SQL interview questions. Prepare yourself for the upcoming SQL interviews by solving practice problems.</t>
        </is>
      </c>
      <c r="D402" s="2" t="inlineStr">
        <is>
          <t>GROUP BY and HAVING clauses - group by</t>
        </is>
      </c>
      <c r="E402" s="2" t="n">
        <v>17</v>
      </c>
      <c r="F402" s="2" t="inlineStr">
        <is>
          <t>Filtering Grouped Data</t>
        </is>
      </c>
      <c r="G402" s="2" t="inlineStr">
        <is>
          <t>SQLMCQ17</t>
        </is>
      </c>
      <c r="H402" s="2" t="inlineStr"/>
      <c r="I402" s="2" t="inlineStr">
        <is>
          <t>Easy</t>
        </is>
      </c>
      <c r="J402" s="3">
        <f>HYPERLINK("https://www.codechef.com/problems/SQLMCQ17", "https://www.codechef.com/problems/SQLMCQ17")</f>
        <v/>
      </c>
      <c r="K402" s="2" t="inlineStr"/>
      <c r="L402" s="2" t="inlineStr"/>
      <c r="M402" s="2" t="inlineStr"/>
      <c r="N402" s="2" t="inlineStr">
        <is>
          <t>No</t>
        </is>
      </c>
      <c r="O402" s="2" t="inlineStr">
        <is>
          <t>Unattempted</t>
        </is>
      </c>
    </row>
    <row r="403">
      <c r="A403" s="4" t="inlineStr">
        <is>
          <t>Interview Questions</t>
        </is>
      </c>
      <c r="B403" s="4" t="inlineStr">
        <is>
          <t>Top SQL Interview Questions</t>
        </is>
      </c>
      <c r="C403" s="4" t="inlineStr">
        <is>
          <t>Revise all the important concepts with our 70 SQL interview questions. Prepare yourself for the upcoming SQL interviews by solving practice problems.</t>
        </is>
      </c>
      <c r="D403" s="4" t="inlineStr">
        <is>
          <t>GROUP BY and HAVING clauses - group by</t>
        </is>
      </c>
      <c r="E403" s="4" t="n">
        <v>18</v>
      </c>
      <c r="F403" s="4" t="inlineStr">
        <is>
          <t>Order of Execution</t>
        </is>
      </c>
      <c r="G403" s="4" t="inlineStr">
        <is>
          <t>SQLMCQ18</t>
        </is>
      </c>
      <c r="H403" s="4" t="inlineStr"/>
      <c r="I403" s="4" t="inlineStr">
        <is>
          <t>Easy</t>
        </is>
      </c>
      <c r="J403" s="5">
        <f>HYPERLINK("https://www.codechef.com/problems/SQLMCQ18", "https://www.codechef.com/problems/SQLMCQ18")</f>
        <v/>
      </c>
      <c r="K403" s="4" t="inlineStr"/>
      <c r="L403" s="4" t="inlineStr"/>
      <c r="M403" s="4" t="inlineStr"/>
      <c r="N403" s="4" t="inlineStr">
        <is>
          <t>No</t>
        </is>
      </c>
      <c r="O403" s="4" t="inlineStr">
        <is>
          <t>Unattempted</t>
        </is>
      </c>
    </row>
    <row r="404">
      <c r="A404" s="2" t="inlineStr">
        <is>
          <t>Interview Questions</t>
        </is>
      </c>
      <c r="B404" s="2" t="inlineStr">
        <is>
          <t>Top SQL Interview Questions</t>
        </is>
      </c>
      <c r="C404" s="2" t="inlineStr">
        <is>
          <t>Revise all the important concepts with our 70 SQL interview questions. Prepare yourself for the upcoming SQL interviews by solving practice problems.</t>
        </is>
      </c>
      <c r="D404" s="2" t="inlineStr">
        <is>
          <t>GROUP BY and HAVING clauses - group by</t>
        </is>
      </c>
      <c r="E404" s="2" t="n">
        <v>19</v>
      </c>
      <c r="F404" s="2" t="inlineStr">
        <is>
          <t>Aggregate Function Placement</t>
        </is>
      </c>
      <c r="G404" s="2" t="inlineStr">
        <is>
          <t>SQLMCQ19</t>
        </is>
      </c>
      <c r="H404" s="2" t="inlineStr"/>
      <c r="I404" s="2" t="inlineStr">
        <is>
          <t>Medium</t>
        </is>
      </c>
      <c r="J404" s="3">
        <f>HYPERLINK("https://www.codechef.com/problems/SQLMCQ19", "https://www.codechef.com/problems/SQLMCQ19")</f>
        <v/>
      </c>
      <c r="K404" s="2" t="inlineStr"/>
      <c r="L404" s="2" t="inlineStr"/>
      <c r="M404" s="2" t="inlineStr"/>
      <c r="N404" s="2" t="inlineStr">
        <is>
          <t>No</t>
        </is>
      </c>
      <c r="O404" s="2" t="inlineStr">
        <is>
          <t>Unattempted</t>
        </is>
      </c>
    </row>
    <row r="405">
      <c r="A405" s="4" t="inlineStr">
        <is>
          <t>Interview Questions</t>
        </is>
      </c>
      <c r="B405" s="4" t="inlineStr">
        <is>
          <t>Top SQL Interview Questions</t>
        </is>
      </c>
      <c r="C405" s="4" t="inlineStr">
        <is>
          <t>Revise all the important concepts with our 70 SQL interview questions. Prepare yourself for the upcoming SQL interviews by solving practice problems.</t>
        </is>
      </c>
      <c r="D405" s="4" t="inlineStr">
        <is>
          <t>GROUP BY and HAVING clauses - group by</t>
        </is>
      </c>
      <c r="E405" s="4" t="n">
        <v>20</v>
      </c>
      <c r="F405" s="4" t="inlineStr">
        <is>
          <t>Column References</t>
        </is>
      </c>
      <c r="G405" s="4" t="inlineStr">
        <is>
          <t>SQLMCQ20</t>
        </is>
      </c>
      <c r="H405" s="4" t="inlineStr"/>
      <c r="I405" s="4" t="inlineStr">
        <is>
          <t>Medium</t>
        </is>
      </c>
      <c r="J405" s="5">
        <f>HYPERLINK("https://www.codechef.com/problems/SQLMCQ20", "https://www.codechef.com/problems/SQLMCQ20")</f>
        <v/>
      </c>
      <c r="K405" s="4" t="inlineStr"/>
      <c r="L405" s="4" t="inlineStr"/>
      <c r="M405" s="4" t="inlineStr"/>
      <c r="N405" s="4" t="inlineStr">
        <is>
          <t>No</t>
        </is>
      </c>
      <c r="O405" s="4" t="inlineStr">
        <is>
          <t>Unattempted</t>
        </is>
      </c>
    </row>
    <row r="406">
      <c r="A406" s="2" t="inlineStr">
        <is>
          <t>Interview Questions</t>
        </is>
      </c>
      <c r="B406" s="2" t="inlineStr">
        <is>
          <t>Top SQL Interview Questions</t>
        </is>
      </c>
      <c r="C406" s="2" t="inlineStr">
        <is>
          <t>Revise all the important concepts with our 70 SQL interview questions. Prepare yourself for the upcoming SQL interviews by solving practice problems.</t>
        </is>
      </c>
      <c r="D406" s="2" t="inlineStr">
        <is>
          <t>Subqueries - subqueries</t>
        </is>
      </c>
      <c r="E406" s="2" t="n">
        <v>21</v>
      </c>
      <c r="F406" s="2" t="inlineStr">
        <is>
          <t>Query Nesting</t>
        </is>
      </c>
      <c r="G406" s="2" t="inlineStr">
        <is>
          <t>SQLMCQ21</t>
        </is>
      </c>
      <c r="H406" s="2" t="inlineStr"/>
      <c r="I406" s="2" t="inlineStr">
        <is>
          <t>Easy</t>
        </is>
      </c>
      <c r="J406" s="3">
        <f>HYPERLINK("https://www.codechef.com/problems/SQLMCQ21", "https://www.codechef.com/problems/SQLMCQ21")</f>
        <v/>
      </c>
      <c r="K406" s="2" t="inlineStr"/>
      <c r="L406" s="2" t="inlineStr"/>
      <c r="M406" s="2" t="inlineStr"/>
      <c r="N406" s="2" t="inlineStr">
        <is>
          <t>No</t>
        </is>
      </c>
      <c r="O406" s="2" t="inlineStr">
        <is>
          <t>Unattempted</t>
        </is>
      </c>
    </row>
    <row r="407">
      <c r="A407" s="4" t="inlineStr">
        <is>
          <t>Interview Questions</t>
        </is>
      </c>
      <c r="B407" s="4" t="inlineStr">
        <is>
          <t>Top SQL Interview Questions</t>
        </is>
      </c>
      <c r="C407" s="4" t="inlineStr">
        <is>
          <t>Revise all the important concepts with our 70 SQL interview questions. Prepare yourself for the upcoming SQL interviews by solving practice problems.</t>
        </is>
      </c>
      <c r="D407" s="4" t="inlineStr">
        <is>
          <t>Subqueries - subqueries</t>
        </is>
      </c>
      <c r="E407" s="4" t="n">
        <v>22</v>
      </c>
      <c r="F407" s="4" t="inlineStr">
        <is>
          <t>Subquery Types</t>
        </is>
      </c>
      <c r="G407" s="4" t="inlineStr">
        <is>
          <t>SQLMCQ22</t>
        </is>
      </c>
      <c r="H407" s="4" t="inlineStr"/>
      <c r="I407" s="4" t="inlineStr">
        <is>
          <t>Easy</t>
        </is>
      </c>
      <c r="J407" s="5">
        <f>HYPERLINK("https://www.codechef.com/problems/SQLMCQ22", "https://www.codechef.com/problems/SQLMCQ22")</f>
        <v/>
      </c>
      <c r="K407" s="4" t="inlineStr"/>
      <c r="L407" s="4" t="inlineStr"/>
      <c r="M407" s="4" t="inlineStr"/>
      <c r="N407" s="4" t="inlineStr">
        <is>
          <t>No</t>
        </is>
      </c>
      <c r="O407" s="4" t="inlineStr">
        <is>
          <t>Unattempted</t>
        </is>
      </c>
    </row>
    <row r="408">
      <c r="A408" s="2" t="inlineStr">
        <is>
          <t>Interview Questions</t>
        </is>
      </c>
      <c r="B408" s="2" t="inlineStr">
        <is>
          <t>Top SQL Interview Questions</t>
        </is>
      </c>
      <c r="C408" s="2" t="inlineStr">
        <is>
          <t>Revise all the important concepts with our 70 SQL interview questions. Prepare yourself for the upcoming SQL interviews by solving practice problems.</t>
        </is>
      </c>
      <c r="D408" s="2" t="inlineStr">
        <is>
          <t>Subqueries - subqueries</t>
        </is>
      </c>
      <c r="E408" s="2" t="n">
        <v>23</v>
      </c>
      <c r="F408" s="2" t="inlineStr">
        <is>
          <t>Performance Consideration</t>
        </is>
      </c>
      <c r="G408" s="2" t="inlineStr">
        <is>
          <t>SQLMCQ23</t>
        </is>
      </c>
      <c r="H408" s="2" t="inlineStr"/>
      <c r="I408" s="2" t="inlineStr">
        <is>
          <t>Medium</t>
        </is>
      </c>
      <c r="J408" s="3">
        <f>HYPERLINK("https://www.codechef.com/problems/SQLMCQ23", "https://www.codechef.com/problems/SQLMCQ23")</f>
        <v/>
      </c>
      <c r="K408" s="2" t="inlineStr"/>
      <c r="L408" s="2" t="inlineStr"/>
      <c r="M408" s="2" t="inlineStr"/>
      <c r="N408" s="2" t="inlineStr">
        <is>
          <t>No</t>
        </is>
      </c>
      <c r="O408" s="2" t="inlineStr">
        <is>
          <t>Unattempted</t>
        </is>
      </c>
    </row>
    <row r="409">
      <c r="A409" s="4" t="inlineStr">
        <is>
          <t>Interview Questions</t>
        </is>
      </c>
      <c r="B409" s="4" t="inlineStr">
        <is>
          <t>Top SQL Interview Questions</t>
        </is>
      </c>
      <c r="C409" s="4" t="inlineStr">
        <is>
          <t>Revise all the important concepts with our 70 SQL interview questions. Prepare yourself for the upcoming SQL interviews by solving practice problems.</t>
        </is>
      </c>
      <c r="D409" s="4" t="inlineStr">
        <is>
          <t>Subqueries - subqueries</t>
        </is>
      </c>
      <c r="E409" s="4" t="n">
        <v>24</v>
      </c>
      <c r="F409" s="4" t="inlineStr">
        <is>
          <t>Subquery Location</t>
        </is>
      </c>
      <c r="G409" s="4" t="inlineStr">
        <is>
          <t>SQLMCQ24</t>
        </is>
      </c>
      <c r="H409" s="4" t="inlineStr"/>
      <c r="I409" s="4" t="inlineStr">
        <is>
          <t>Medium</t>
        </is>
      </c>
      <c r="J409" s="5">
        <f>HYPERLINK("https://www.codechef.com/problems/SQLMCQ24", "https://www.codechef.com/problems/SQLMCQ24")</f>
        <v/>
      </c>
      <c r="K409" s="4" t="inlineStr"/>
      <c r="L409" s="4" t="inlineStr"/>
      <c r="M409" s="4" t="inlineStr"/>
      <c r="N409" s="4" t="inlineStr">
        <is>
          <t>No</t>
        </is>
      </c>
      <c r="O409" s="4" t="inlineStr">
        <is>
          <t>Unattempted</t>
        </is>
      </c>
    </row>
    <row r="410">
      <c r="A410" s="2" t="inlineStr">
        <is>
          <t>Interview Questions</t>
        </is>
      </c>
      <c r="B410" s="2" t="inlineStr">
        <is>
          <t>Top SQL Interview Questions</t>
        </is>
      </c>
      <c r="C410" s="2" t="inlineStr">
        <is>
          <t>Revise all the important concepts with our 70 SQL interview questions. Prepare yourself for the upcoming SQL interviews by solving practice problems.</t>
        </is>
      </c>
      <c r="D410" s="2" t="inlineStr">
        <is>
          <t>Subqueries - subqueries</t>
        </is>
      </c>
      <c r="E410" s="2" t="n">
        <v>25</v>
      </c>
      <c r="F410" s="2" t="inlineStr">
        <is>
          <t>Subquery Execution</t>
        </is>
      </c>
      <c r="G410" s="2" t="inlineStr">
        <is>
          <t>SQLMCQ25</t>
        </is>
      </c>
      <c r="H410" s="2" t="inlineStr"/>
      <c r="I410" s="2" t="inlineStr">
        <is>
          <t>Medium</t>
        </is>
      </c>
      <c r="J410" s="3">
        <f>HYPERLINK("https://www.codechef.com/problems/SQLMCQ25", "https://www.codechef.com/problems/SQLMCQ25")</f>
        <v/>
      </c>
      <c r="K410" s="2" t="inlineStr"/>
      <c r="L410" s="2" t="inlineStr"/>
      <c r="M410" s="2" t="inlineStr"/>
      <c r="N410" s="2" t="inlineStr">
        <is>
          <t>No</t>
        </is>
      </c>
      <c r="O410" s="2" t="inlineStr">
        <is>
          <t>Unattempted</t>
        </is>
      </c>
    </row>
    <row r="411">
      <c r="A411" s="4" t="inlineStr">
        <is>
          <t>Interview Questions</t>
        </is>
      </c>
      <c r="B411" s="4" t="inlineStr">
        <is>
          <t>Top SQL Interview Questions</t>
        </is>
      </c>
      <c r="C411" s="4" t="inlineStr">
        <is>
          <t>Revise all the important concepts with our 70 SQL interview questions. Prepare yourself for the upcoming SQL interviews by solving practice problems.</t>
        </is>
      </c>
      <c r="D411" s="4" t="inlineStr">
        <is>
          <t>UNION and UNION ALL - union</t>
        </is>
      </c>
      <c r="E411" s="4" t="n">
        <v>26</v>
      </c>
      <c r="F411" s="4" t="inlineStr">
        <is>
          <t>Set Operations</t>
        </is>
      </c>
      <c r="G411" s="4" t="inlineStr">
        <is>
          <t>SQLMCQ26</t>
        </is>
      </c>
      <c r="H411" s="4" t="inlineStr"/>
      <c r="I411" s="4" t="inlineStr">
        <is>
          <t>Easy</t>
        </is>
      </c>
      <c r="J411" s="5">
        <f>HYPERLINK("https://www.codechef.com/problems/SQLMCQ26", "https://www.codechef.com/problems/SQLMCQ26")</f>
        <v/>
      </c>
      <c r="K411" s="4" t="inlineStr"/>
      <c r="L411" s="4" t="inlineStr"/>
      <c r="M411" s="4" t="inlineStr"/>
      <c r="N411" s="4" t="inlineStr">
        <is>
          <t>No</t>
        </is>
      </c>
      <c r="O411" s="4" t="inlineStr">
        <is>
          <t>Unattempted</t>
        </is>
      </c>
    </row>
    <row r="412">
      <c r="A412" s="2" t="inlineStr">
        <is>
          <t>Interview Questions</t>
        </is>
      </c>
      <c r="B412" s="2" t="inlineStr">
        <is>
          <t>Top SQL Interview Questions</t>
        </is>
      </c>
      <c r="C412" s="2" t="inlineStr">
        <is>
          <t>Revise all the important concepts with our 70 SQL interview questions. Prepare yourself for the upcoming SQL interviews by solving practice problems.</t>
        </is>
      </c>
      <c r="D412" s="2" t="inlineStr">
        <is>
          <t>UNION and UNION ALL - union</t>
        </is>
      </c>
      <c r="E412" s="2" t="n">
        <v>27</v>
      </c>
      <c r="F412" s="2" t="inlineStr">
        <is>
          <t>Performance Consideration</t>
        </is>
      </c>
      <c r="G412" s="2" t="inlineStr">
        <is>
          <t>SQLMCQ27</t>
        </is>
      </c>
      <c r="H412" s="2" t="inlineStr"/>
      <c r="I412" s="2" t="inlineStr">
        <is>
          <t>Easy</t>
        </is>
      </c>
      <c r="J412" s="3">
        <f>HYPERLINK("https://www.codechef.com/problems/SQLMCQ27", "https://www.codechef.com/problems/SQLMCQ27")</f>
        <v/>
      </c>
      <c r="K412" s="2" t="inlineStr"/>
      <c r="L412" s="2" t="inlineStr"/>
      <c r="M412" s="2" t="inlineStr"/>
      <c r="N412" s="2" t="inlineStr">
        <is>
          <t>No</t>
        </is>
      </c>
      <c r="O412" s="2" t="inlineStr">
        <is>
          <t>Unattempted</t>
        </is>
      </c>
    </row>
    <row r="413">
      <c r="A413" s="4" t="inlineStr">
        <is>
          <t>Interview Questions</t>
        </is>
      </c>
      <c r="B413" s="4" t="inlineStr">
        <is>
          <t>Top SQL Interview Questions</t>
        </is>
      </c>
      <c r="C413" s="4" t="inlineStr">
        <is>
          <t>Revise all the important concepts with our 70 SQL interview questions. Prepare yourself for the upcoming SQL interviews by solving practice problems.</t>
        </is>
      </c>
      <c r="D413" s="4" t="inlineStr">
        <is>
          <t>UNION and UNION ALL - union</t>
        </is>
      </c>
      <c r="E413" s="4" t="n">
        <v>28</v>
      </c>
      <c r="F413" s="4" t="inlineStr">
        <is>
          <t>Column Requirements</t>
        </is>
      </c>
      <c r="G413" s="4" t="inlineStr">
        <is>
          <t>SQLMCQ28</t>
        </is>
      </c>
      <c r="H413" s="4" t="inlineStr"/>
      <c r="I413" s="4" t="inlineStr">
        <is>
          <t>Easy</t>
        </is>
      </c>
      <c r="J413" s="5">
        <f>HYPERLINK("https://www.codechef.com/problems/SQLMCQ28", "https://www.codechef.com/problems/SQLMCQ28")</f>
        <v/>
      </c>
      <c r="K413" s="4" t="inlineStr"/>
      <c r="L413" s="4" t="inlineStr"/>
      <c r="M413" s="4" t="inlineStr"/>
      <c r="N413" s="4" t="inlineStr">
        <is>
          <t>No</t>
        </is>
      </c>
      <c r="O413" s="4" t="inlineStr">
        <is>
          <t>Unattempted</t>
        </is>
      </c>
    </row>
    <row r="414">
      <c r="A414" s="2" t="inlineStr">
        <is>
          <t>Interview Questions</t>
        </is>
      </c>
      <c r="B414" s="2" t="inlineStr">
        <is>
          <t>Top SQL Interview Questions</t>
        </is>
      </c>
      <c r="C414" s="2" t="inlineStr">
        <is>
          <t>Revise all the important concepts with our 70 SQL interview questions. Prepare yourself for the upcoming SQL interviews by solving practice problems.</t>
        </is>
      </c>
      <c r="D414" s="2" t="inlineStr">
        <is>
          <t>UNION and UNION ALL - union</t>
        </is>
      </c>
      <c r="E414" s="2" t="n">
        <v>29</v>
      </c>
      <c r="F414" s="2" t="inlineStr">
        <is>
          <t>Result Set Ordering</t>
        </is>
      </c>
      <c r="G414" s="2" t="inlineStr">
        <is>
          <t>SQLMCQ29</t>
        </is>
      </c>
      <c r="H414" s="2" t="inlineStr"/>
      <c r="I414" s="2" t="inlineStr">
        <is>
          <t>Easy</t>
        </is>
      </c>
      <c r="J414" s="3">
        <f>HYPERLINK("https://www.codechef.com/problems/SQLMCQ29", "https://www.codechef.com/problems/SQLMCQ29")</f>
        <v/>
      </c>
      <c r="K414" s="2" t="inlineStr"/>
      <c r="L414" s="2" t="inlineStr"/>
      <c r="M414" s="2" t="inlineStr"/>
      <c r="N414" s="2" t="inlineStr">
        <is>
          <t>No</t>
        </is>
      </c>
      <c r="O414" s="2" t="inlineStr">
        <is>
          <t>Unattempted</t>
        </is>
      </c>
    </row>
    <row r="415">
      <c r="A415" s="4" t="inlineStr">
        <is>
          <t>Interview Questions</t>
        </is>
      </c>
      <c r="B415" s="4" t="inlineStr">
        <is>
          <t>Top SQL Interview Questions</t>
        </is>
      </c>
      <c r="C415" s="4" t="inlineStr">
        <is>
          <t>Revise all the important concepts with our 70 SQL interview questions. Prepare yourself for the upcoming SQL interviews by solving practice problems.</t>
        </is>
      </c>
      <c r="D415" s="4" t="inlineStr">
        <is>
          <t>UNION and UNION ALL - union</t>
        </is>
      </c>
      <c r="E415" s="4" t="n">
        <v>30</v>
      </c>
      <c r="F415" s="4" t="inlineStr">
        <is>
          <t>Syntax Variation</t>
        </is>
      </c>
      <c r="G415" s="4" t="inlineStr">
        <is>
          <t>SQLMCQ30</t>
        </is>
      </c>
      <c r="H415" s="4" t="inlineStr"/>
      <c r="I415" s="4" t="inlineStr">
        <is>
          <t>Easy</t>
        </is>
      </c>
      <c r="J415" s="5">
        <f>HYPERLINK("https://www.codechef.com/problems/SQLMCQ30", "https://www.codechef.com/problems/SQLMCQ30")</f>
        <v/>
      </c>
      <c r="K415" s="4" t="inlineStr"/>
      <c r="L415" s="4" t="inlineStr"/>
      <c r="M415" s="4" t="inlineStr"/>
      <c r="N415" s="4" t="inlineStr">
        <is>
          <t>No</t>
        </is>
      </c>
      <c r="O415" s="4" t="inlineStr">
        <is>
          <t>Unattempted</t>
        </is>
      </c>
    </row>
    <row r="416">
      <c r="A416" s="2" t="inlineStr">
        <is>
          <t>Interview Questions</t>
        </is>
      </c>
      <c r="B416" s="2" t="inlineStr">
        <is>
          <t>Top SQL Interview Questions</t>
        </is>
      </c>
      <c r="C416" s="2" t="inlineStr">
        <is>
          <t>Revise all the important concepts with our 70 SQL interview questions. Prepare yourself for the upcoming SQL interviews by solving practice problems.</t>
        </is>
      </c>
      <c r="D416" s="2" t="inlineStr">
        <is>
          <t>Indexing and query optimization - indexing</t>
        </is>
      </c>
      <c r="E416" s="2" t="n">
        <v>31</v>
      </c>
      <c r="F416" s="2" t="inlineStr">
        <is>
          <t>Query Performance Enhancement</t>
        </is>
      </c>
      <c r="G416" s="2" t="inlineStr">
        <is>
          <t>SQLMCQ31</t>
        </is>
      </c>
      <c r="H416" s="2" t="inlineStr"/>
      <c r="I416" s="2" t="inlineStr">
        <is>
          <t>Easy</t>
        </is>
      </c>
      <c r="J416" s="3">
        <f>HYPERLINK("https://www.codechef.com/problems/SQLMCQ31", "https://www.codechef.com/problems/SQLMCQ31")</f>
        <v/>
      </c>
      <c r="K416" s="2" t="inlineStr"/>
      <c r="L416" s="2" t="inlineStr"/>
      <c r="M416" s="2" t="inlineStr"/>
      <c r="N416" s="2" t="inlineStr">
        <is>
          <t>No</t>
        </is>
      </c>
      <c r="O416" s="2" t="inlineStr">
        <is>
          <t>Unattempted</t>
        </is>
      </c>
    </row>
    <row r="417">
      <c r="A417" s="4" t="inlineStr">
        <is>
          <t>Interview Questions</t>
        </is>
      </c>
      <c r="B417" s="4" t="inlineStr">
        <is>
          <t>Top SQL Interview Questions</t>
        </is>
      </c>
      <c r="C417" s="4" t="inlineStr">
        <is>
          <t>Revise all the important concepts with our 70 SQL interview questions. Prepare yourself for the upcoming SQL interviews by solving practice problems.</t>
        </is>
      </c>
      <c r="D417" s="4" t="inlineStr">
        <is>
          <t>Indexing and query optimization - indexing</t>
        </is>
      </c>
      <c r="E417" s="4" t="n">
        <v>32</v>
      </c>
      <c r="F417" s="4" t="inlineStr">
        <is>
          <t>Index Type Selection</t>
        </is>
      </c>
      <c r="G417" s="4" t="inlineStr">
        <is>
          <t>SQLMCQ32</t>
        </is>
      </c>
      <c r="H417" s="4" t="inlineStr"/>
      <c r="I417" s="4" t="inlineStr">
        <is>
          <t>Medium</t>
        </is>
      </c>
      <c r="J417" s="5">
        <f>HYPERLINK("https://www.codechef.com/problems/SQLMCQ32", "https://www.codechef.com/problems/SQLMCQ32")</f>
        <v/>
      </c>
      <c r="K417" s="4" t="inlineStr"/>
      <c r="L417" s="4" t="inlineStr"/>
      <c r="M417" s="4" t="inlineStr"/>
      <c r="N417" s="4" t="inlineStr">
        <is>
          <t>No</t>
        </is>
      </c>
      <c r="O417" s="4" t="inlineStr">
        <is>
          <t>Unattempted</t>
        </is>
      </c>
    </row>
    <row r="418">
      <c r="A418" s="2" t="inlineStr">
        <is>
          <t>Interview Questions</t>
        </is>
      </c>
      <c r="B418" s="2" t="inlineStr">
        <is>
          <t>Top SQL Interview Questions</t>
        </is>
      </c>
      <c r="C418" s="2" t="inlineStr">
        <is>
          <t>Revise all the important concepts with our 70 SQL interview questions. Prepare yourself for the upcoming SQL interviews by solving practice problems.</t>
        </is>
      </c>
      <c r="D418" s="2" t="inlineStr">
        <is>
          <t>Indexing and query optimization - indexing</t>
        </is>
      </c>
      <c r="E418" s="2" t="n">
        <v>33</v>
      </c>
      <c r="F418" s="2" t="inlineStr">
        <is>
          <t>Query Plan Analysis</t>
        </is>
      </c>
      <c r="G418" s="2" t="inlineStr">
        <is>
          <t>SQLMCQ33</t>
        </is>
      </c>
      <c r="H418" s="2" t="inlineStr"/>
      <c r="I418" s="2" t="inlineStr">
        <is>
          <t>Easy</t>
        </is>
      </c>
      <c r="J418" s="3">
        <f>HYPERLINK("https://www.codechef.com/problems/SQLMCQ33", "https://www.codechef.com/problems/SQLMCQ33")</f>
        <v/>
      </c>
      <c r="K418" s="2" t="inlineStr"/>
      <c r="L418" s="2" t="inlineStr"/>
      <c r="M418" s="2" t="inlineStr"/>
      <c r="N418" s="2" t="inlineStr">
        <is>
          <t>No</t>
        </is>
      </c>
      <c r="O418" s="2" t="inlineStr">
        <is>
          <t>Unattempted</t>
        </is>
      </c>
    </row>
    <row r="419">
      <c r="A419" s="4" t="inlineStr">
        <is>
          <t>Interview Questions</t>
        </is>
      </c>
      <c r="B419" s="4" t="inlineStr">
        <is>
          <t>Top SQL Interview Questions</t>
        </is>
      </c>
      <c r="C419" s="4" t="inlineStr">
        <is>
          <t>Revise all the important concepts with our 70 SQL interview questions. Prepare yourself for the upcoming SQL interviews by solving practice problems.</t>
        </is>
      </c>
      <c r="D419" s="4" t="inlineStr">
        <is>
          <t>Indexing and query optimization - indexing</t>
        </is>
      </c>
      <c r="E419" s="4" t="n">
        <v>34</v>
      </c>
      <c r="F419" s="4" t="inlineStr">
        <is>
          <t>Indexing Strategy</t>
        </is>
      </c>
      <c r="G419" s="4" t="inlineStr">
        <is>
          <t>SQLMCQ34</t>
        </is>
      </c>
      <c r="H419" s="4" t="inlineStr"/>
      <c r="I419" s="4" t="inlineStr">
        <is>
          <t>Easy</t>
        </is>
      </c>
      <c r="J419" s="5">
        <f>HYPERLINK("https://www.codechef.com/problems/SQLMCQ34", "https://www.codechef.com/problems/SQLMCQ34")</f>
        <v/>
      </c>
      <c r="K419" s="4" t="inlineStr"/>
      <c r="L419" s="4" t="inlineStr"/>
      <c r="M419" s="4" t="inlineStr"/>
      <c r="N419" s="4" t="inlineStr">
        <is>
          <t>No</t>
        </is>
      </c>
      <c r="O419" s="4" t="inlineStr">
        <is>
          <t>Unattempted</t>
        </is>
      </c>
    </row>
    <row r="420">
      <c r="A420" s="2" t="inlineStr">
        <is>
          <t>Interview Questions</t>
        </is>
      </c>
      <c r="B420" s="2" t="inlineStr">
        <is>
          <t>Top SQL Interview Questions</t>
        </is>
      </c>
      <c r="C420" s="2" t="inlineStr">
        <is>
          <t>Revise all the important concepts with our 70 SQL interview questions. Prepare yourself for the upcoming SQL interviews by solving practice problems.</t>
        </is>
      </c>
      <c r="D420" s="2" t="inlineStr">
        <is>
          <t>Indexing and query optimization - indexing</t>
        </is>
      </c>
      <c r="E420" s="2" t="n">
        <v>35</v>
      </c>
      <c r="F420" s="2" t="inlineStr">
        <is>
          <t>Optimization Technique</t>
        </is>
      </c>
      <c r="G420" s="2" t="inlineStr">
        <is>
          <t>SQLMCQ35</t>
        </is>
      </c>
      <c r="H420" s="2" t="inlineStr"/>
      <c r="I420" s="2" t="inlineStr">
        <is>
          <t>Easy</t>
        </is>
      </c>
      <c r="J420" s="3">
        <f>HYPERLINK("https://www.codechef.com/problems/SQLMCQ35", "https://www.codechef.com/problems/SQLMCQ35")</f>
        <v/>
      </c>
      <c r="K420" s="2" t="inlineStr"/>
      <c r="L420" s="2" t="inlineStr"/>
      <c r="M420" s="2" t="inlineStr"/>
      <c r="N420" s="2" t="inlineStr">
        <is>
          <t>No</t>
        </is>
      </c>
      <c r="O420" s="2" t="inlineStr">
        <is>
          <t>Unattempted</t>
        </is>
      </c>
    </row>
    <row r="421">
      <c r="A421" s="4" t="inlineStr">
        <is>
          <t>Interview Questions</t>
        </is>
      </c>
      <c r="B421" s="4" t="inlineStr">
        <is>
          <t>Top SQL Interview Questions</t>
        </is>
      </c>
      <c r="C421" s="4" t="inlineStr">
        <is>
          <t>Revise all the important concepts with our 70 SQL interview questions. Prepare yourself for the upcoming SQL interviews by solving practice problems.</t>
        </is>
      </c>
      <c r="D421" s="4" t="inlineStr">
        <is>
          <t>Data manipulation (INSERT, UPDATE, DELETE) - insert, update, delete</t>
        </is>
      </c>
      <c r="E421" s="4" t="n">
        <v>36</v>
      </c>
      <c r="F421" s="4" t="inlineStr">
        <is>
          <t>SQL Manipulation Basics</t>
        </is>
      </c>
      <c r="G421" s="4" t="inlineStr">
        <is>
          <t>SQLMCQ36</t>
        </is>
      </c>
      <c r="H421" s="4" t="inlineStr"/>
      <c r="I421" s="4" t="inlineStr">
        <is>
          <t>Easy</t>
        </is>
      </c>
      <c r="J421" s="5">
        <f>HYPERLINK("https://www.codechef.com/problems/SQLMCQ36", "https://www.codechef.com/problems/SQLMCQ36")</f>
        <v/>
      </c>
      <c r="K421" s="4" t="inlineStr"/>
      <c r="L421" s="4" t="inlineStr"/>
      <c r="M421" s="4" t="inlineStr"/>
      <c r="N421" s="4" t="inlineStr">
        <is>
          <t>No</t>
        </is>
      </c>
      <c r="O421" s="4" t="inlineStr">
        <is>
          <t>Unattempted</t>
        </is>
      </c>
    </row>
    <row r="422">
      <c r="A422" s="2" t="inlineStr">
        <is>
          <t>Interview Questions</t>
        </is>
      </c>
      <c r="B422" s="2" t="inlineStr">
        <is>
          <t>Top SQL Interview Questions</t>
        </is>
      </c>
      <c r="C422" s="2" t="inlineStr">
        <is>
          <t>Revise all the important concepts with our 70 SQL interview questions. Prepare yourself for the upcoming SQL interviews by solving practice problems.</t>
        </is>
      </c>
      <c r="D422" s="2" t="inlineStr">
        <is>
          <t>Data manipulation (INSERT, UPDATE, DELETE) - insert, update, delete</t>
        </is>
      </c>
      <c r="E422" s="2" t="n">
        <v>37</v>
      </c>
      <c r="F422" s="2" t="inlineStr">
        <is>
          <t>Modifying Existing Data</t>
        </is>
      </c>
      <c r="G422" s="2" t="inlineStr">
        <is>
          <t>SQLMCQ37</t>
        </is>
      </c>
      <c r="H422" s="2" t="inlineStr"/>
      <c r="I422" s="2" t="inlineStr">
        <is>
          <t>Easy</t>
        </is>
      </c>
      <c r="J422" s="3">
        <f>HYPERLINK("https://www.codechef.com/problems/SQLMCQ37", "https://www.codechef.com/problems/SQLMCQ37")</f>
        <v/>
      </c>
      <c r="K422" s="2" t="inlineStr"/>
      <c r="L422" s="2" t="inlineStr"/>
      <c r="M422" s="2" t="inlineStr"/>
      <c r="N422" s="2" t="inlineStr">
        <is>
          <t>No</t>
        </is>
      </c>
      <c r="O422" s="2" t="inlineStr">
        <is>
          <t>Unattempted</t>
        </is>
      </c>
    </row>
    <row r="423">
      <c r="A423" s="4" t="inlineStr">
        <is>
          <t>Interview Questions</t>
        </is>
      </c>
      <c r="B423" s="4" t="inlineStr">
        <is>
          <t>Top SQL Interview Questions</t>
        </is>
      </c>
      <c r="C423" s="4" t="inlineStr">
        <is>
          <t>Revise all the important concepts with our 70 SQL interview questions. Prepare yourself for the upcoming SQL interviews by solving practice problems.</t>
        </is>
      </c>
      <c r="D423" s="4" t="inlineStr">
        <is>
          <t>Data manipulation (INSERT, UPDATE, DELETE) - insert, update, delete</t>
        </is>
      </c>
      <c r="E423" s="4" t="n">
        <v>38</v>
      </c>
      <c r="F423" s="4" t="inlineStr">
        <is>
          <t>Data Removal</t>
        </is>
      </c>
      <c r="G423" s="4" t="inlineStr">
        <is>
          <t>SQLMCQ38</t>
        </is>
      </c>
      <c r="H423" s="4" t="inlineStr"/>
      <c r="I423" s="4" t="inlineStr">
        <is>
          <t>Easy</t>
        </is>
      </c>
      <c r="J423" s="5">
        <f>HYPERLINK("https://www.codechef.com/problems/SQLMCQ38", "https://www.codechef.com/problems/SQLMCQ38")</f>
        <v/>
      </c>
      <c r="K423" s="4" t="inlineStr"/>
      <c r="L423" s="4" t="inlineStr"/>
      <c r="M423" s="4" t="inlineStr"/>
      <c r="N423" s="4" t="inlineStr">
        <is>
          <t>No</t>
        </is>
      </c>
      <c r="O423" s="4" t="inlineStr">
        <is>
          <t>Unattempted</t>
        </is>
      </c>
    </row>
    <row r="424">
      <c r="A424" s="2" t="inlineStr">
        <is>
          <t>Interview Questions</t>
        </is>
      </c>
      <c r="B424" s="2" t="inlineStr">
        <is>
          <t>Top SQL Interview Questions</t>
        </is>
      </c>
      <c r="C424" s="2" t="inlineStr">
        <is>
          <t>Revise all the important concepts with our 70 SQL interview questions. Prepare yourself for the upcoming SQL interviews by solving practice problems.</t>
        </is>
      </c>
      <c r="D424" s="2" t="inlineStr">
        <is>
          <t>Data manipulation (INSERT, UPDATE, DELETE) - insert, update, delete</t>
        </is>
      </c>
      <c r="E424" s="2" t="n">
        <v>39</v>
      </c>
      <c r="F424" s="2" t="inlineStr">
        <is>
          <t>Insertion Technique</t>
        </is>
      </c>
      <c r="G424" s="2" t="inlineStr">
        <is>
          <t>SQLMCQ39</t>
        </is>
      </c>
      <c r="H424" s="2" t="inlineStr"/>
      <c r="I424" s="2" t="inlineStr">
        <is>
          <t>Easy</t>
        </is>
      </c>
      <c r="J424" s="3">
        <f>HYPERLINK("https://www.codechef.com/problems/SQLMCQ39", "https://www.codechef.com/problems/SQLMCQ39")</f>
        <v/>
      </c>
      <c r="K424" s="2" t="inlineStr"/>
      <c r="L424" s="2" t="inlineStr"/>
      <c r="M424" s="2" t="inlineStr"/>
      <c r="N424" s="2" t="inlineStr">
        <is>
          <t>No</t>
        </is>
      </c>
      <c r="O424" s="2" t="inlineStr">
        <is>
          <t>Unattempted</t>
        </is>
      </c>
    </row>
    <row r="425">
      <c r="A425" s="4" t="inlineStr">
        <is>
          <t>Interview Questions</t>
        </is>
      </c>
      <c r="B425" s="4" t="inlineStr">
        <is>
          <t>Top SQL Interview Questions</t>
        </is>
      </c>
      <c r="C425" s="4" t="inlineStr">
        <is>
          <t>Revise all the important concepts with our 70 SQL interview questions. Prepare yourself for the upcoming SQL interviews by solving practice problems.</t>
        </is>
      </c>
      <c r="D425" s="4" t="inlineStr">
        <is>
          <t>Data manipulation (INSERT, UPDATE, DELETE) - insert, update, delete</t>
        </is>
      </c>
      <c r="E425" s="4" t="n">
        <v>40</v>
      </c>
      <c r="F425" s="4" t="inlineStr">
        <is>
          <t>Data Manipulation Safety</t>
        </is>
      </c>
      <c r="G425" s="4" t="inlineStr">
        <is>
          <t>SQLMCQ40</t>
        </is>
      </c>
      <c r="H425" s="4" t="inlineStr"/>
      <c r="I425" s="4" t="inlineStr">
        <is>
          <t>Easy</t>
        </is>
      </c>
      <c r="J425" s="5">
        <f>HYPERLINK("https://www.codechef.com/problems/SQLMCQ40", "https://www.codechef.com/problems/SQLMCQ40")</f>
        <v/>
      </c>
      <c r="K425" s="4" t="inlineStr"/>
      <c r="L425" s="4" t="inlineStr"/>
      <c r="M425" s="4" t="inlineStr"/>
      <c r="N425" s="4" t="inlineStr">
        <is>
          <t>No</t>
        </is>
      </c>
      <c r="O425" s="4" t="inlineStr">
        <is>
          <t>Unattempted</t>
        </is>
      </c>
    </row>
    <row r="426">
      <c r="A426" s="2" t="inlineStr">
        <is>
          <t>Interview Questions</t>
        </is>
      </c>
      <c r="B426" s="2" t="inlineStr">
        <is>
          <t>Top SQL Interview Questions</t>
        </is>
      </c>
      <c r="C426" s="2" t="inlineStr">
        <is>
          <t>Revise all the important concepts with our 70 SQL interview questions. Prepare yourself for the upcoming SQL interviews by solving practice problems.</t>
        </is>
      </c>
      <c r="D426" s="2" t="inlineStr">
        <is>
          <t>Table creation and data definition language (DDL) - table creation</t>
        </is>
      </c>
      <c r="E426" s="2" t="n">
        <v>41</v>
      </c>
      <c r="F426" s="2" t="inlineStr">
        <is>
          <t>Database Modification</t>
        </is>
      </c>
      <c r="G426" s="2" t="inlineStr">
        <is>
          <t>SQLMCQ41</t>
        </is>
      </c>
      <c r="H426" s="2" t="inlineStr"/>
      <c r="I426" s="2" t="inlineStr">
        <is>
          <t>Easy</t>
        </is>
      </c>
      <c r="J426" s="3">
        <f>HYPERLINK("https://www.codechef.com/problems/SQLMCQ41", "https://www.codechef.com/problems/SQLMCQ41")</f>
        <v/>
      </c>
      <c r="K426" s="2" t="inlineStr"/>
      <c r="L426" s="2" t="inlineStr"/>
      <c r="M426" s="2" t="inlineStr"/>
      <c r="N426" s="2" t="inlineStr">
        <is>
          <t>No</t>
        </is>
      </c>
      <c r="O426" s="2" t="inlineStr">
        <is>
          <t>Unattempted</t>
        </is>
      </c>
    </row>
    <row r="427">
      <c r="A427" s="4" t="inlineStr">
        <is>
          <t>Interview Questions</t>
        </is>
      </c>
      <c r="B427" s="4" t="inlineStr">
        <is>
          <t>Top SQL Interview Questions</t>
        </is>
      </c>
      <c r="C427" s="4" t="inlineStr">
        <is>
          <t>Revise all the important concepts with our 70 SQL interview questions. Prepare yourself for the upcoming SQL interviews by solving practice problems.</t>
        </is>
      </c>
      <c r="D427" s="4" t="inlineStr">
        <is>
          <t>Table creation and data definition language (DDL) - table creation</t>
        </is>
      </c>
      <c r="E427" s="4" t="n">
        <v>42</v>
      </c>
      <c r="F427" s="4" t="inlineStr">
        <is>
          <t>Table Creation Syntax</t>
        </is>
      </c>
      <c r="G427" s="4" t="inlineStr">
        <is>
          <t>SQLMCQ42</t>
        </is>
      </c>
      <c r="H427" s="4" t="inlineStr"/>
      <c r="I427" s="4" t="inlineStr">
        <is>
          <t>Easy</t>
        </is>
      </c>
      <c r="J427" s="5">
        <f>HYPERLINK("https://www.codechef.com/problems/SQLMCQ42", "https://www.codechef.com/problems/SQLMCQ42")</f>
        <v/>
      </c>
      <c r="K427" s="4" t="inlineStr"/>
      <c r="L427" s="4" t="inlineStr"/>
      <c r="M427" s="4" t="inlineStr"/>
      <c r="N427" s="4" t="inlineStr">
        <is>
          <t>No</t>
        </is>
      </c>
      <c r="O427" s="4" t="inlineStr">
        <is>
          <t>Unattempted</t>
        </is>
      </c>
    </row>
    <row r="428">
      <c r="A428" s="2" t="inlineStr">
        <is>
          <t>Interview Questions</t>
        </is>
      </c>
      <c r="B428" s="2" t="inlineStr">
        <is>
          <t>Top SQL Interview Questions</t>
        </is>
      </c>
      <c r="C428" s="2" t="inlineStr">
        <is>
          <t>Revise all the important concepts with our 70 SQL interview questions. Prepare yourself for the upcoming SQL interviews by solving practice problems.</t>
        </is>
      </c>
      <c r="D428" s="2" t="inlineStr">
        <is>
          <t>Table creation and data definition language (DDL) - table creation</t>
        </is>
      </c>
      <c r="E428" s="2" t="n">
        <v>43</v>
      </c>
      <c r="F428" s="2" t="inlineStr">
        <is>
          <t>Constraint Implementation</t>
        </is>
      </c>
      <c r="G428" s="2" t="inlineStr">
        <is>
          <t>SQLMCQ43</t>
        </is>
      </c>
      <c r="H428" s="2" t="inlineStr"/>
      <c r="I428" s="2" t="inlineStr">
        <is>
          <t>Easy</t>
        </is>
      </c>
      <c r="J428" s="3">
        <f>HYPERLINK("https://www.codechef.com/problems/SQLMCQ43", "https://www.codechef.com/problems/SQLMCQ43")</f>
        <v/>
      </c>
      <c r="K428" s="2" t="inlineStr"/>
      <c r="L428" s="2" t="inlineStr"/>
      <c r="M428" s="2" t="inlineStr"/>
      <c r="N428" s="2" t="inlineStr">
        <is>
          <t>No</t>
        </is>
      </c>
      <c r="O428" s="2" t="inlineStr">
        <is>
          <t>Unattempted</t>
        </is>
      </c>
    </row>
    <row r="429">
      <c r="A429" s="4" t="inlineStr">
        <is>
          <t>Interview Questions</t>
        </is>
      </c>
      <c r="B429" s="4" t="inlineStr">
        <is>
          <t>Top SQL Interview Questions</t>
        </is>
      </c>
      <c r="C429" s="4" t="inlineStr">
        <is>
          <t>Revise all the important concepts with our 70 SQL interview questions. Prepare yourself for the upcoming SQL interviews by solving practice problems.</t>
        </is>
      </c>
      <c r="D429" s="4" t="inlineStr">
        <is>
          <t>Table creation and data definition language (DDL) - table creation</t>
        </is>
      </c>
      <c r="E429" s="4" t="n">
        <v>44</v>
      </c>
      <c r="F429" s="4" t="inlineStr">
        <is>
          <t>Data Type Selection</t>
        </is>
      </c>
      <c r="G429" s="4" t="inlineStr">
        <is>
          <t>SQLMCQ44</t>
        </is>
      </c>
      <c r="H429" s="4" t="inlineStr"/>
      <c r="I429" s="4" t="inlineStr">
        <is>
          <t>Easy</t>
        </is>
      </c>
      <c r="J429" s="5">
        <f>HYPERLINK("https://www.codechef.com/problems/SQLMCQ44", "https://www.codechef.com/problems/SQLMCQ44")</f>
        <v/>
      </c>
      <c r="K429" s="4" t="inlineStr"/>
      <c r="L429" s="4" t="inlineStr"/>
      <c r="M429" s="4" t="inlineStr"/>
      <c r="N429" s="4" t="inlineStr">
        <is>
          <t>No</t>
        </is>
      </c>
      <c r="O429" s="4" t="inlineStr">
        <is>
          <t>Unattempted</t>
        </is>
      </c>
    </row>
    <row r="430">
      <c r="A430" s="2" t="inlineStr">
        <is>
          <t>Interview Questions</t>
        </is>
      </c>
      <c r="B430" s="2" t="inlineStr">
        <is>
          <t>Top SQL Interview Questions</t>
        </is>
      </c>
      <c r="C430" s="2" t="inlineStr">
        <is>
          <t>Revise all the important concepts with our 70 SQL interview questions. Prepare yourself for the upcoming SQL interviews by solving practice problems.</t>
        </is>
      </c>
      <c r="D430" s="2" t="inlineStr">
        <is>
          <t>Table creation and data definition language (DDL) - table creation</t>
        </is>
      </c>
      <c r="E430" s="2" t="n">
        <v>45</v>
      </c>
      <c r="F430" s="2" t="inlineStr">
        <is>
          <t>Table Removal</t>
        </is>
      </c>
      <c r="G430" s="2" t="inlineStr">
        <is>
          <t>SQLMCQ45</t>
        </is>
      </c>
      <c r="H430" s="2" t="inlineStr"/>
      <c r="I430" s="2" t="inlineStr">
        <is>
          <t>Easy</t>
        </is>
      </c>
      <c r="J430" s="3">
        <f>HYPERLINK("https://www.codechef.com/problems/SQLMCQ45", "https://www.codechef.com/problems/SQLMCQ45")</f>
        <v/>
      </c>
      <c r="K430" s="2" t="inlineStr"/>
      <c r="L430" s="2" t="inlineStr"/>
      <c r="M430" s="2" t="inlineStr"/>
      <c r="N430" s="2" t="inlineStr">
        <is>
          <t>No</t>
        </is>
      </c>
      <c r="O430" s="2" t="inlineStr">
        <is>
          <t>Unattempted</t>
        </is>
      </c>
    </row>
    <row r="431">
      <c r="A431" s="4" t="inlineStr">
        <is>
          <t>Interview Questions</t>
        </is>
      </c>
      <c r="B431" s="4" t="inlineStr">
        <is>
          <t>Top SQL Interview Questions</t>
        </is>
      </c>
      <c r="C431" s="4" t="inlineStr">
        <is>
          <t>Revise all the important concepts with our 70 SQL interview questions. Prepare yourself for the upcoming SQL interviews by solving practice problems.</t>
        </is>
      </c>
      <c r="D431" s="4" t="inlineStr">
        <is>
          <t>Views and temporary tables - views</t>
        </is>
      </c>
      <c r="E431" s="4" t="n">
        <v>46</v>
      </c>
      <c r="F431" s="4" t="inlineStr">
        <is>
          <t>Database Object Comparison</t>
        </is>
      </c>
      <c r="G431" s="4" t="inlineStr">
        <is>
          <t>SQLMCQ46</t>
        </is>
      </c>
      <c r="H431" s="4" t="inlineStr"/>
      <c r="I431" s="4" t="inlineStr">
        <is>
          <t>Easy</t>
        </is>
      </c>
      <c r="J431" s="5">
        <f>HYPERLINK("https://www.codechef.com/problems/SQLMCQ46", "https://www.codechef.com/problems/SQLMCQ46")</f>
        <v/>
      </c>
      <c r="K431" s="4" t="inlineStr"/>
      <c r="L431" s="4" t="inlineStr"/>
      <c r="M431" s="4" t="inlineStr"/>
      <c r="N431" s="4" t="inlineStr">
        <is>
          <t>No</t>
        </is>
      </c>
      <c r="O431" s="4" t="inlineStr">
        <is>
          <t>Unattempted</t>
        </is>
      </c>
    </row>
    <row r="432">
      <c r="A432" s="2" t="inlineStr">
        <is>
          <t>Interview Questions</t>
        </is>
      </c>
      <c r="B432" s="2" t="inlineStr">
        <is>
          <t>Top SQL Interview Questions</t>
        </is>
      </c>
      <c r="C432" s="2" t="inlineStr">
        <is>
          <t>Revise all the important concepts with our 70 SQL interview questions. Prepare yourself for the upcoming SQL interviews by solving practice problems.</t>
        </is>
      </c>
      <c r="D432" s="2" t="inlineStr">
        <is>
          <t>Views and temporary tables - views</t>
        </is>
      </c>
      <c r="E432" s="2" t="n">
        <v>47</v>
      </c>
      <c r="F432" s="2" t="inlineStr">
        <is>
          <t>Database Object Lifespan</t>
        </is>
      </c>
      <c r="G432" s="2" t="inlineStr">
        <is>
          <t>SQLMCQ47</t>
        </is>
      </c>
      <c r="H432" s="2" t="inlineStr"/>
      <c r="I432" s="2" t="inlineStr">
        <is>
          <t>Easy</t>
        </is>
      </c>
      <c r="J432" s="3">
        <f>HYPERLINK("https://www.codechef.com/problems/SQLMCQ47", "https://www.codechef.com/problems/SQLMCQ47")</f>
        <v/>
      </c>
      <c r="K432" s="2" t="inlineStr"/>
      <c r="L432" s="2" t="inlineStr"/>
      <c r="M432" s="2" t="inlineStr"/>
      <c r="N432" s="2" t="inlineStr">
        <is>
          <t>No</t>
        </is>
      </c>
      <c r="O432" s="2" t="inlineStr">
        <is>
          <t>Unattempted</t>
        </is>
      </c>
    </row>
    <row r="433">
      <c r="A433" s="4" t="inlineStr">
        <is>
          <t>Interview Questions</t>
        </is>
      </c>
      <c r="B433" s="4" t="inlineStr">
        <is>
          <t>Top SQL Interview Questions</t>
        </is>
      </c>
      <c r="C433" s="4" t="inlineStr">
        <is>
          <t>Revise all the important concepts with our 70 SQL interview questions. Prepare yourself for the upcoming SQL interviews by solving practice problems.</t>
        </is>
      </c>
      <c r="D433" s="4" t="inlineStr">
        <is>
          <t>Views and temporary tables - views</t>
        </is>
      </c>
      <c r="E433" s="4" t="n">
        <v>48</v>
      </c>
      <c r="F433" s="4" t="inlineStr">
        <is>
          <t>SQL Performance Optimization</t>
        </is>
      </c>
      <c r="G433" s="4" t="inlineStr">
        <is>
          <t>SQLMCQ48</t>
        </is>
      </c>
      <c r="H433" s="4" t="inlineStr"/>
      <c r="I433" s="4" t="inlineStr">
        <is>
          <t>Easy</t>
        </is>
      </c>
      <c r="J433" s="5">
        <f>HYPERLINK("https://www.codechef.com/problems/SQLMCQ48", "https://www.codechef.com/problems/SQLMCQ48")</f>
        <v/>
      </c>
      <c r="K433" s="4" t="inlineStr"/>
      <c r="L433" s="4" t="inlineStr"/>
      <c r="M433" s="4" t="inlineStr"/>
      <c r="N433" s="4" t="inlineStr">
        <is>
          <t>No</t>
        </is>
      </c>
      <c r="O433" s="4" t="inlineStr">
        <is>
          <t>Unattempted</t>
        </is>
      </c>
    </row>
    <row r="434">
      <c r="A434" s="2" t="inlineStr">
        <is>
          <t>Interview Questions</t>
        </is>
      </c>
      <c r="B434" s="2" t="inlineStr">
        <is>
          <t>Top SQL Interview Questions</t>
        </is>
      </c>
      <c r="C434" s="2" t="inlineStr">
        <is>
          <t>Revise all the important concepts with our 70 SQL interview questions. Prepare yourself for the upcoming SQL interviews by solving practice problems.</t>
        </is>
      </c>
      <c r="D434" s="2" t="inlineStr">
        <is>
          <t>Views and temporary tables - views</t>
        </is>
      </c>
      <c r="E434" s="2" t="n">
        <v>49</v>
      </c>
      <c r="F434" s="2" t="inlineStr">
        <is>
          <t>SQL Data Manipulation</t>
        </is>
      </c>
      <c r="G434" s="2" t="inlineStr">
        <is>
          <t>SQLMCQ49</t>
        </is>
      </c>
      <c r="H434" s="2" t="inlineStr"/>
      <c r="I434" s="2" t="inlineStr">
        <is>
          <t>Medium</t>
        </is>
      </c>
      <c r="J434" s="3">
        <f>HYPERLINK("https://www.codechef.com/problems/SQLMCQ49", "https://www.codechef.com/problems/SQLMCQ49")</f>
        <v/>
      </c>
      <c r="K434" s="2" t="inlineStr"/>
      <c r="L434" s="2" t="inlineStr"/>
      <c r="M434" s="2" t="inlineStr"/>
      <c r="N434" s="2" t="inlineStr">
        <is>
          <t>No</t>
        </is>
      </c>
      <c r="O434" s="2" t="inlineStr">
        <is>
          <t>Unattempted</t>
        </is>
      </c>
    </row>
    <row r="435">
      <c r="A435" s="4" t="inlineStr">
        <is>
          <t>Interview Questions</t>
        </is>
      </c>
      <c r="B435" s="4" t="inlineStr">
        <is>
          <t>Top SQL Interview Questions</t>
        </is>
      </c>
      <c r="C435" s="4" t="inlineStr">
        <is>
          <t>Revise all the important concepts with our 70 SQL interview questions. Prepare yourself for the upcoming SQL interviews by solving practice problems.</t>
        </is>
      </c>
      <c r="D435" s="4" t="inlineStr">
        <is>
          <t>Views and temporary tables - views</t>
        </is>
      </c>
      <c r="E435" s="4" t="n">
        <v>50</v>
      </c>
      <c r="F435" s="4" t="inlineStr">
        <is>
          <t>SQL Object Persistence</t>
        </is>
      </c>
      <c r="G435" s="4" t="inlineStr">
        <is>
          <t>SQLMCQ50</t>
        </is>
      </c>
      <c r="H435" s="4" t="inlineStr"/>
      <c r="I435" s="4" t="inlineStr">
        <is>
          <t>Easy</t>
        </is>
      </c>
      <c r="J435" s="5">
        <f>HYPERLINK("https://www.codechef.com/problems/SQLMCQ50", "https://www.codechef.com/problems/SQLMCQ50")</f>
        <v/>
      </c>
      <c r="K435" s="4" t="inlineStr"/>
      <c r="L435" s="4" t="inlineStr"/>
      <c r="M435" s="4" t="inlineStr"/>
      <c r="N435" s="4" t="inlineStr">
        <is>
          <t>No</t>
        </is>
      </c>
      <c r="O435" s="4" t="inlineStr">
        <is>
          <t>Unattempted</t>
        </is>
      </c>
    </row>
    <row r="436">
      <c r="A436" s="2" t="inlineStr">
        <is>
          <t>Interview Questions</t>
        </is>
      </c>
      <c r="B436" s="2" t="inlineStr">
        <is>
          <t>Top SQL Interview Questions</t>
        </is>
      </c>
      <c r="C436" s="2" t="inlineStr">
        <is>
          <t>Revise all the important concepts with our 70 SQL interview questions. Prepare yourself for the upcoming SQL interviews by solving practice problems.</t>
        </is>
      </c>
      <c r="D436" s="2" t="inlineStr">
        <is>
          <t>Window functions - window function</t>
        </is>
      </c>
      <c r="E436" s="2" t="n">
        <v>51</v>
      </c>
      <c r="F436" s="2" t="inlineStr">
        <is>
          <t>SQL Function Purpose</t>
        </is>
      </c>
      <c r="G436" s="2" t="inlineStr">
        <is>
          <t>SQLMCQ51</t>
        </is>
      </c>
      <c r="H436" s="2" t="inlineStr"/>
      <c r="I436" s="2" t="inlineStr">
        <is>
          <t>Medium</t>
        </is>
      </c>
      <c r="J436" s="3">
        <f>HYPERLINK("https://www.codechef.com/problems/SQLMCQ51", "https://www.codechef.com/problems/SQLMCQ51")</f>
        <v/>
      </c>
      <c r="K436" s="2" t="inlineStr"/>
      <c r="L436" s="2" t="inlineStr"/>
      <c r="M436" s="2" t="inlineStr"/>
      <c r="N436" s="2" t="inlineStr">
        <is>
          <t>No</t>
        </is>
      </c>
      <c r="O436" s="2" t="inlineStr">
        <is>
          <t>Unattempted</t>
        </is>
      </c>
    </row>
    <row r="437">
      <c r="A437" s="4" t="inlineStr">
        <is>
          <t>Interview Questions</t>
        </is>
      </c>
      <c r="B437" s="4" t="inlineStr">
        <is>
          <t>Top SQL Interview Questions</t>
        </is>
      </c>
      <c r="C437" s="4" t="inlineStr">
        <is>
          <t>Revise all the important concepts with our 70 SQL interview questions. Prepare yourself for the upcoming SQL interviews by solving practice problems.</t>
        </is>
      </c>
      <c r="D437" s="4" t="inlineStr">
        <is>
          <t>Window functions - window function</t>
        </is>
      </c>
      <c r="E437" s="4" t="n">
        <v>52</v>
      </c>
      <c r="F437" s="4" t="inlineStr">
        <is>
          <t>Function Categorization</t>
        </is>
      </c>
      <c r="G437" s="4" t="inlineStr">
        <is>
          <t>SQLMCQ52</t>
        </is>
      </c>
      <c r="H437" s="4" t="inlineStr"/>
      <c r="I437" s="4" t="inlineStr">
        <is>
          <t>Easy</t>
        </is>
      </c>
      <c r="J437" s="5">
        <f>HYPERLINK("https://www.codechef.com/problems/SQLMCQ52", "https://www.codechef.com/problems/SQLMCQ52")</f>
        <v/>
      </c>
      <c r="K437" s="4" t="inlineStr"/>
      <c r="L437" s="4" t="inlineStr"/>
      <c r="M437" s="4" t="inlineStr"/>
      <c r="N437" s="4" t="inlineStr">
        <is>
          <t>No</t>
        </is>
      </c>
      <c r="O437" s="4" t="inlineStr">
        <is>
          <t>Unattempted</t>
        </is>
      </c>
    </row>
    <row r="438">
      <c r="A438" s="2" t="inlineStr">
        <is>
          <t>Interview Questions</t>
        </is>
      </c>
      <c r="B438" s="2" t="inlineStr">
        <is>
          <t>Top SQL Interview Questions</t>
        </is>
      </c>
      <c r="C438" s="2" t="inlineStr">
        <is>
          <t>Revise all the important concepts with our 70 SQL interview questions. Prepare yourself for the upcoming SQL interviews by solving practice problems.</t>
        </is>
      </c>
      <c r="D438" s="2" t="inlineStr">
        <is>
          <t>Window functions - window function</t>
        </is>
      </c>
      <c r="E438" s="2" t="n">
        <v>53</v>
      </c>
      <c r="F438" s="2" t="inlineStr">
        <is>
          <t>Syntax Element</t>
        </is>
      </c>
      <c r="G438" s="2" t="inlineStr">
        <is>
          <t>SQLMCQ53</t>
        </is>
      </c>
      <c r="H438" s="2" t="inlineStr"/>
      <c r="I438" s="2" t="inlineStr">
        <is>
          <t>Easy</t>
        </is>
      </c>
      <c r="J438" s="3">
        <f>HYPERLINK("https://www.codechef.com/problems/SQLMCQ53", "https://www.codechef.com/problems/SQLMCQ53")</f>
        <v/>
      </c>
      <c r="K438" s="2" t="inlineStr"/>
      <c r="L438" s="2" t="inlineStr"/>
      <c r="M438" s="2" t="inlineStr"/>
      <c r="N438" s="2" t="inlineStr">
        <is>
          <t>No</t>
        </is>
      </c>
      <c r="O438" s="2" t="inlineStr">
        <is>
          <t>Unattempted</t>
        </is>
      </c>
    </row>
    <row r="439">
      <c r="A439" s="4" t="inlineStr">
        <is>
          <t>Interview Questions</t>
        </is>
      </c>
      <c r="B439" s="4" t="inlineStr">
        <is>
          <t>Top SQL Interview Questions</t>
        </is>
      </c>
      <c r="C439" s="4" t="inlineStr">
        <is>
          <t>Revise all the important concepts with our 70 SQL interview questions. Prepare yourself for the upcoming SQL interviews by solving practice problems.</t>
        </is>
      </c>
      <c r="D439" s="4" t="inlineStr">
        <is>
          <t>Window functions - window function</t>
        </is>
      </c>
      <c r="E439" s="4" t="n">
        <v>54</v>
      </c>
      <c r="F439" s="4" t="inlineStr">
        <is>
          <t>Function Behavior</t>
        </is>
      </c>
      <c r="G439" s="4" t="inlineStr">
        <is>
          <t>SQLMCQ54</t>
        </is>
      </c>
      <c r="H439" s="4" t="inlineStr"/>
      <c r="I439" s="4" t="inlineStr">
        <is>
          <t>Medium</t>
        </is>
      </c>
      <c r="J439" s="5">
        <f>HYPERLINK("https://www.codechef.com/problems/SQLMCQ54", "https://www.codechef.com/problems/SQLMCQ54")</f>
        <v/>
      </c>
      <c r="K439" s="4" t="inlineStr"/>
      <c r="L439" s="4" t="inlineStr"/>
      <c r="M439" s="4" t="inlineStr"/>
      <c r="N439" s="4" t="inlineStr">
        <is>
          <t>No</t>
        </is>
      </c>
      <c r="O439" s="4" t="inlineStr">
        <is>
          <t>Unattempted</t>
        </is>
      </c>
    </row>
    <row r="440">
      <c r="A440" s="2" t="inlineStr">
        <is>
          <t>Interview Questions</t>
        </is>
      </c>
      <c r="B440" s="2" t="inlineStr">
        <is>
          <t>Top SQL Interview Questions</t>
        </is>
      </c>
      <c r="C440" s="2" t="inlineStr">
        <is>
          <t>Revise all the important concepts with our 70 SQL interview questions. Prepare yourself for the upcoming SQL interviews by solving practice problems.</t>
        </is>
      </c>
      <c r="D440" s="2" t="inlineStr">
        <is>
          <t>Window functions - window function</t>
        </is>
      </c>
      <c r="E440" s="2" t="n">
        <v>55</v>
      </c>
      <c r="F440" s="2" t="inlineStr">
        <is>
          <t>Performance Consideration</t>
        </is>
      </c>
      <c r="G440" s="2" t="inlineStr">
        <is>
          <t>SQLMCQ55</t>
        </is>
      </c>
      <c r="H440" s="2" t="inlineStr"/>
      <c r="I440" s="2" t="inlineStr">
        <is>
          <t>Hard</t>
        </is>
      </c>
      <c r="J440" s="3">
        <f>HYPERLINK("https://www.codechef.com/problems/SQLMCQ55", "https://www.codechef.com/problems/SQLMCQ55")</f>
        <v/>
      </c>
      <c r="K440" s="2" t="inlineStr"/>
      <c r="L440" s="2" t="inlineStr"/>
      <c r="M440" s="2" t="inlineStr"/>
      <c r="N440" s="2" t="inlineStr">
        <is>
          <t>No</t>
        </is>
      </c>
      <c r="O440" s="2" t="inlineStr">
        <is>
          <t>Unattempted</t>
        </is>
      </c>
    </row>
    <row r="441">
      <c r="A441" s="4" t="inlineStr">
        <is>
          <t>Interview Questions</t>
        </is>
      </c>
      <c r="B441" s="4" t="inlineStr">
        <is>
          <t>Top SQL Interview Questions</t>
        </is>
      </c>
      <c r="C441" s="4" t="inlineStr">
        <is>
          <t>Revise all the important concepts with our 70 SQL interview questions. Prepare yourself for the upcoming SQL interviews by solving practice problems.</t>
        </is>
      </c>
      <c r="D441" s="4" t="inlineStr">
        <is>
          <t>Stored procedures and functions - stored procedures</t>
        </is>
      </c>
      <c r="E441" s="4" t="n">
        <v>56</v>
      </c>
      <c r="F441" s="4" t="inlineStr">
        <is>
          <t>SQL Code Encapsulation</t>
        </is>
      </c>
      <c r="G441" s="4" t="inlineStr">
        <is>
          <t>SQLMCQ56</t>
        </is>
      </c>
      <c r="H441" s="4" t="inlineStr"/>
      <c r="I441" s="4" t="inlineStr">
        <is>
          <t>Easy</t>
        </is>
      </c>
      <c r="J441" s="5">
        <f>HYPERLINK("https://www.codechef.com/problems/SQLMCQ56", "https://www.codechef.com/problems/SQLMCQ56")</f>
        <v/>
      </c>
      <c r="K441" s="4" t="inlineStr"/>
      <c r="L441" s="4" t="inlineStr"/>
      <c r="M441" s="4" t="inlineStr"/>
      <c r="N441" s="4" t="inlineStr">
        <is>
          <t>No</t>
        </is>
      </c>
      <c r="O441" s="4" t="inlineStr">
        <is>
          <t>Unattempted</t>
        </is>
      </c>
    </row>
    <row r="442">
      <c r="A442" s="2" t="inlineStr">
        <is>
          <t>Interview Questions</t>
        </is>
      </c>
      <c r="B442" s="2" t="inlineStr">
        <is>
          <t>Top SQL Interview Questions</t>
        </is>
      </c>
      <c r="C442" s="2" t="inlineStr">
        <is>
          <t>Revise all the important concepts with our 70 SQL interview questions. Prepare yourself for the upcoming SQL interviews by solving practice problems.</t>
        </is>
      </c>
      <c r="D442" s="2" t="inlineStr">
        <is>
          <t>Stored procedures and functions - stored procedures</t>
        </is>
      </c>
      <c r="E442" s="2" t="n">
        <v>57</v>
      </c>
      <c r="F442" s="2" t="inlineStr">
        <is>
          <t>Return Value Behavior</t>
        </is>
      </c>
      <c r="G442" s="2" t="inlineStr">
        <is>
          <t>SQLMCQ57</t>
        </is>
      </c>
      <c r="H442" s="2" t="inlineStr"/>
      <c r="I442" s="2" t="inlineStr">
        <is>
          <t>Easy</t>
        </is>
      </c>
      <c r="J442" s="3">
        <f>HYPERLINK("https://www.codechef.com/problems/SQLMCQ57", "https://www.codechef.com/problems/SQLMCQ57")</f>
        <v/>
      </c>
      <c r="K442" s="2" t="inlineStr"/>
      <c r="L442" s="2" t="inlineStr"/>
      <c r="M442" s="2" t="inlineStr"/>
      <c r="N442" s="2" t="inlineStr">
        <is>
          <t>No</t>
        </is>
      </c>
      <c r="O442" s="2" t="inlineStr">
        <is>
          <t>Unattempted</t>
        </is>
      </c>
    </row>
    <row r="443">
      <c r="A443" s="4" t="inlineStr">
        <is>
          <t>Interview Questions</t>
        </is>
      </c>
      <c r="B443" s="4" t="inlineStr">
        <is>
          <t>Top SQL Interview Questions</t>
        </is>
      </c>
      <c r="C443" s="4" t="inlineStr">
        <is>
          <t>Revise all the important concepts with our 70 SQL interview questions. Prepare yourself for the upcoming SQL interviews by solving practice problems.</t>
        </is>
      </c>
      <c r="D443" s="4" t="inlineStr">
        <is>
          <t>Stored procedures and functions - stored procedures</t>
        </is>
      </c>
      <c r="E443" s="4" t="n">
        <v>58</v>
      </c>
      <c r="F443" s="4" t="inlineStr">
        <is>
          <t>Execution Context</t>
        </is>
      </c>
      <c r="G443" s="4" t="inlineStr">
        <is>
          <t>SQLMCQ58</t>
        </is>
      </c>
      <c r="H443" s="4" t="inlineStr"/>
      <c r="I443" s="4" t="inlineStr">
        <is>
          <t>Easy</t>
        </is>
      </c>
      <c r="J443" s="5">
        <f>HYPERLINK("https://www.codechef.com/problems/SQLMCQ58", "https://www.codechef.com/problems/SQLMCQ58")</f>
        <v/>
      </c>
      <c r="K443" s="4" t="inlineStr"/>
      <c r="L443" s="4" t="inlineStr"/>
      <c r="M443" s="4" t="inlineStr"/>
      <c r="N443" s="4" t="inlineStr">
        <is>
          <t>No</t>
        </is>
      </c>
      <c r="O443" s="4" t="inlineStr">
        <is>
          <t>Unattempted</t>
        </is>
      </c>
    </row>
    <row r="444">
      <c r="A444" s="2" t="inlineStr">
        <is>
          <t>Interview Questions</t>
        </is>
      </c>
      <c r="B444" s="2" t="inlineStr">
        <is>
          <t>Top SQL Interview Questions</t>
        </is>
      </c>
      <c r="C444" s="2" t="inlineStr">
        <is>
          <t>Revise all the important concepts with our 70 SQL interview questions. Prepare yourself for the upcoming SQL interviews by solving practice problems.</t>
        </is>
      </c>
      <c r="D444" s="2" t="inlineStr">
        <is>
          <t>Stored procedures and functions - stored procedures</t>
        </is>
      </c>
      <c r="E444" s="2" t="n">
        <v>59</v>
      </c>
      <c r="F444" s="2" t="inlineStr">
        <is>
          <t>Parameter Passing</t>
        </is>
      </c>
      <c r="G444" s="2" t="inlineStr">
        <is>
          <t>SQLMCQ59</t>
        </is>
      </c>
      <c r="H444" s="2" t="inlineStr"/>
      <c r="I444" s="2" t="inlineStr">
        <is>
          <t>Easy</t>
        </is>
      </c>
      <c r="J444" s="3">
        <f>HYPERLINK("https://www.codechef.com/problems/SQLMCQ59", "https://www.codechef.com/problems/SQLMCQ59")</f>
        <v/>
      </c>
      <c r="K444" s="2" t="inlineStr"/>
      <c r="L444" s="2" t="inlineStr"/>
      <c r="M444" s="2" t="inlineStr"/>
      <c r="N444" s="2" t="inlineStr">
        <is>
          <t>No</t>
        </is>
      </c>
      <c r="O444" s="2" t="inlineStr">
        <is>
          <t>Unattempted</t>
        </is>
      </c>
    </row>
    <row r="445">
      <c r="A445" s="4" t="inlineStr">
        <is>
          <t>Interview Questions</t>
        </is>
      </c>
      <c r="B445" s="4" t="inlineStr">
        <is>
          <t>Top SQL Interview Questions</t>
        </is>
      </c>
      <c r="C445" s="4" t="inlineStr">
        <is>
          <t>Revise all the important concepts with our 70 SQL interview questions. Prepare yourself for the upcoming SQL interviews by solving practice problems.</t>
        </is>
      </c>
      <c r="D445" s="4" t="inlineStr">
        <is>
          <t>Stored procedures and functions - stored procedures</t>
        </is>
      </c>
      <c r="E445" s="4" t="n">
        <v>60</v>
      </c>
      <c r="F445" s="4" t="inlineStr">
        <is>
          <t>Performance Consideration</t>
        </is>
      </c>
      <c r="G445" s="4" t="inlineStr">
        <is>
          <t>SQLMCQ60</t>
        </is>
      </c>
      <c r="H445" s="4" t="inlineStr"/>
      <c r="I445" s="4" t="inlineStr">
        <is>
          <t>Easy</t>
        </is>
      </c>
      <c r="J445" s="5">
        <f>HYPERLINK("https://www.codechef.com/problems/SQLMCQ60", "https://www.codechef.com/problems/SQLMCQ60")</f>
        <v/>
      </c>
      <c r="K445" s="4" t="inlineStr"/>
      <c r="L445" s="4" t="inlineStr"/>
      <c r="M445" s="4" t="inlineStr"/>
      <c r="N445" s="4" t="inlineStr">
        <is>
          <t>No</t>
        </is>
      </c>
      <c r="O445" s="4" t="inlineStr">
        <is>
          <t>Unattempted</t>
        </is>
      </c>
    </row>
    <row r="446">
      <c r="A446" s="2" t="inlineStr">
        <is>
          <t>Interview Questions</t>
        </is>
      </c>
      <c r="B446" s="2" t="inlineStr">
        <is>
          <t>Top SQL Interview Questions</t>
        </is>
      </c>
      <c r="C446" s="2" t="inlineStr">
        <is>
          <t>Revise all the important concepts with our 70 SQL interview questions. Prepare yourself for the upcoming SQL interviews by solving practice problems.</t>
        </is>
      </c>
      <c r="D446" s="2" t="inlineStr">
        <is>
          <t>Triggers - trigger</t>
        </is>
      </c>
      <c r="E446" s="2" t="n">
        <v>61</v>
      </c>
      <c r="F446" s="2" t="inlineStr">
        <is>
          <t>Trigger Execution</t>
        </is>
      </c>
      <c r="G446" s="2" t="inlineStr">
        <is>
          <t>SQLMCQ61</t>
        </is>
      </c>
      <c r="H446" s="2" t="inlineStr"/>
      <c r="I446" s="2" t="inlineStr">
        <is>
          <t>Easy</t>
        </is>
      </c>
      <c r="J446" s="3">
        <f>HYPERLINK("https://www.codechef.com/problems/SQLMCQ61", "https://www.codechef.com/problems/SQLMCQ61")</f>
        <v/>
      </c>
      <c r="K446" s="2" t="inlineStr"/>
      <c r="L446" s="2" t="inlineStr"/>
      <c r="M446" s="2" t="inlineStr"/>
      <c r="N446" s="2" t="inlineStr">
        <is>
          <t>No</t>
        </is>
      </c>
      <c r="O446" s="2" t="inlineStr">
        <is>
          <t>Unattempted</t>
        </is>
      </c>
    </row>
    <row r="447">
      <c r="A447" s="4" t="inlineStr">
        <is>
          <t>Interview Questions</t>
        </is>
      </c>
      <c r="B447" s="4" t="inlineStr">
        <is>
          <t>Top SQL Interview Questions</t>
        </is>
      </c>
      <c r="C447" s="4" t="inlineStr">
        <is>
          <t>Revise all the important concepts with our 70 SQL interview questions. Prepare yourself for the upcoming SQL interviews by solving practice problems.</t>
        </is>
      </c>
      <c r="D447" s="4" t="inlineStr">
        <is>
          <t>Triggers - trigger</t>
        </is>
      </c>
      <c r="E447" s="4" t="n">
        <v>62</v>
      </c>
      <c r="F447" s="4" t="inlineStr">
        <is>
          <t>Trigger Types</t>
        </is>
      </c>
      <c r="G447" s="4" t="inlineStr">
        <is>
          <t>SQLMCQ62</t>
        </is>
      </c>
      <c r="H447" s="4" t="inlineStr"/>
      <c r="I447" s="4" t="inlineStr">
        <is>
          <t>Easy</t>
        </is>
      </c>
      <c r="J447" s="5">
        <f>HYPERLINK("https://www.codechef.com/problems/SQLMCQ62", "https://www.codechef.com/problems/SQLMCQ62")</f>
        <v/>
      </c>
      <c r="K447" s="4" t="inlineStr"/>
      <c r="L447" s="4" t="inlineStr"/>
      <c r="M447" s="4" t="inlineStr"/>
      <c r="N447" s="4" t="inlineStr">
        <is>
          <t>No</t>
        </is>
      </c>
      <c r="O447" s="4" t="inlineStr">
        <is>
          <t>Unattempted</t>
        </is>
      </c>
    </row>
    <row r="448">
      <c r="A448" s="2" t="inlineStr">
        <is>
          <t>Interview Questions</t>
        </is>
      </c>
      <c r="B448" s="2" t="inlineStr">
        <is>
          <t>Top SQL Interview Questions</t>
        </is>
      </c>
      <c r="C448" s="2" t="inlineStr">
        <is>
          <t>Revise all the important concepts with our 70 SQL interview questions. Prepare yourself for the upcoming SQL interviews by solving practice problems.</t>
        </is>
      </c>
      <c r="D448" s="2" t="inlineStr">
        <is>
          <t>Triggers - trigger</t>
        </is>
      </c>
      <c r="E448" s="2" t="n">
        <v>63</v>
      </c>
      <c r="F448" s="2" t="inlineStr">
        <is>
          <t>Trigger Scope</t>
        </is>
      </c>
      <c r="G448" s="2" t="inlineStr">
        <is>
          <t>SQLMCQ63</t>
        </is>
      </c>
      <c r="H448" s="2" t="inlineStr"/>
      <c r="I448" s="2" t="inlineStr">
        <is>
          <t>Medium</t>
        </is>
      </c>
      <c r="J448" s="3">
        <f>HYPERLINK("https://www.codechef.com/problems/SQLMCQ63", "https://www.codechef.com/problems/SQLMCQ63")</f>
        <v/>
      </c>
      <c r="K448" s="2" t="inlineStr"/>
      <c r="L448" s="2" t="inlineStr"/>
      <c r="M448" s="2" t="inlineStr"/>
      <c r="N448" s="2" t="inlineStr">
        <is>
          <t>No</t>
        </is>
      </c>
      <c r="O448" s="2" t="inlineStr">
        <is>
          <t>Unattempted</t>
        </is>
      </c>
    </row>
    <row r="449">
      <c r="A449" s="4" t="inlineStr">
        <is>
          <t>Interview Questions</t>
        </is>
      </c>
      <c r="B449" s="4" t="inlineStr">
        <is>
          <t>Top SQL Interview Questions</t>
        </is>
      </c>
      <c r="C449" s="4" t="inlineStr">
        <is>
          <t>Revise all the important concepts with our 70 SQL interview questions. Prepare yourself for the upcoming SQL interviews by solving practice problems.</t>
        </is>
      </c>
      <c r="D449" s="4" t="inlineStr">
        <is>
          <t>Triggers - trigger</t>
        </is>
      </c>
      <c r="E449" s="4" t="n">
        <v>64</v>
      </c>
      <c r="F449" s="4" t="inlineStr">
        <is>
          <t>Trigger Recursion</t>
        </is>
      </c>
      <c r="G449" s="4" t="inlineStr">
        <is>
          <t>SQLMCQ64</t>
        </is>
      </c>
      <c r="H449" s="4" t="inlineStr"/>
      <c r="I449" s="4" t="inlineStr">
        <is>
          <t>Medium</t>
        </is>
      </c>
      <c r="J449" s="5">
        <f>HYPERLINK("https://www.codechef.com/problems/SQLMCQ64", "https://www.codechef.com/problems/SQLMCQ64")</f>
        <v/>
      </c>
      <c r="K449" s="4" t="inlineStr"/>
      <c r="L449" s="4" t="inlineStr"/>
      <c r="M449" s="4" t="inlineStr"/>
      <c r="N449" s="4" t="inlineStr">
        <is>
          <t>No</t>
        </is>
      </c>
      <c r="O449" s="4" t="inlineStr">
        <is>
          <t>Unattempted</t>
        </is>
      </c>
    </row>
    <row r="450">
      <c r="A450" s="2" t="inlineStr">
        <is>
          <t>Interview Questions</t>
        </is>
      </c>
      <c r="B450" s="2" t="inlineStr">
        <is>
          <t>Top SQL Interview Questions</t>
        </is>
      </c>
      <c r="C450" s="2" t="inlineStr">
        <is>
          <t>Revise all the important concepts with our 70 SQL interview questions. Prepare yourself for the upcoming SQL interviews by solving practice problems.</t>
        </is>
      </c>
      <c r="D450" s="2" t="inlineStr">
        <is>
          <t>Triggers - trigger</t>
        </is>
      </c>
      <c r="E450" s="2" t="n">
        <v>65</v>
      </c>
      <c r="F450" s="2" t="inlineStr">
        <is>
          <t>Trigger Performance</t>
        </is>
      </c>
      <c r="G450" s="2" t="inlineStr">
        <is>
          <t>SQLMCQ65</t>
        </is>
      </c>
      <c r="H450" s="2" t="inlineStr"/>
      <c r="I450" s="2" t="inlineStr">
        <is>
          <t>Medium</t>
        </is>
      </c>
      <c r="J450" s="3">
        <f>HYPERLINK("https://www.codechef.com/problems/SQLMCQ65", "https://www.codechef.com/problems/SQLMCQ65")</f>
        <v/>
      </c>
      <c r="K450" s="2" t="inlineStr"/>
      <c r="L450" s="2" t="inlineStr"/>
      <c r="M450" s="2" t="inlineStr"/>
      <c r="N450" s="2" t="inlineStr">
        <is>
          <t>No</t>
        </is>
      </c>
      <c r="O450" s="2" t="inlineStr">
        <is>
          <t>Unattempted</t>
        </is>
      </c>
    </row>
    <row r="451">
      <c r="A451" s="4" t="inlineStr">
        <is>
          <t>Interview Questions</t>
        </is>
      </c>
      <c r="B451" s="4" t="inlineStr">
        <is>
          <t>Top SQL Interview Questions</t>
        </is>
      </c>
      <c r="C451" s="4" t="inlineStr">
        <is>
          <t>Revise all the important concepts with our 70 SQL interview questions. Prepare yourself for the upcoming SQL interviews by solving practice problems.</t>
        </is>
      </c>
      <c r="D451" s="4" t="inlineStr">
        <is>
          <t>Transactions and ACID properties - transactions</t>
        </is>
      </c>
      <c r="E451" s="4" t="n">
        <v>66</v>
      </c>
      <c r="F451" s="4" t="inlineStr">
        <is>
          <t>Database Integrity</t>
        </is>
      </c>
      <c r="G451" s="4" t="inlineStr">
        <is>
          <t>SQLMCQ66</t>
        </is>
      </c>
      <c r="H451" s="4" t="inlineStr"/>
      <c r="I451" s="4" t="inlineStr">
        <is>
          <t>Easy</t>
        </is>
      </c>
      <c r="J451" s="5">
        <f>HYPERLINK("https://www.codechef.com/problems/SQLMCQ66", "https://www.codechef.com/problems/SQLMCQ66")</f>
        <v/>
      </c>
      <c r="K451" s="4" t="inlineStr"/>
      <c r="L451" s="4" t="inlineStr"/>
      <c r="M451" s="4" t="inlineStr"/>
      <c r="N451" s="4" t="inlineStr">
        <is>
          <t>No</t>
        </is>
      </c>
      <c r="O451" s="4" t="inlineStr">
        <is>
          <t>Unattempted</t>
        </is>
      </c>
    </row>
    <row r="452">
      <c r="A452" s="2" t="inlineStr">
        <is>
          <t>Interview Questions</t>
        </is>
      </c>
      <c r="B452" s="2" t="inlineStr">
        <is>
          <t>Top SQL Interview Questions</t>
        </is>
      </c>
      <c r="C452" s="2" t="inlineStr">
        <is>
          <t>Revise all the important concepts with our 70 SQL interview questions. Prepare yourself for the upcoming SQL interviews by solving practice problems.</t>
        </is>
      </c>
      <c r="D452" s="2" t="inlineStr">
        <is>
          <t>Transactions and ACID properties - transactions</t>
        </is>
      </c>
      <c r="E452" s="2" t="n">
        <v>67</v>
      </c>
      <c r="F452" s="2" t="inlineStr">
        <is>
          <t>Transaction Execution</t>
        </is>
      </c>
      <c r="G452" s="2" t="inlineStr">
        <is>
          <t>SQLMCQ67</t>
        </is>
      </c>
      <c r="H452" s="2" t="inlineStr"/>
      <c r="I452" s="2" t="inlineStr">
        <is>
          <t>Easy</t>
        </is>
      </c>
      <c r="J452" s="3">
        <f>HYPERLINK("https://www.codechef.com/problems/SQLMCQ67", "https://www.codechef.com/problems/SQLMCQ67")</f>
        <v/>
      </c>
      <c r="K452" s="2" t="inlineStr"/>
      <c r="L452" s="2" t="inlineStr"/>
      <c r="M452" s="2" t="inlineStr"/>
      <c r="N452" s="2" t="inlineStr">
        <is>
          <t>No</t>
        </is>
      </c>
      <c r="O452" s="2" t="inlineStr">
        <is>
          <t>Unattempted</t>
        </is>
      </c>
    </row>
    <row r="453">
      <c r="A453" s="4" t="inlineStr">
        <is>
          <t>Interview Questions</t>
        </is>
      </c>
      <c r="B453" s="4" t="inlineStr">
        <is>
          <t>Top SQL Interview Questions</t>
        </is>
      </c>
      <c r="C453" s="4" t="inlineStr">
        <is>
          <t>Revise all the important concepts with our 70 SQL interview questions. Prepare yourself for the upcoming SQL interviews by solving practice problems.</t>
        </is>
      </c>
      <c r="D453" s="4" t="inlineStr">
        <is>
          <t>Transactions and ACID properties - transactions</t>
        </is>
      </c>
      <c r="E453" s="4" t="n">
        <v>68</v>
      </c>
      <c r="F453" s="4" t="inlineStr">
        <is>
          <t>Concurrent Transactions</t>
        </is>
      </c>
      <c r="G453" s="4" t="inlineStr">
        <is>
          <t>SQLMCQ68</t>
        </is>
      </c>
      <c r="H453" s="4" t="inlineStr"/>
      <c r="I453" s="4" t="inlineStr">
        <is>
          <t>Easy</t>
        </is>
      </c>
      <c r="J453" s="5">
        <f>HYPERLINK("https://www.codechef.com/problems/SQLMCQ68", "https://www.codechef.com/problems/SQLMCQ68")</f>
        <v/>
      </c>
      <c r="K453" s="4" t="inlineStr"/>
      <c r="L453" s="4" t="inlineStr"/>
      <c r="M453" s="4" t="inlineStr"/>
      <c r="N453" s="4" t="inlineStr">
        <is>
          <t>No</t>
        </is>
      </c>
      <c r="O453" s="4" t="inlineStr">
        <is>
          <t>Unattempted</t>
        </is>
      </c>
    </row>
    <row r="454">
      <c r="A454" s="2" t="inlineStr">
        <is>
          <t>Interview Questions</t>
        </is>
      </c>
      <c r="B454" s="2" t="inlineStr">
        <is>
          <t>Top SQL Interview Questions</t>
        </is>
      </c>
      <c r="C454" s="2" t="inlineStr">
        <is>
          <t>Revise all the important concepts with our 70 SQL interview questions. Prepare yourself for the upcoming SQL interviews by solving practice problems.</t>
        </is>
      </c>
      <c r="D454" s="2" t="inlineStr">
        <is>
          <t>Transactions and ACID properties - transactions</t>
        </is>
      </c>
      <c r="E454" s="2" t="n">
        <v>69</v>
      </c>
      <c r="F454" s="2" t="inlineStr">
        <is>
          <t>Data Persistence</t>
        </is>
      </c>
      <c r="G454" s="2" t="inlineStr">
        <is>
          <t>SQLMCQ69</t>
        </is>
      </c>
      <c r="H454" s="2" t="inlineStr"/>
      <c r="I454" s="2" t="inlineStr">
        <is>
          <t>Medium</t>
        </is>
      </c>
      <c r="J454" s="3">
        <f>HYPERLINK("https://www.codechef.com/problems/SQLMCQ69", "https://www.codechef.com/problems/SQLMCQ69")</f>
        <v/>
      </c>
      <c r="K454" s="2" t="inlineStr"/>
      <c r="L454" s="2" t="inlineStr"/>
      <c r="M454" s="2" t="inlineStr"/>
      <c r="N454" s="2" t="inlineStr">
        <is>
          <t>No</t>
        </is>
      </c>
      <c r="O454" s="2" t="inlineStr">
        <is>
          <t>Unattempted</t>
        </is>
      </c>
    </row>
    <row r="455">
      <c r="A455" s="4" t="inlineStr">
        <is>
          <t>Interview Questions</t>
        </is>
      </c>
      <c r="B455" s="4" t="inlineStr">
        <is>
          <t>Top SQL Interview Questions</t>
        </is>
      </c>
      <c r="C455" s="4" t="inlineStr">
        <is>
          <t>Revise all the important concepts with our 70 SQL interview questions. Prepare yourself for the upcoming SQL interviews by solving practice problems.</t>
        </is>
      </c>
      <c r="D455" s="4" t="inlineStr">
        <is>
          <t>Transactions and ACID properties - transactions</t>
        </is>
      </c>
      <c r="E455" s="4" t="n">
        <v>70</v>
      </c>
      <c r="F455" s="4" t="inlineStr">
        <is>
          <t>Transaction States</t>
        </is>
      </c>
      <c r="G455" s="4" t="inlineStr">
        <is>
          <t>SQLMCQ70</t>
        </is>
      </c>
      <c r="H455" s="4" t="inlineStr"/>
      <c r="I455" s="4" t="inlineStr">
        <is>
          <t>Easy</t>
        </is>
      </c>
      <c r="J455" s="5">
        <f>HYPERLINK("https://www.codechef.com/problems/SQLMCQ70", "https://www.codechef.com/problems/SQLMCQ70")</f>
        <v/>
      </c>
      <c r="K455" s="4" t="inlineStr"/>
      <c r="L455" s="4" t="inlineStr"/>
      <c r="M455" s="4" t="inlineStr"/>
      <c r="N455" s="4" t="inlineStr">
        <is>
          <t>No</t>
        </is>
      </c>
      <c r="O455" s="4" t="inlineStr">
        <is>
          <t>Unattempted</t>
        </is>
      </c>
    </row>
    <row r="456">
      <c r="A456" s="2" t="inlineStr">
        <is>
          <t>Interview Questions</t>
        </is>
      </c>
      <c r="B456" s="2" t="inlineStr">
        <is>
          <t>Top JavaScript Interview Questions</t>
        </is>
      </c>
      <c r="C456" s="2" t="inlineStr">
        <is>
          <t>Revise all the important JavaScript concepts by answering these JavaScript Interview Questions. All questions contain detailed explanation so that you can learn the topics you don't know fully.</t>
        </is>
      </c>
      <c r="D456" s="2" t="inlineStr">
        <is>
          <t>Data types and type coercion - Data types and type coercion</t>
        </is>
      </c>
      <c r="E456" s="2" t="n">
        <v>1</v>
      </c>
      <c r="F456" s="2" t="inlineStr">
        <is>
          <t>Type Conversion</t>
        </is>
      </c>
      <c r="G456" s="2" t="inlineStr">
        <is>
          <t>JSMCQ01</t>
        </is>
      </c>
      <c r="H456" s="2" t="inlineStr"/>
      <c r="I456" s="2" t="inlineStr">
        <is>
          <t>Easy</t>
        </is>
      </c>
      <c r="J456" s="3">
        <f>HYPERLINK("https://www.codechef.com/problems/JSMCQ01", "https://www.codechef.com/problems/JSMCQ01")</f>
        <v/>
      </c>
      <c r="K456" s="2" t="inlineStr"/>
      <c r="L456" s="2" t="inlineStr"/>
      <c r="M456" s="2" t="inlineStr"/>
      <c r="N456" s="2" t="inlineStr">
        <is>
          <t>No</t>
        </is>
      </c>
      <c r="O456" s="2" t="inlineStr">
        <is>
          <t>Unattempted</t>
        </is>
      </c>
    </row>
    <row r="457">
      <c r="A457" s="4" t="inlineStr">
        <is>
          <t>Interview Questions</t>
        </is>
      </c>
      <c r="B457" s="4" t="inlineStr">
        <is>
          <t>Top JavaScript Interview Questions</t>
        </is>
      </c>
      <c r="C457" s="4" t="inlineStr">
        <is>
          <t>Revise all the important JavaScript concepts by answering these JavaScript Interview Questions. All questions contain detailed explanation so that you can learn the topics you don't know fully.</t>
        </is>
      </c>
      <c r="D457" s="4" t="inlineStr">
        <is>
          <t>Data types and type coercion - Data types and type coercion</t>
        </is>
      </c>
      <c r="E457" s="4" t="n">
        <v>2</v>
      </c>
      <c r="F457" s="4" t="inlineStr">
        <is>
          <t>Equality Comparison</t>
        </is>
      </c>
      <c r="G457" s="4" t="inlineStr">
        <is>
          <t>JSMCQ02</t>
        </is>
      </c>
      <c r="H457" s="4" t="inlineStr"/>
      <c r="I457" s="4" t="inlineStr">
        <is>
          <t>Easy</t>
        </is>
      </c>
      <c r="J457" s="5">
        <f>HYPERLINK("https://www.codechef.com/problems/JSMCQ02", "https://www.codechef.com/problems/JSMCQ02")</f>
        <v/>
      </c>
      <c r="K457" s="4" t="inlineStr"/>
      <c r="L457" s="4" t="inlineStr"/>
      <c r="M457" s="4" t="inlineStr"/>
      <c r="N457" s="4" t="inlineStr">
        <is>
          <t>No</t>
        </is>
      </c>
      <c r="O457" s="4" t="inlineStr">
        <is>
          <t>Unattempted</t>
        </is>
      </c>
    </row>
    <row r="458">
      <c r="A458" s="2" t="inlineStr">
        <is>
          <t>Interview Questions</t>
        </is>
      </c>
      <c r="B458" s="2" t="inlineStr">
        <is>
          <t>Top JavaScript Interview Questions</t>
        </is>
      </c>
      <c r="C458" s="2" t="inlineStr">
        <is>
          <t>Revise all the important JavaScript concepts by answering these JavaScript Interview Questions. All questions contain detailed explanation so that you can learn the topics you don't know fully.</t>
        </is>
      </c>
      <c r="D458" s="2" t="inlineStr">
        <is>
          <t>Data types and type coercion - Data types and type coercion</t>
        </is>
      </c>
      <c r="E458" s="2" t="n">
        <v>3</v>
      </c>
      <c r="F458" s="2" t="inlineStr">
        <is>
          <t>Truthy and Falsy Values</t>
        </is>
      </c>
      <c r="G458" s="2" t="inlineStr">
        <is>
          <t>JSMCQ03</t>
        </is>
      </c>
      <c r="H458" s="2" t="inlineStr"/>
      <c r="I458" s="2" t="inlineStr">
        <is>
          <t>Easy</t>
        </is>
      </c>
      <c r="J458" s="3">
        <f>HYPERLINK("https://www.codechef.com/problems/JSMCQ03", "https://www.codechef.com/problems/JSMCQ03")</f>
        <v/>
      </c>
      <c r="K458" s="2" t="inlineStr"/>
      <c r="L458" s="2" t="inlineStr"/>
      <c r="M458" s="2" t="inlineStr"/>
      <c r="N458" s="2" t="inlineStr">
        <is>
          <t>No</t>
        </is>
      </c>
      <c r="O458" s="2" t="inlineStr">
        <is>
          <t>Unattempted</t>
        </is>
      </c>
    </row>
    <row r="459">
      <c r="A459" s="4" t="inlineStr">
        <is>
          <t>Interview Questions</t>
        </is>
      </c>
      <c r="B459" s="4" t="inlineStr">
        <is>
          <t>Top JavaScript Interview Questions</t>
        </is>
      </c>
      <c r="C459" s="4" t="inlineStr">
        <is>
          <t>Revise all the important JavaScript concepts by answering these JavaScript Interview Questions. All questions contain detailed explanation so that you can learn the topics you don't know fully.</t>
        </is>
      </c>
      <c r="D459" s="4" t="inlineStr">
        <is>
          <t>Data types and type coercion - Data types and type coercion</t>
        </is>
      </c>
      <c r="E459" s="4" t="n">
        <v>4</v>
      </c>
      <c r="F459" s="4" t="inlineStr">
        <is>
          <t>Numeric Conversion</t>
        </is>
      </c>
      <c r="G459" s="4" t="inlineStr">
        <is>
          <t>JSMCQ04</t>
        </is>
      </c>
      <c r="H459" s="4" t="inlineStr"/>
      <c r="I459" s="4" t="inlineStr">
        <is>
          <t>Easy</t>
        </is>
      </c>
      <c r="J459" s="5">
        <f>HYPERLINK("https://www.codechef.com/problems/JSMCQ04", "https://www.codechef.com/problems/JSMCQ04")</f>
        <v/>
      </c>
      <c r="K459" s="4" t="inlineStr"/>
      <c r="L459" s="4" t="inlineStr"/>
      <c r="M459" s="4" t="inlineStr"/>
      <c r="N459" s="4" t="inlineStr">
        <is>
          <t>No</t>
        </is>
      </c>
      <c r="O459" s="4" t="inlineStr">
        <is>
          <t>Unattempted</t>
        </is>
      </c>
    </row>
    <row r="460">
      <c r="A460" s="2" t="inlineStr">
        <is>
          <t>Interview Questions</t>
        </is>
      </c>
      <c r="B460" s="2" t="inlineStr">
        <is>
          <t>Top JavaScript Interview Questions</t>
        </is>
      </c>
      <c r="C460" s="2" t="inlineStr">
        <is>
          <t>Revise all the important JavaScript concepts by answering these JavaScript Interview Questions. All questions contain detailed explanation so that you can learn the topics you don't know fully.</t>
        </is>
      </c>
      <c r="D460" s="2" t="inlineStr">
        <is>
          <t>Data types and type coercion - Data types and type coercion</t>
        </is>
      </c>
      <c r="E460" s="2" t="n">
        <v>5</v>
      </c>
      <c r="F460" s="2" t="inlineStr">
        <is>
          <t>Type Checking</t>
        </is>
      </c>
      <c r="G460" s="2" t="inlineStr">
        <is>
          <t>JSMCQ05</t>
        </is>
      </c>
      <c r="H460" s="2" t="inlineStr"/>
      <c r="I460" s="2" t="inlineStr">
        <is>
          <t>Easy</t>
        </is>
      </c>
      <c r="J460" s="3">
        <f>HYPERLINK("https://www.codechef.com/problems/JSMCQ05", "https://www.codechef.com/problems/JSMCQ05")</f>
        <v/>
      </c>
      <c r="K460" s="2" t="inlineStr"/>
      <c r="L460" s="2" t="inlineStr"/>
      <c r="M460" s="2" t="inlineStr"/>
      <c r="N460" s="2" t="inlineStr">
        <is>
          <t>No</t>
        </is>
      </c>
      <c r="O460" s="2" t="inlineStr">
        <is>
          <t>Unattempted</t>
        </is>
      </c>
    </row>
    <row r="461">
      <c r="A461" s="4" t="inlineStr">
        <is>
          <t>Interview Questions</t>
        </is>
      </c>
      <c r="B461" s="4" t="inlineStr">
        <is>
          <t>Top JavaScript Interview Questions</t>
        </is>
      </c>
      <c r="C461" s="4" t="inlineStr">
        <is>
          <t>Revise all the important JavaScript concepts by answering these JavaScript Interview Questions. All questions contain detailed explanation so that you can learn the topics you don't know fully.</t>
        </is>
      </c>
      <c r="D461" s="4" t="inlineStr">
        <is>
          <t>ES6+ features (let/const, arrow functions, destructuring, etc.) - ES6 features</t>
        </is>
      </c>
      <c r="E461" s="4" t="n">
        <v>6</v>
      </c>
      <c r="F461" s="4" t="inlineStr">
        <is>
          <t>Variable Declaration</t>
        </is>
      </c>
      <c r="G461" s="4" t="inlineStr">
        <is>
          <t>JSMCQ06</t>
        </is>
      </c>
      <c r="H461" s="4" t="inlineStr"/>
      <c r="I461" s="4" t="inlineStr">
        <is>
          <t>Easy</t>
        </is>
      </c>
      <c r="J461" s="5">
        <f>HYPERLINK("https://www.codechef.com/problems/JSMCQ06", "https://www.codechef.com/problems/JSMCQ06")</f>
        <v/>
      </c>
      <c r="K461" s="4" t="inlineStr"/>
      <c r="L461" s="4" t="inlineStr"/>
      <c r="M461" s="4" t="inlineStr"/>
      <c r="N461" s="4" t="inlineStr">
        <is>
          <t>No</t>
        </is>
      </c>
      <c r="O461" s="4" t="inlineStr">
        <is>
          <t>Unattempted</t>
        </is>
      </c>
    </row>
    <row r="462">
      <c r="A462" s="2" t="inlineStr">
        <is>
          <t>Interview Questions</t>
        </is>
      </c>
      <c r="B462" s="2" t="inlineStr">
        <is>
          <t>Top JavaScript Interview Questions</t>
        </is>
      </c>
      <c r="C462" s="2" t="inlineStr">
        <is>
          <t>Revise all the important JavaScript concepts by answering these JavaScript Interview Questions. All questions contain detailed explanation so that you can learn the topics you don't know fully.</t>
        </is>
      </c>
      <c r="D462" s="2" t="inlineStr">
        <is>
          <t>ES6+ features (let/const, arrow functions, destructuring, etc.) - ES6 features</t>
        </is>
      </c>
      <c r="E462" s="2" t="n">
        <v>7</v>
      </c>
      <c r="F462" s="2" t="inlineStr">
        <is>
          <t>Arrow Functions</t>
        </is>
      </c>
      <c r="G462" s="2" t="inlineStr">
        <is>
          <t>JSMCQ07</t>
        </is>
      </c>
      <c r="H462" s="2" t="inlineStr"/>
      <c r="I462" s="2" t="inlineStr">
        <is>
          <t>Easy</t>
        </is>
      </c>
      <c r="J462" s="3">
        <f>HYPERLINK("https://www.codechef.com/problems/JSMCQ07", "https://www.codechef.com/problems/JSMCQ07")</f>
        <v/>
      </c>
      <c r="K462" s="2" t="inlineStr"/>
      <c r="L462" s="2" t="inlineStr"/>
      <c r="M462" s="2" t="inlineStr"/>
      <c r="N462" s="2" t="inlineStr">
        <is>
          <t>No</t>
        </is>
      </c>
      <c r="O462" s="2" t="inlineStr">
        <is>
          <t>Unattempted</t>
        </is>
      </c>
    </row>
    <row r="463">
      <c r="A463" s="4" t="inlineStr">
        <is>
          <t>Interview Questions</t>
        </is>
      </c>
      <c r="B463" s="4" t="inlineStr">
        <is>
          <t>Top JavaScript Interview Questions</t>
        </is>
      </c>
      <c r="C463" s="4" t="inlineStr">
        <is>
          <t>Revise all the important JavaScript concepts by answering these JavaScript Interview Questions. All questions contain detailed explanation so that you can learn the topics you don't know fully.</t>
        </is>
      </c>
      <c r="D463" s="4" t="inlineStr">
        <is>
          <t>ES6+ features (let/const, arrow functions, destructuring, etc.) - ES6 features</t>
        </is>
      </c>
      <c r="E463" s="4" t="n">
        <v>8</v>
      </c>
      <c r="F463" s="4" t="inlineStr">
        <is>
          <t>Destructuring</t>
        </is>
      </c>
      <c r="G463" s="4" t="inlineStr">
        <is>
          <t>JSMCQ08</t>
        </is>
      </c>
      <c r="H463" s="4" t="inlineStr"/>
      <c r="I463" s="4" t="inlineStr">
        <is>
          <t>Easy</t>
        </is>
      </c>
      <c r="J463" s="5">
        <f>HYPERLINK("https://www.codechef.com/problems/JSMCQ08", "https://www.codechef.com/problems/JSMCQ08")</f>
        <v/>
      </c>
      <c r="K463" s="4" t="inlineStr"/>
      <c r="L463" s="4" t="inlineStr"/>
      <c r="M463" s="4" t="inlineStr"/>
      <c r="N463" s="4" t="inlineStr">
        <is>
          <t>No</t>
        </is>
      </c>
      <c r="O463" s="4" t="inlineStr">
        <is>
          <t>Unattempted</t>
        </is>
      </c>
    </row>
    <row r="464">
      <c r="A464" s="2" t="inlineStr">
        <is>
          <t>Interview Questions</t>
        </is>
      </c>
      <c r="B464" s="2" t="inlineStr">
        <is>
          <t>Top JavaScript Interview Questions</t>
        </is>
      </c>
      <c r="C464" s="2" t="inlineStr">
        <is>
          <t>Revise all the important JavaScript concepts by answering these JavaScript Interview Questions. All questions contain detailed explanation so that you can learn the topics you don't know fully.</t>
        </is>
      </c>
      <c r="D464" s="2" t="inlineStr">
        <is>
          <t>ES6+ features (let/const, arrow functions, destructuring, etc.) - ES6 features</t>
        </is>
      </c>
      <c r="E464" s="2" t="n">
        <v>9</v>
      </c>
      <c r="F464" s="2" t="inlineStr">
        <is>
          <t>Template Literals</t>
        </is>
      </c>
      <c r="G464" s="2" t="inlineStr">
        <is>
          <t>JSMCQ09</t>
        </is>
      </c>
      <c r="H464" s="2" t="inlineStr"/>
      <c r="I464" s="2" t="inlineStr">
        <is>
          <t>Easy</t>
        </is>
      </c>
      <c r="J464" s="3">
        <f>HYPERLINK("https://www.codechef.com/problems/JSMCQ09", "https://www.codechef.com/problems/JSMCQ09")</f>
        <v/>
      </c>
      <c r="K464" s="2" t="inlineStr"/>
      <c r="L464" s="2" t="inlineStr"/>
      <c r="M464" s="2" t="inlineStr"/>
      <c r="N464" s="2" t="inlineStr">
        <is>
          <t>No</t>
        </is>
      </c>
      <c r="O464" s="2" t="inlineStr">
        <is>
          <t>Unattempted</t>
        </is>
      </c>
    </row>
    <row r="465">
      <c r="A465" s="4" t="inlineStr">
        <is>
          <t>Interview Questions</t>
        </is>
      </c>
      <c r="B465" s="4" t="inlineStr">
        <is>
          <t>Top JavaScript Interview Questions</t>
        </is>
      </c>
      <c r="C465" s="4" t="inlineStr">
        <is>
          <t>Revise all the important JavaScript concepts by answering these JavaScript Interview Questions. All questions contain detailed explanation so that you can learn the topics you don't know fully.</t>
        </is>
      </c>
      <c r="D465" s="4" t="inlineStr">
        <is>
          <t>ES6+ features (let/const, arrow functions, destructuring, etc.) - ES6 features</t>
        </is>
      </c>
      <c r="E465" s="4" t="n">
        <v>10</v>
      </c>
      <c r="F465" s="4" t="inlineStr">
        <is>
          <t>Spread Operator</t>
        </is>
      </c>
      <c r="G465" s="4" t="inlineStr">
        <is>
          <t>JSMCQ10</t>
        </is>
      </c>
      <c r="H465" s="4" t="inlineStr"/>
      <c r="I465" s="4" t="inlineStr">
        <is>
          <t>Easy</t>
        </is>
      </c>
      <c r="J465" s="5">
        <f>HYPERLINK("https://www.codechef.com/problems/JSMCQ10", "https://www.codechef.com/problems/JSMCQ10")</f>
        <v/>
      </c>
      <c r="K465" s="4" t="inlineStr"/>
      <c r="L465" s="4" t="inlineStr"/>
      <c r="M465" s="4" t="inlineStr"/>
      <c r="N465" s="4" t="inlineStr">
        <is>
          <t>No</t>
        </is>
      </c>
      <c r="O465" s="4" t="inlineStr">
        <is>
          <t>Unattempted</t>
        </is>
      </c>
    </row>
    <row r="466">
      <c r="A466" s="2" t="inlineStr">
        <is>
          <t>Interview Questions</t>
        </is>
      </c>
      <c r="B466" s="2" t="inlineStr">
        <is>
          <t>Top JavaScript Interview Questions</t>
        </is>
      </c>
      <c r="C466" s="2" t="inlineStr">
        <is>
          <t>Revise all the important JavaScript concepts by answering these JavaScript Interview Questions. All questions contain detailed explanation so that you can learn the topics you don't know fully.</t>
        </is>
      </c>
      <c r="D466" s="2" t="inlineStr">
        <is>
          <t>Array methods (map, reduce, filter, etc.) - Array Methods</t>
        </is>
      </c>
      <c r="E466" s="2" t="n">
        <v>11</v>
      </c>
      <c r="F466" s="2" t="inlineStr">
        <is>
          <t>Array Transformation</t>
        </is>
      </c>
      <c r="G466" s="2" t="inlineStr">
        <is>
          <t>JSMCQ11</t>
        </is>
      </c>
      <c r="H466" s="2" t="inlineStr"/>
      <c r="I466" s="2" t="inlineStr">
        <is>
          <t>Easy</t>
        </is>
      </c>
      <c r="J466" s="3">
        <f>HYPERLINK("https://www.codechef.com/problems/JSMCQ11", "https://www.codechef.com/problems/JSMCQ11")</f>
        <v/>
      </c>
      <c r="K466" s="2" t="inlineStr"/>
      <c r="L466" s="2" t="inlineStr"/>
      <c r="M466" s="2" t="inlineStr"/>
      <c r="N466" s="2" t="inlineStr">
        <is>
          <t>No</t>
        </is>
      </c>
      <c r="O466" s="2" t="inlineStr">
        <is>
          <t>Unattempted</t>
        </is>
      </c>
    </row>
    <row r="467">
      <c r="A467" s="4" t="inlineStr">
        <is>
          <t>Interview Questions</t>
        </is>
      </c>
      <c r="B467" s="4" t="inlineStr">
        <is>
          <t>Top JavaScript Interview Questions</t>
        </is>
      </c>
      <c r="C467" s="4" t="inlineStr">
        <is>
          <t>Revise all the important JavaScript concepts by answering these JavaScript Interview Questions. All questions contain detailed explanation so that you can learn the topics you don't know fully.</t>
        </is>
      </c>
      <c r="D467" s="4" t="inlineStr">
        <is>
          <t>Array methods (map, reduce, filter, etc.) - Array Methods</t>
        </is>
      </c>
      <c r="E467" s="4" t="n">
        <v>12</v>
      </c>
      <c r="F467" s="4" t="inlineStr">
        <is>
          <t>Reduce Method</t>
        </is>
      </c>
      <c r="G467" s="4" t="inlineStr">
        <is>
          <t>JSMCQ12</t>
        </is>
      </c>
      <c r="H467" s="4" t="inlineStr"/>
      <c r="I467" s="4" t="inlineStr">
        <is>
          <t>Easy</t>
        </is>
      </c>
      <c r="J467" s="5">
        <f>HYPERLINK("https://www.codechef.com/problems/JSMCQ12", "https://www.codechef.com/problems/JSMCQ12")</f>
        <v/>
      </c>
      <c r="K467" s="4" t="inlineStr"/>
      <c r="L467" s="4" t="inlineStr"/>
      <c r="M467" s="4" t="inlineStr"/>
      <c r="N467" s="4" t="inlineStr">
        <is>
          <t>No</t>
        </is>
      </c>
      <c r="O467" s="4" t="inlineStr">
        <is>
          <t>Unattempted</t>
        </is>
      </c>
    </row>
    <row r="468">
      <c r="A468" s="2" t="inlineStr">
        <is>
          <t>Interview Questions</t>
        </is>
      </c>
      <c r="B468" s="2" t="inlineStr">
        <is>
          <t>Top JavaScript Interview Questions</t>
        </is>
      </c>
      <c r="C468" s="2" t="inlineStr">
        <is>
          <t>Revise all the important JavaScript concepts by answering these JavaScript Interview Questions. All questions contain detailed explanation so that you can learn the topics you don't know fully.</t>
        </is>
      </c>
      <c r="D468" s="2" t="inlineStr">
        <is>
          <t>Array methods (map, reduce, filter, etc.) - Array Methods</t>
        </is>
      </c>
      <c r="E468" s="2" t="n">
        <v>13</v>
      </c>
      <c r="F468" s="2" t="inlineStr">
        <is>
          <t>Array Method Behavior</t>
        </is>
      </c>
      <c r="G468" s="2" t="inlineStr">
        <is>
          <t>JSMCQ13</t>
        </is>
      </c>
      <c r="H468" s="2" t="inlineStr"/>
      <c r="I468" s="2" t="inlineStr">
        <is>
          <t>Easy</t>
        </is>
      </c>
      <c r="J468" s="3">
        <f>HYPERLINK("https://www.codechef.com/problems/JSMCQ13", "https://www.codechef.com/problems/JSMCQ13")</f>
        <v/>
      </c>
      <c r="K468" s="2" t="inlineStr"/>
      <c r="L468" s="2" t="inlineStr"/>
      <c r="M468" s="2" t="inlineStr"/>
      <c r="N468" s="2" t="inlineStr">
        <is>
          <t>No</t>
        </is>
      </c>
      <c r="O468" s="2" t="inlineStr">
        <is>
          <t>Unattempted</t>
        </is>
      </c>
    </row>
    <row r="469">
      <c r="A469" s="4" t="inlineStr">
        <is>
          <t>Interview Questions</t>
        </is>
      </c>
      <c r="B469" s="4" t="inlineStr">
        <is>
          <t>Top JavaScript Interview Questions</t>
        </is>
      </c>
      <c r="C469" s="4" t="inlineStr">
        <is>
          <t>Revise all the important JavaScript concepts by answering these JavaScript Interview Questions. All questions contain detailed explanation so that you can learn the topics you don't know fully.</t>
        </is>
      </c>
      <c r="D469" s="4" t="inlineStr">
        <is>
          <t>Array methods (map, reduce, filter, etc.) - Array Methods</t>
        </is>
      </c>
      <c r="E469" s="4" t="n">
        <v>14</v>
      </c>
      <c r="F469" s="4" t="inlineStr">
        <is>
          <t>Filter Method Application</t>
        </is>
      </c>
      <c r="G469" s="4" t="inlineStr">
        <is>
          <t>JSMCQ14</t>
        </is>
      </c>
      <c r="H469" s="4" t="inlineStr"/>
      <c r="I469" s="4" t="inlineStr">
        <is>
          <t>Easy</t>
        </is>
      </c>
      <c r="J469" s="5">
        <f>HYPERLINK("https://www.codechef.com/problems/JSMCQ14", "https://www.codechef.com/problems/JSMCQ14")</f>
        <v/>
      </c>
      <c r="K469" s="4" t="inlineStr"/>
      <c r="L469" s="4" t="inlineStr"/>
      <c r="M469" s="4" t="inlineStr"/>
      <c r="N469" s="4" t="inlineStr">
        <is>
          <t>No</t>
        </is>
      </c>
      <c r="O469" s="4" t="inlineStr">
        <is>
          <t>Unattempted</t>
        </is>
      </c>
    </row>
    <row r="470">
      <c r="A470" s="2" t="inlineStr">
        <is>
          <t>Interview Questions</t>
        </is>
      </c>
      <c r="B470" s="2" t="inlineStr">
        <is>
          <t>Top JavaScript Interview Questions</t>
        </is>
      </c>
      <c r="C470" s="2" t="inlineStr">
        <is>
          <t>Revise all the important JavaScript concepts by answering these JavaScript Interview Questions. All questions contain detailed explanation so that you can learn the topics you don't know fully.</t>
        </is>
      </c>
      <c r="D470" s="2" t="inlineStr">
        <is>
          <t>Array methods (map, reduce, filter, etc.) - Array Methods</t>
        </is>
      </c>
      <c r="E470" s="2" t="n">
        <v>15</v>
      </c>
      <c r="F470" s="2" t="inlineStr">
        <is>
          <t>Callback Function</t>
        </is>
      </c>
      <c r="G470" s="2" t="inlineStr">
        <is>
          <t>JSMCQ15</t>
        </is>
      </c>
      <c r="H470" s="2" t="inlineStr"/>
      <c r="I470" s="2" t="inlineStr">
        <is>
          <t>Easy</t>
        </is>
      </c>
      <c r="J470" s="3">
        <f>HYPERLINK("https://www.codechef.com/problems/JSMCQ15", "https://www.codechef.com/problems/JSMCQ15")</f>
        <v/>
      </c>
      <c r="K470" s="2" t="inlineStr"/>
      <c r="L470" s="2" t="inlineStr"/>
      <c r="M470" s="2" t="inlineStr"/>
      <c r="N470" s="2" t="inlineStr">
        <is>
          <t>No</t>
        </is>
      </c>
      <c r="O470" s="2" t="inlineStr">
        <is>
          <t>Unattempted</t>
        </is>
      </c>
    </row>
    <row r="471">
      <c r="A471" s="4" t="inlineStr">
        <is>
          <t>Interview Questions</t>
        </is>
      </c>
      <c r="B471" s="4" t="inlineStr">
        <is>
          <t>Top JavaScript Interview Questions</t>
        </is>
      </c>
      <c r="C471" s="4" t="inlineStr">
        <is>
          <t>Revise all the important JavaScript concepts by answering these JavaScript Interview Questions. All questions contain detailed explanation so that you can learn the topics you don't know fully.</t>
        </is>
      </c>
      <c r="D471" s="4" t="inlineStr">
        <is>
          <t>DOM manipulation and events - DOM manipulation and events</t>
        </is>
      </c>
      <c r="E471" s="4" t="n">
        <v>16</v>
      </c>
      <c r="F471" s="4" t="inlineStr">
        <is>
          <t>Event Handling</t>
        </is>
      </c>
      <c r="G471" s="4" t="inlineStr">
        <is>
          <t>JSMCQ16</t>
        </is>
      </c>
      <c r="H471" s="4" t="inlineStr"/>
      <c r="I471" s="4" t="inlineStr">
        <is>
          <t>Easy</t>
        </is>
      </c>
      <c r="J471" s="5">
        <f>HYPERLINK("https://www.codechef.com/problems/JSMCQ16", "https://www.codechef.com/problems/JSMCQ16")</f>
        <v/>
      </c>
      <c r="K471" s="4" t="inlineStr"/>
      <c r="L471" s="4" t="inlineStr"/>
      <c r="M471" s="4" t="inlineStr"/>
      <c r="N471" s="4" t="inlineStr">
        <is>
          <t>No</t>
        </is>
      </c>
      <c r="O471" s="4" t="inlineStr">
        <is>
          <t>Unattempted</t>
        </is>
      </c>
    </row>
    <row r="472">
      <c r="A472" s="2" t="inlineStr">
        <is>
          <t>Interview Questions</t>
        </is>
      </c>
      <c r="B472" s="2" t="inlineStr">
        <is>
          <t>Top JavaScript Interview Questions</t>
        </is>
      </c>
      <c r="C472" s="2" t="inlineStr">
        <is>
          <t>Revise all the important JavaScript concepts by answering these JavaScript Interview Questions. All questions contain detailed explanation so that you can learn the topics you don't know fully.</t>
        </is>
      </c>
      <c r="D472" s="2" t="inlineStr">
        <is>
          <t>DOM manipulation and events - DOM manipulation and events</t>
        </is>
      </c>
      <c r="E472" s="2" t="n">
        <v>17</v>
      </c>
      <c r="F472" s="2" t="inlineStr">
        <is>
          <t>DOM Traversal</t>
        </is>
      </c>
      <c r="G472" s="2" t="inlineStr">
        <is>
          <t>JSMCQ17</t>
        </is>
      </c>
      <c r="H472" s="2" t="inlineStr"/>
      <c r="I472" s="2" t="inlineStr">
        <is>
          <t>Easy</t>
        </is>
      </c>
      <c r="J472" s="3">
        <f>HYPERLINK("https://www.codechef.com/problems/JSMCQ17", "https://www.codechef.com/problems/JSMCQ17")</f>
        <v/>
      </c>
      <c r="K472" s="2" t="inlineStr"/>
      <c r="L472" s="2" t="inlineStr"/>
      <c r="M472" s="2" t="inlineStr"/>
      <c r="N472" s="2" t="inlineStr">
        <is>
          <t>No</t>
        </is>
      </c>
      <c r="O472" s="2" t="inlineStr">
        <is>
          <t>Unattempted</t>
        </is>
      </c>
    </row>
    <row r="473">
      <c r="A473" s="4" t="inlineStr">
        <is>
          <t>Interview Questions</t>
        </is>
      </c>
      <c r="B473" s="4" t="inlineStr">
        <is>
          <t>Top JavaScript Interview Questions</t>
        </is>
      </c>
      <c r="C473" s="4" t="inlineStr">
        <is>
          <t>Revise all the important JavaScript concepts by answering these JavaScript Interview Questions. All questions contain detailed explanation so that you can learn the topics you don't know fully.</t>
        </is>
      </c>
      <c r="D473" s="4" t="inlineStr">
        <is>
          <t>DOM manipulation and events - DOM manipulation and events</t>
        </is>
      </c>
      <c r="E473" s="4" t="n">
        <v>18</v>
      </c>
      <c r="F473" s="4" t="inlineStr">
        <is>
          <t>DOM Manipulation</t>
        </is>
      </c>
      <c r="G473" s="4" t="inlineStr">
        <is>
          <t>JSMCQ18</t>
        </is>
      </c>
      <c r="H473" s="4" t="inlineStr"/>
      <c r="I473" s="4" t="inlineStr">
        <is>
          <t>Easy</t>
        </is>
      </c>
      <c r="J473" s="5">
        <f>HYPERLINK("https://www.codechef.com/problems/JSMCQ18", "https://www.codechef.com/problems/JSMCQ18")</f>
        <v/>
      </c>
      <c r="K473" s="4" t="inlineStr"/>
      <c r="L473" s="4" t="inlineStr"/>
      <c r="M473" s="4" t="inlineStr"/>
      <c r="N473" s="4" t="inlineStr">
        <is>
          <t>No</t>
        </is>
      </c>
      <c r="O473" s="4" t="inlineStr">
        <is>
          <t>Unattempted</t>
        </is>
      </c>
    </row>
    <row r="474">
      <c r="A474" s="2" t="inlineStr">
        <is>
          <t>Interview Questions</t>
        </is>
      </c>
      <c r="B474" s="2" t="inlineStr">
        <is>
          <t>Top JavaScript Interview Questions</t>
        </is>
      </c>
      <c r="C474" s="2" t="inlineStr">
        <is>
          <t>Revise all the important JavaScript concepts by answering these JavaScript Interview Questions. All questions contain detailed explanation so that you can learn the topics you don't know fully.</t>
        </is>
      </c>
      <c r="D474" s="2" t="inlineStr">
        <is>
          <t>DOM manipulation and events - DOM manipulation and events</t>
        </is>
      </c>
      <c r="E474" s="2" t="n">
        <v>19</v>
      </c>
      <c r="F474" s="2" t="inlineStr">
        <is>
          <t>Event Object</t>
        </is>
      </c>
      <c r="G474" s="2" t="inlineStr">
        <is>
          <t>JSMCQ19</t>
        </is>
      </c>
      <c r="H474" s="2" t="inlineStr"/>
      <c r="I474" s="2" t="inlineStr">
        <is>
          <t>Easy</t>
        </is>
      </c>
      <c r="J474" s="3">
        <f>HYPERLINK("https://www.codechef.com/problems/JSMCQ19", "https://www.codechef.com/problems/JSMCQ19")</f>
        <v/>
      </c>
      <c r="K474" s="2" t="inlineStr"/>
      <c r="L474" s="2" t="inlineStr"/>
      <c r="M474" s="2" t="inlineStr"/>
      <c r="N474" s="2" t="inlineStr">
        <is>
          <t>No</t>
        </is>
      </c>
      <c r="O474" s="2" t="inlineStr">
        <is>
          <t>Unattempted</t>
        </is>
      </c>
    </row>
    <row r="475">
      <c r="A475" s="4" t="inlineStr">
        <is>
          <t>Interview Questions</t>
        </is>
      </c>
      <c r="B475" s="4" t="inlineStr">
        <is>
          <t>Top JavaScript Interview Questions</t>
        </is>
      </c>
      <c r="C475" s="4" t="inlineStr">
        <is>
          <t>Revise all the important JavaScript concepts by answering these JavaScript Interview Questions. All questions contain detailed explanation so that you can learn the topics you don't know fully.</t>
        </is>
      </c>
      <c r="D475" s="4" t="inlineStr">
        <is>
          <t>DOM manipulation and events - DOM manipulation and events</t>
        </is>
      </c>
      <c r="E475" s="4" t="n">
        <v>20</v>
      </c>
      <c r="F475" s="4" t="inlineStr">
        <is>
          <t>DOM Selection</t>
        </is>
      </c>
      <c r="G475" s="4" t="inlineStr">
        <is>
          <t>JSMCQ20</t>
        </is>
      </c>
      <c r="H475" s="4" t="inlineStr"/>
      <c r="I475" s="4" t="inlineStr">
        <is>
          <t>Easy</t>
        </is>
      </c>
      <c r="J475" s="5">
        <f>HYPERLINK("https://www.codechef.com/problems/JSMCQ20", "https://www.codechef.com/problems/JSMCQ20")</f>
        <v/>
      </c>
      <c r="K475" s="4" t="inlineStr"/>
      <c r="L475" s="4" t="inlineStr"/>
      <c r="M475" s="4" t="inlineStr"/>
      <c r="N475" s="4" t="inlineStr">
        <is>
          <t>No</t>
        </is>
      </c>
      <c r="O475" s="4" t="inlineStr">
        <is>
          <t>Unattempted</t>
        </is>
      </c>
    </row>
    <row r="476">
      <c r="A476" s="2" t="inlineStr">
        <is>
          <t>Interview Questions</t>
        </is>
      </c>
      <c r="B476" s="2" t="inlineStr">
        <is>
          <t>Top JavaScript Interview Questions</t>
        </is>
      </c>
      <c r="C476" s="2" t="inlineStr">
        <is>
          <t>Revise all the important JavaScript concepts by answering these JavaScript Interview Questions. All questions contain detailed explanation so that you can learn the topics you don't know fully.</t>
        </is>
      </c>
      <c r="D476" s="2" t="inlineStr">
        <is>
          <t>Error handling (try/catch) - Error Handling</t>
        </is>
      </c>
      <c r="E476" s="2" t="n">
        <v>21</v>
      </c>
      <c r="F476" s="2" t="inlineStr">
        <is>
          <t>Exception Handling Basics</t>
        </is>
      </c>
      <c r="G476" s="2" t="inlineStr">
        <is>
          <t>JSMCQ21</t>
        </is>
      </c>
      <c r="H476" s="2" t="inlineStr"/>
      <c r="I476" s="2" t="inlineStr">
        <is>
          <t>Easy</t>
        </is>
      </c>
      <c r="J476" s="3">
        <f>HYPERLINK("https://www.codechef.com/problems/JSMCQ21", "https://www.codechef.com/problems/JSMCQ21")</f>
        <v/>
      </c>
      <c r="K476" s="2" t="inlineStr"/>
      <c r="L476" s="2" t="inlineStr"/>
      <c r="M476" s="2" t="inlineStr"/>
      <c r="N476" s="2" t="inlineStr">
        <is>
          <t>No</t>
        </is>
      </c>
      <c r="O476" s="2" t="inlineStr">
        <is>
          <t>Unattempted</t>
        </is>
      </c>
    </row>
    <row r="477">
      <c r="A477" s="4" t="inlineStr">
        <is>
          <t>Interview Questions</t>
        </is>
      </c>
      <c r="B477" s="4" t="inlineStr">
        <is>
          <t>Top JavaScript Interview Questions</t>
        </is>
      </c>
      <c r="C477" s="4" t="inlineStr">
        <is>
          <t>Revise all the important JavaScript concepts by answering these JavaScript Interview Questions. All questions contain detailed explanation so that you can learn the topics you don't know fully.</t>
        </is>
      </c>
      <c r="D477" s="4" t="inlineStr">
        <is>
          <t>Error handling (try/catch) - Error Handling</t>
        </is>
      </c>
      <c r="E477" s="4" t="n">
        <v>22</v>
      </c>
      <c r="F477" s="4" t="inlineStr">
        <is>
          <t>Catch Block Parameter</t>
        </is>
      </c>
      <c r="G477" s="4" t="inlineStr">
        <is>
          <t>JSMCQ22</t>
        </is>
      </c>
      <c r="H477" s="4" t="inlineStr"/>
      <c r="I477" s="4" t="inlineStr">
        <is>
          <t>Easy</t>
        </is>
      </c>
      <c r="J477" s="5">
        <f>HYPERLINK("https://www.codechef.com/problems/JSMCQ22", "https://www.codechef.com/problems/JSMCQ22")</f>
        <v/>
      </c>
      <c r="K477" s="4" t="inlineStr"/>
      <c r="L477" s="4" t="inlineStr"/>
      <c r="M477" s="4" t="inlineStr"/>
      <c r="N477" s="4" t="inlineStr">
        <is>
          <t>No</t>
        </is>
      </c>
      <c r="O477" s="4" t="inlineStr">
        <is>
          <t>Unattempted</t>
        </is>
      </c>
    </row>
    <row r="478">
      <c r="A478" s="2" t="inlineStr">
        <is>
          <t>Interview Questions</t>
        </is>
      </c>
      <c r="B478" s="2" t="inlineStr">
        <is>
          <t>Top JavaScript Interview Questions</t>
        </is>
      </c>
      <c r="C478" s="2" t="inlineStr">
        <is>
          <t>Revise all the important JavaScript concepts by answering these JavaScript Interview Questions. All questions contain detailed explanation so that you can learn the topics you don't know fully.</t>
        </is>
      </c>
      <c r="D478" s="2" t="inlineStr">
        <is>
          <t>Error handling (try/catch) - Error Handling</t>
        </is>
      </c>
      <c r="E478" s="2" t="n">
        <v>23</v>
      </c>
      <c r="F478" s="2" t="inlineStr">
        <is>
          <t>Finally Block Usage</t>
        </is>
      </c>
      <c r="G478" s="2" t="inlineStr">
        <is>
          <t>JSMCQ23</t>
        </is>
      </c>
      <c r="H478" s="2" t="inlineStr"/>
      <c r="I478" s="2" t="inlineStr">
        <is>
          <t>Easy</t>
        </is>
      </c>
      <c r="J478" s="3">
        <f>HYPERLINK("https://www.codechef.com/problems/JSMCQ23", "https://www.codechef.com/problems/JSMCQ23")</f>
        <v/>
      </c>
      <c r="K478" s="2" t="inlineStr"/>
      <c r="L478" s="2" t="inlineStr"/>
      <c r="M478" s="2" t="inlineStr"/>
      <c r="N478" s="2" t="inlineStr">
        <is>
          <t>No</t>
        </is>
      </c>
      <c r="O478" s="2" t="inlineStr">
        <is>
          <t>Unattempted</t>
        </is>
      </c>
    </row>
    <row r="479">
      <c r="A479" s="4" t="inlineStr">
        <is>
          <t>Interview Questions</t>
        </is>
      </c>
      <c r="B479" s="4" t="inlineStr">
        <is>
          <t>Top JavaScript Interview Questions</t>
        </is>
      </c>
      <c r="C479" s="4" t="inlineStr">
        <is>
          <t>Revise all the important JavaScript concepts by answering these JavaScript Interview Questions. All questions contain detailed explanation so that you can learn the topics you don't know fully.</t>
        </is>
      </c>
      <c r="D479" s="4" t="inlineStr">
        <is>
          <t>Error handling (try/catch) - Error Handling</t>
        </is>
      </c>
      <c r="E479" s="4" t="n">
        <v>24</v>
      </c>
      <c r="F479" s="4" t="inlineStr">
        <is>
          <t>Error Types</t>
        </is>
      </c>
      <c r="G479" s="4" t="inlineStr">
        <is>
          <t>JSMCQ24</t>
        </is>
      </c>
      <c r="H479" s="4" t="inlineStr"/>
      <c r="I479" s="4" t="inlineStr">
        <is>
          <t>Easy</t>
        </is>
      </c>
      <c r="J479" s="5">
        <f>HYPERLINK("https://www.codechef.com/problems/JSMCQ24", "https://www.codechef.com/problems/JSMCQ24")</f>
        <v/>
      </c>
      <c r="K479" s="4" t="inlineStr"/>
      <c r="L479" s="4" t="inlineStr"/>
      <c r="M479" s="4" t="inlineStr"/>
      <c r="N479" s="4" t="inlineStr">
        <is>
          <t>No</t>
        </is>
      </c>
      <c r="O479" s="4" t="inlineStr">
        <is>
          <t>Unattempted</t>
        </is>
      </c>
    </row>
    <row r="480">
      <c r="A480" s="2" t="inlineStr">
        <is>
          <t>Interview Questions</t>
        </is>
      </c>
      <c r="B480" s="2" t="inlineStr">
        <is>
          <t>Top JavaScript Interview Questions</t>
        </is>
      </c>
      <c r="C480" s="2" t="inlineStr">
        <is>
          <t>Revise all the important JavaScript concepts by answering these JavaScript Interview Questions. All questions contain detailed explanation so that you can learn the topics you don't know fully.</t>
        </is>
      </c>
      <c r="D480" s="2" t="inlineStr">
        <is>
          <t>Error handling (try/catch) - Error Handling</t>
        </is>
      </c>
      <c r="E480" s="2" t="n">
        <v>25</v>
      </c>
      <c r="F480" s="2" t="inlineStr">
        <is>
          <t>Throwing Custom Errors</t>
        </is>
      </c>
      <c r="G480" s="2" t="inlineStr">
        <is>
          <t>JSMCQ25</t>
        </is>
      </c>
      <c r="H480" s="2" t="inlineStr"/>
      <c r="I480" s="2" t="inlineStr">
        <is>
          <t>Easy</t>
        </is>
      </c>
      <c r="J480" s="3">
        <f>HYPERLINK("https://www.codechef.com/problems/JSMCQ25", "https://www.codechef.com/problems/JSMCQ25")</f>
        <v/>
      </c>
      <c r="K480" s="2" t="inlineStr"/>
      <c r="L480" s="2" t="inlineStr"/>
      <c r="M480" s="2" t="inlineStr"/>
      <c r="N480" s="2" t="inlineStr">
        <is>
          <t>No</t>
        </is>
      </c>
      <c r="O480" s="2" t="inlineStr">
        <is>
          <t>Unattempted</t>
        </is>
      </c>
    </row>
    <row r="481">
      <c r="A481" s="4" t="inlineStr">
        <is>
          <t>Interview Questions</t>
        </is>
      </c>
      <c r="B481" s="4" t="inlineStr">
        <is>
          <t>Top JavaScript Interview Questions</t>
        </is>
      </c>
      <c r="C481" s="4" t="inlineStr">
        <is>
          <t>Revise all the important JavaScript concepts by answering these JavaScript Interview Questions. All questions contain detailed explanation so that you can learn the topics you don't know fully.</t>
        </is>
      </c>
      <c r="D481" s="4" t="inlineStr">
        <is>
          <t>Hoisting - Hoisting</t>
        </is>
      </c>
      <c r="E481" s="4" t="n">
        <v>26</v>
      </c>
      <c r="F481" s="4" t="inlineStr">
        <is>
          <t>Variable Declaration Behavior</t>
        </is>
      </c>
      <c r="G481" s="4" t="inlineStr">
        <is>
          <t>JSMCQ26</t>
        </is>
      </c>
      <c r="H481" s="4" t="inlineStr"/>
      <c r="I481" s="4" t="inlineStr">
        <is>
          <t>Easy</t>
        </is>
      </c>
      <c r="J481" s="5">
        <f>HYPERLINK("https://www.codechef.com/problems/JSMCQ26", "https://www.codechef.com/problems/JSMCQ26")</f>
        <v/>
      </c>
      <c r="K481" s="4" t="inlineStr"/>
      <c r="L481" s="4" t="inlineStr"/>
      <c r="M481" s="4" t="inlineStr"/>
      <c r="N481" s="4" t="inlineStr">
        <is>
          <t>No</t>
        </is>
      </c>
      <c r="O481" s="4" t="inlineStr">
        <is>
          <t>Unattempted</t>
        </is>
      </c>
    </row>
    <row r="482">
      <c r="A482" s="2" t="inlineStr">
        <is>
          <t>Interview Questions</t>
        </is>
      </c>
      <c r="B482" s="2" t="inlineStr">
        <is>
          <t>Top JavaScript Interview Questions</t>
        </is>
      </c>
      <c r="C482" s="2" t="inlineStr">
        <is>
          <t>Revise all the important JavaScript concepts by answering these JavaScript Interview Questions. All questions contain detailed explanation so that you can learn the topics you don't know fully.</t>
        </is>
      </c>
      <c r="D482" s="2" t="inlineStr">
        <is>
          <t>Hoisting - Hoisting</t>
        </is>
      </c>
      <c r="E482" s="2" t="n">
        <v>27</v>
      </c>
      <c r="F482" s="2" t="inlineStr">
        <is>
          <t>Function Declaration Hoisting</t>
        </is>
      </c>
      <c r="G482" s="2" t="inlineStr">
        <is>
          <t>JSMCQ27</t>
        </is>
      </c>
      <c r="H482" s="2" t="inlineStr"/>
      <c r="I482" s="2" t="inlineStr">
        <is>
          <t>Easy</t>
        </is>
      </c>
      <c r="J482" s="3">
        <f>HYPERLINK("https://www.codechef.com/problems/JSMCQ27", "https://www.codechef.com/problems/JSMCQ27")</f>
        <v/>
      </c>
      <c r="K482" s="2" t="inlineStr"/>
      <c r="L482" s="2" t="inlineStr"/>
      <c r="M482" s="2" t="inlineStr"/>
      <c r="N482" s="2" t="inlineStr">
        <is>
          <t>No</t>
        </is>
      </c>
      <c r="O482" s="2" t="inlineStr">
        <is>
          <t>Unattempted</t>
        </is>
      </c>
    </row>
    <row r="483">
      <c r="A483" s="4" t="inlineStr">
        <is>
          <t>Interview Questions</t>
        </is>
      </c>
      <c r="B483" s="4" t="inlineStr">
        <is>
          <t>Top JavaScript Interview Questions</t>
        </is>
      </c>
      <c r="C483" s="4" t="inlineStr">
        <is>
          <t>Revise all the important JavaScript concepts by answering these JavaScript Interview Questions. All questions contain detailed explanation so that you can learn the topics you don't know fully.</t>
        </is>
      </c>
      <c r="D483" s="4" t="inlineStr">
        <is>
          <t>Hoisting - Hoisting</t>
        </is>
      </c>
      <c r="E483" s="4" t="n">
        <v>28</v>
      </c>
      <c r="F483" s="4" t="inlineStr">
        <is>
          <t>Let and Const Hoisting</t>
        </is>
      </c>
      <c r="G483" s="4" t="inlineStr">
        <is>
          <t>JSMCQ28</t>
        </is>
      </c>
      <c r="H483" s="4" t="inlineStr"/>
      <c r="I483" s="4" t="inlineStr">
        <is>
          <t>Medium</t>
        </is>
      </c>
      <c r="J483" s="5">
        <f>HYPERLINK("https://www.codechef.com/problems/JSMCQ28", "https://www.codechef.com/problems/JSMCQ28")</f>
        <v/>
      </c>
      <c r="K483" s="4" t="inlineStr"/>
      <c r="L483" s="4" t="inlineStr"/>
      <c r="M483" s="4" t="inlineStr"/>
      <c r="N483" s="4" t="inlineStr">
        <is>
          <t>No</t>
        </is>
      </c>
      <c r="O483" s="4" t="inlineStr">
        <is>
          <t>Unattempted</t>
        </is>
      </c>
    </row>
    <row r="484">
      <c r="A484" s="2" t="inlineStr">
        <is>
          <t>Interview Questions</t>
        </is>
      </c>
      <c r="B484" s="2" t="inlineStr">
        <is>
          <t>Top JavaScript Interview Questions</t>
        </is>
      </c>
      <c r="C484" s="2" t="inlineStr">
        <is>
          <t>Revise all the important JavaScript concepts by answering these JavaScript Interview Questions. All questions contain detailed explanation so that you can learn the topics you don't know fully.</t>
        </is>
      </c>
      <c r="D484" s="2" t="inlineStr">
        <is>
          <t>Hoisting - Hoisting</t>
        </is>
      </c>
      <c r="E484" s="2" t="n">
        <v>29</v>
      </c>
      <c r="F484" s="2" t="inlineStr">
        <is>
          <t>Function Expression Hoisting</t>
        </is>
      </c>
      <c r="G484" s="2" t="inlineStr">
        <is>
          <t>JSMCQ29</t>
        </is>
      </c>
      <c r="H484" s="2" t="inlineStr"/>
      <c r="I484" s="2" t="inlineStr">
        <is>
          <t>Medium</t>
        </is>
      </c>
      <c r="J484" s="3">
        <f>HYPERLINK("https://www.codechef.com/problems/JSMCQ29", "https://www.codechef.com/problems/JSMCQ29")</f>
        <v/>
      </c>
      <c r="K484" s="2" t="inlineStr"/>
      <c r="L484" s="2" t="inlineStr"/>
      <c r="M484" s="2" t="inlineStr"/>
      <c r="N484" s="2" t="inlineStr">
        <is>
          <t>No</t>
        </is>
      </c>
      <c r="O484" s="2" t="inlineStr">
        <is>
          <t>Unattempted</t>
        </is>
      </c>
    </row>
    <row r="485">
      <c r="A485" s="4" t="inlineStr">
        <is>
          <t>Interview Questions</t>
        </is>
      </c>
      <c r="B485" s="4" t="inlineStr">
        <is>
          <t>Top JavaScript Interview Questions</t>
        </is>
      </c>
      <c r="C485" s="4" t="inlineStr">
        <is>
          <t>Revise all the important JavaScript concepts by answering these JavaScript Interview Questions. All questions contain detailed explanation so that you can learn the topics you don't know fully.</t>
        </is>
      </c>
      <c r="D485" s="4" t="inlineStr">
        <is>
          <t>Hoisting - Hoisting</t>
        </is>
      </c>
      <c r="E485" s="4" t="n">
        <v>30</v>
      </c>
      <c r="F485" s="4" t="inlineStr">
        <is>
          <t>Hoisting Priority</t>
        </is>
      </c>
      <c r="G485" s="4" t="inlineStr">
        <is>
          <t>JSMCQ30</t>
        </is>
      </c>
      <c r="H485" s="4" t="inlineStr"/>
      <c r="I485" s="4" t="inlineStr">
        <is>
          <t>Medium</t>
        </is>
      </c>
      <c r="J485" s="5">
        <f>HYPERLINK("https://www.codechef.com/problems/JSMCQ30", "https://www.codechef.com/problems/JSMCQ30")</f>
        <v/>
      </c>
      <c r="K485" s="4" t="inlineStr"/>
      <c r="L485" s="4" t="inlineStr"/>
      <c r="M485" s="4" t="inlineStr"/>
      <c r="N485" s="4" t="inlineStr">
        <is>
          <t>No</t>
        </is>
      </c>
      <c r="O485" s="4" t="inlineStr">
        <is>
          <t>Unattempted</t>
        </is>
      </c>
    </row>
    <row r="486">
      <c r="A486" s="2" t="inlineStr">
        <is>
          <t>Interview Questions</t>
        </is>
      </c>
      <c r="B486" s="2" t="inlineStr">
        <is>
          <t>Top JavaScript Interview Questions</t>
        </is>
      </c>
      <c r="C486" s="2" t="inlineStr">
        <is>
          <t>Revise all the important JavaScript concepts by answering these JavaScript Interview Questions. All questions contain detailed explanation so that you can learn the topics you don't know fully.</t>
        </is>
      </c>
      <c r="D486" s="2" t="inlineStr">
        <is>
          <t>Scope and this keyword - Scope and this keyword</t>
        </is>
      </c>
      <c r="E486" s="2" t="n">
        <v>31</v>
      </c>
      <c r="F486" s="2" t="inlineStr">
        <is>
          <t>Variable Accessibility</t>
        </is>
      </c>
      <c r="G486" s="2" t="inlineStr">
        <is>
          <t>JSMCQ31</t>
        </is>
      </c>
      <c r="H486" s="2" t="inlineStr"/>
      <c r="I486" s="2" t="inlineStr">
        <is>
          <t>Medium</t>
        </is>
      </c>
      <c r="J486" s="3">
        <f>HYPERLINK("https://www.codechef.com/problems/JSMCQ31", "https://www.codechef.com/problems/JSMCQ31")</f>
        <v/>
      </c>
      <c r="K486" s="2" t="inlineStr"/>
      <c r="L486" s="2" t="inlineStr"/>
      <c r="M486" s="2" t="inlineStr"/>
      <c r="N486" s="2" t="inlineStr">
        <is>
          <t>No</t>
        </is>
      </c>
      <c r="O486" s="2" t="inlineStr">
        <is>
          <t>Unattempted</t>
        </is>
      </c>
    </row>
    <row r="487">
      <c r="A487" s="4" t="inlineStr">
        <is>
          <t>Interview Questions</t>
        </is>
      </c>
      <c r="B487" s="4" t="inlineStr">
        <is>
          <t>Top JavaScript Interview Questions</t>
        </is>
      </c>
      <c r="C487" s="4" t="inlineStr">
        <is>
          <t>Revise all the important JavaScript concepts by answering these JavaScript Interview Questions. All questions contain detailed explanation so that you can learn the topics you don't know fully.</t>
        </is>
      </c>
      <c r="D487" s="4" t="inlineStr">
        <is>
          <t>Scope and this keyword - Scope and this keyword</t>
        </is>
      </c>
      <c r="E487" s="4" t="n">
        <v>32</v>
      </c>
      <c r="F487" s="4" t="inlineStr">
        <is>
          <t>this in Global Context</t>
        </is>
      </c>
      <c r="G487" s="4" t="inlineStr">
        <is>
          <t>JSMCQ32</t>
        </is>
      </c>
      <c r="H487" s="4" t="inlineStr"/>
      <c r="I487" s="4" t="inlineStr">
        <is>
          <t>Easy</t>
        </is>
      </c>
      <c r="J487" s="5">
        <f>HYPERLINK("https://www.codechef.com/problems/JSMCQ32", "https://www.codechef.com/problems/JSMCQ32")</f>
        <v/>
      </c>
      <c r="K487" s="4" t="inlineStr"/>
      <c r="L487" s="4" t="inlineStr"/>
      <c r="M487" s="4" t="inlineStr"/>
      <c r="N487" s="4" t="inlineStr">
        <is>
          <t>No</t>
        </is>
      </c>
      <c r="O487" s="4" t="inlineStr">
        <is>
          <t>Unattempted</t>
        </is>
      </c>
    </row>
    <row r="488">
      <c r="A488" s="2" t="inlineStr">
        <is>
          <t>Interview Questions</t>
        </is>
      </c>
      <c r="B488" s="2" t="inlineStr">
        <is>
          <t>Top JavaScript Interview Questions</t>
        </is>
      </c>
      <c r="C488" s="2" t="inlineStr">
        <is>
          <t>Revise all the important JavaScript concepts by answering these JavaScript Interview Questions. All questions contain detailed explanation so that you can learn the topics you don't know fully.</t>
        </is>
      </c>
      <c r="D488" s="2" t="inlineStr">
        <is>
          <t>Scope and this keyword - Scope and this keyword</t>
        </is>
      </c>
      <c r="E488" s="2" t="n">
        <v>33</v>
      </c>
      <c r="F488" s="2" t="inlineStr">
        <is>
          <t>Function Context</t>
        </is>
      </c>
      <c r="G488" s="2" t="inlineStr">
        <is>
          <t>JSMCQ33</t>
        </is>
      </c>
      <c r="H488" s="2" t="inlineStr"/>
      <c r="I488" s="2" t="inlineStr">
        <is>
          <t>Medium</t>
        </is>
      </c>
      <c r="J488" s="3">
        <f>HYPERLINK("https://www.codechef.com/problems/JSMCQ33", "https://www.codechef.com/problems/JSMCQ33")</f>
        <v/>
      </c>
      <c r="K488" s="2" t="inlineStr"/>
      <c r="L488" s="2" t="inlineStr"/>
      <c r="M488" s="2" t="inlineStr"/>
      <c r="N488" s="2" t="inlineStr">
        <is>
          <t>No</t>
        </is>
      </c>
      <c r="O488" s="2" t="inlineStr">
        <is>
          <t>Unattempted</t>
        </is>
      </c>
    </row>
    <row r="489">
      <c r="A489" s="4" t="inlineStr">
        <is>
          <t>Interview Questions</t>
        </is>
      </c>
      <c r="B489" s="4" t="inlineStr">
        <is>
          <t>Top JavaScript Interview Questions</t>
        </is>
      </c>
      <c r="C489" s="4" t="inlineStr">
        <is>
          <t>Revise all the important JavaScript concepts by answering these JavaScript Interview Questions. All questions contain detailed explanation so that you can learn the topics you don't know fully.</t>
        </is>
      </c>
      <c r="D489" s="4" t="inlineStr">
        <is>
          <t>Scope and this keyword - Scope and this keyword</t>
        </is>
      </c>
      <c r="E489" s="4" t="n">
        <v>34</v>
      </c>
      <c r="F489" s="4" t="inlineStr">
        <is>
          <t>Arrow Function and this</t>
        </is>
      </c>
      <c r="G489" s="4" t="inlineStr">
        <is>
          <t>JSMCQ34</t>
        </is>
      </c>
      <c r="H489" s="4" t="inlineStr"/>
      <c r="I489" s="4" t="inlineStr">
        <is>
          <t>Medium</t>
        </is>
      </c>
      <c r="J489" s="5">
        <f>HYPERLINK("https://www.codechef.com/problems/JSMCQ34", "https://www.codechef.com/problems/JSMCQ34")</f>
        <v/>
      </c>
      <c r="K489" s="4" t="inlineStr"/>
      <c r="L489" s="4" t="inlineStr"/>
      <c r="M489" s="4" t="inlineStr"/>
      <c r="N489" s="4" t="inlineStr">
        <is>
          <t>No</t>
        </is>
      </c>
      <c r="O489" s="4" t="inlineStr">
        <is>
          <t>Unattempted</t>
        </is>
      </c>
    </row>
    <row r="490">
      <c r="A490" s="2" t="inlineStr">
        <is>
          <t>Interview Questions</t>
        </is>
      </c>
      <c r="B490" s="2" t="inlineStr">
        <is>
          <t>Top JavaScript Interview Questions</t>
        </is>
      </c>
      <c r="C490" s="2" t="inlineStr">
        <is>
          <t>Revise all the important JavaScript concepts by answering these JavaScript Interview Questions. All questions contain detailed explanation so that you can learn the topics you don't know fully.</t>
        </is>
      </c>
      <c r="D490" s="2" t="inlineStr">
        <is>
          <t>Scope and this keyword - Scope and this keyword</t>
        </is>
      </c>
      <c r="E490" s="2" t="n">
        <v>35</v>
      </c>
      <c r="F490" s="2" t="inlineStr">
        <is>
          <t>Block Scope</t>
        </is>
      </c>
      <c r="G490" s="2" t="inlineStr">
        <is>
          <t>JSMCQ35</t>
        </is>
      </c>
      <c r="H490" s="2" t="inlineStr"/>
      <c r="I490" s="2" t="inlineStr">
        <is>
          <t>Easy</t>
        </is>
      </c>
      <c r="J490" s="3">
        <f>HYPERLINK("https://www.codechef.com/problems/JSMCQ35", "https://www.codechef.com/problems/JSMCQ35")</f>
        <v/>
      </c>
      <c r="K490" s="2" t="inlineStr"/>
      <c r="L490" s="2" t="inlineStr"/>
      <c r="M490" s="2" t="inlineStr"/>
      <c r="N490" s="2" t="inlineStr">
        <is>
          <t>No</t>
        </is>
      </c>
      <c r="O490" s="2" t="inlineStr">
        <is>
          <t>Unattempted</t>
        </is>
      </c>
    </row>
    <row r="491">
      <c r="A491" s="4" t="inlineStr">
        <is>
          <t>Interview Questions</t>
        </is>
      </c>
      <c r="B491" s="4" t="inlineStr">
        <is>
          <t>Top JavaScript Interview Questions</t>
        </is>
      </c>
      <c r="C491" s="4" t="inlineStr">
        <is>
          <t>Revise all the important JavaScript concepts by answering these JavaScript Interview Questions. All questions contain detailed explanation so that you can learn the topics you don't know fully.</t>
        </is>
      </c>
      <c r="D491" s="4" t="inlineStr">
        <is>
          <t>Scope and this keyword - Scope and this keyword</t>
        </is>
      </c>
      <c r="E491" s="4" t="n">
        <v>36</v>
      </c>
      <c r="F491" s="4" t="inlineStr">
        <is>
          <t>Function Scope</t>
        </is>
      </c>
      <c r="G491" s="4" t="inlineStr">
        <is>
          <t>JSMCQ36</t>
        </is>
      </c>
      <c r="H491" s="4" t="inlineStr"/>
      <c r="I491" s="4" t="inlineStr">
        <is>
          <t>Easy</t>
        </is>
      </c>
      <c r="J491" s="5">
        <f>HYPERLINK("https://www.codechef.com/problems/JSMCQ36", "https://www.codechef.com/problems/JSMCQ36")</f>
        <v/>
      </c>
      <c r="K491" s="4" t="inlineStr"/>
      <c r="L491" s="4" t="inlineStr"/>
      <c r="M491" s="4" t="inlineStr"/>
      <c r="N491" s="4" t="inlineStr">
        <is>
          <t>No</t>
        </is>
      </c>
      <c r="O491" s="4" t="inlineStr">
        <is>
          <t>Unattempted</t>
        </is>
      </c>
    </row>
    <row r="492">
      <c r="A492" s="2" t="inlineStr">
        <is>
          <t>Interview Questions</t>
        </is>
      </c>
      <c r="B492" s="2" t="inlineStr">
        <is>
          <t>Top JavaScript Interview Questions</t>
        </is>
      </c>
      <c r="C492" s="2" t="inlineStr">
        <is>
          <t>Revise all the important JavaScript concepts by answering these JavaScript Interview Questions. All questions contain detailed explanation so that you can learn the topics you don't know fully.</t>
        </is>
      </c>
      <c r="D492" s="2" t="inlineStr">
        <is>
          <t>Higher-order functions and callbacks - Higher-order functions and callbacks</t>
        </is>
      </c>
      <c r="E492" s="2" t="n">
        <v>37</v>
      </c>
      <c r="F492" s="2" t="inlineStr">
        <is>
          <t>Function as Parameter</t>
        </is>
      </c>
      <c r="G492" s="2" t="inlineStr">
        <is>
          <t>JSMCQ37</t>
        </is>
      </c>
      <c r="H492" s="2" t="inlineStr"/>
      <c r="I492" s="2" t="inlineStr">
        <is>
          <t>Easy</t>
        </is>
      </c>
      <c r="J492" s="3">
        <f>HYPERLINK("https://www.codechef.com/problems/JSMCQ37", "https://www.codechef.com/problems/JSMCQ37")</f>
        <v/>
      </c>
      <c r="K492" s="2" t="inlineStr"/>
      <c r="L492" s="2" t="inlineStr"/>
      <c r="M492" s="2" t="inlineStr"/>
      <c r="N492" s="2" t="inlineStr">
        <is>
          <t>No</t>
        </is>
      </c>
      <c r="O492" s="2" t="inlineStr">
        <is>
          <t>Unattempted</t>
        </is>
      </c>
    </row>
    <row r="493">
      <c r="A493" s="4" t="inlineStr">
        <is>
          <t>Interview Questions</t>
        </is>
      </c>
      <c r="B493" s="4" t="inlineStr">
        <is>
          <t>Top JavaScript Interview Questions</t>
        </is>
      </c>
      <c r="C493" s="4" t="inlineStr">
        <is>
          <t>Revise all the important JavaScript concepts by answering these JavaScript Interview Questions. All questions contain detailed explanation so that you can learn the topics you don't know fully.</t>
        </is>
      </c>
      <c r="D493" s="4" t="inlineStr">
        <is>
          <t>Higher-order functions and callbacks - Higher-order functions and callbacks</t>
        </is>
      </c>
      <c r="E493" s="4" t="n">
        <v>38</v>
      </c>
      <c r="F493" s="4" t="inlineStr">
        <is>
          <t>Callback Usage</t>
        </is>
      </c>
      <c r="G493" s="4" t="inlineStr">
        <is>
          <t>JSMCQ38</t>
        </is>
      </c>
      <c r="H493" s="4" t="inlineStr"/>
      <c r="I493" s="4" t="inlineStr">
        <is>
          <t>Easy</t>
        </is>
      </c>
      <c r="J493" s="5">
        <f>HYPERLINK("https://www.codechef.com/problems/JSMCQ38", "https://www.codechef.com/problems/JSMCQ38")</f>
        <v/>
      </c>
      <c r="K493" s="4" t="inlineStr"/>
      <c r="L493" s="4" t="inlineStr"/>
      <c r="M493" s="4" t="inlineStr"/>
      <c r="N493" s="4" t="inlineStr">
        <is>
          <t>No</t>
        </is>
      </c>
      <c r="O493" s="4" t="inlineStr">
        <is>
          <t>Unattempted</t>
        </is>
      </c>
    </row>
    <row r="494">
      <c r="A494" s="2" t="inlineStr">
        <is>
          <t>Interview Questions</t>
        </is>
      </c>
      <c r="B494" s="2" t="inlineStr">
        <is>
          <t>Top JavaScript Interview Questions</t>
        </is>
      </c>
      <c r="C494" s="2" t="inlineStr">
        <is>
          <t>Revise all the important JavaScript concepts by answering these JavaScript Interview Questions. All questions contain detailed explanation so that you can learn the topics you don't know fully.</t>
        </is>
      </c>
      <c r="D494" s="2" t="inlineStr">
        <is>
          <t>Higher-order functions and callbacks - Higher-order functions and callbacks</t>
        </is>
      </c>
      <c r="E494" s="2" t="n">
        <v>39</v>
      </c>
      <c r="F494" s="2" t="inlineStr">
        <is>
          <t>Array Method Identification</t>
        </is>
      </c>
      <c r="G494" s="2" t="inlineStr">
        <is>
          <t>JSMCQ39</t>
        </is>
      </c>
      <c r="H494" s="2" t="inlineStr"/>
      <c r="I494" s="2" t="inlineStr">
        <is>
          <t>Easy</t>
        </is>
      </c>
      <c r="J494" s="3">
        <f>HYPERLINK("https://www.codechef.com/problems/JSMCQ39", "https://www.codechef.com/problems/JSMCQ39")</f>
        <v/>
      </c>
      <c r="K494" s="2" t="inlineStr"/>
      <c r="L494" s="2" t="inlineStr"/>
      <c r="M494" s="2" t="inlineStr"/>
      <c r="N494" s="2" t="inlineStr">
        <is>
          <t>No</t>
        </is>
      </c>
      <c r="O494" s="2" t="inlineStr">
        <is>
          <t>Unattempted</t>
        </is>
      </c>
    </row>
    <row r="495">
      <c r="A495" s="4" t="inlineStr">
        <is>
          <t>Interview Questions</t>
        </is>
      </c>
      <c r="B495" s="4" t="inlineStr">
        <is>
          <t>Top JavaScript Interview Questions</t>
        </is>
      </c>
      <c r="C495" s="4" t="inlineStr">
        <is>
          <t>Revise all the important JavaScript concepts by answering these JavaScript Interview Questions. All questions contain detailed explanation so that you can learn the topics you don't know fully.</t>
        </is>
      </c>
      <c r="D495" s="4" t="inlineStr">
        <is>
          <t>Higher-order functions and callbacks - Higher-order functions and callbacks</t>
        </is>
      </c>
      <c r="E495" s="4" t="n">
        <v>40</v>
      </c>
      <c r="F495" s="4" t="inlineStr">
        <is>
          <t>Multiple Callbacks</t>
        </is>
      </c>
      <c r="G495" s="4" t="inlineStr">
        <is>
          <t>JSMCQ40</t>
        </is>
      </c>
      <c r="H495" s="4" t="inlineStr"/>
      <c r="I495" s="4" t="inlineStr">
        <is>
          <t>Easy</t>
        </is>
      </c>
      <c r="J495" s="5">
        <f>HYPERLINK("https://www.codechef.com/problems/JSMCQ40", "https://www.codechef.com/problems/JSMCQ40")</f>
        <v/>
      </c>
      <c r="K495" s="4" t="inlineStr"/>
      <c r="L495" s="4" t="inlineStr"/>
      <c r="M495" s="4" t="inlineStr"/>
      <c r="N495" s="4" t="inlineStr">
        <is>
          <t>No</t>
        </is>
      </c>
      <c r="O495" s="4" t="inlineStr">
        <is>
          <t>Unattempted</t>
        </is>
      </c>
    </row>
    <row r="496">
      <c r="A496" s="2" t="inlineStr">
        <is>
          <t>Interview Questions</t>
        </is>
      </c>
      <c r="B496" s="2" t="inlineStr">
        <is>
          <t>Top JavaScript Interview Questions</t>
        </is>
      </c>
      <c r="C496" s="2" t="inlineStr">
        <is>
          <t>Revise all the important JavaScript concepts by answering these JavaScript Interview Questions. All questions contain detailed explanation so that you can learn the topics you don't know fully.</t>
        </is>
      </c>
      <c r="D496" s="2" t="inlineStr">
        <is>
          <t>Object-oriented programming in JavaScript - Object-oriented programming in JavaScript</t>
        </is>
      </c>
      <c r="E496" s="2" t="n">
        <v>41</v>
      </c>
      <c r="F496" s="2" t="inlineStr">
        <is>
          <t>Class Declaration</t>
        </is>
      </c>
      <c r="G496" s="2" t="inlineStr">
        <is>
          <t>JSMCQ42</t>
        </is>
      </c>
      <c r="H496" s="2" t="inlineStr"/>
      <c r="I496" s="2" t="inlineStr">
        <is>
          <t>Easy</t>
        </is>
      </c>
      <c r="J496" s="3">
        <f>HYPERLINK("https://www.codechef.com/problems/JSMCQ42", "https://www.codechef.com/problems/JSMCQ42")</f>
        <v/>
      </c>
      <c r="K496" s="2" t="inlineStr"/>
      <c r="L496" s="2" t="inlineStr"/>
      <c r="M496" s="2" t="inlineStr"/>
      <c r="N496" s="2" t="inlineStr">
        <is>
          <t>No</t>
        </is>
      </c>
      <c r="O496" s="2" t="inlineStr">
        <is>
          <t>Unattempted</t>
        </is>
      </c>
    </row>
    <row r="497">
      <c r="A497" s="4" t="inlineStr">
        <is>
          <t>Interview Questions</t>
        </is>
      </c>
      <c r="B497" s="4" t="inlineStr">
        <is>
          <t>Top JavaScript Interview Questions</t>
        </is>
      </c>
      <c r="C497" s="4" t="inlineStr">
        <is>
          <t>Revise all the important JavaScript concepts by answering these JavaScript Interview Questions. All questions contain detailed explanation so that you can learn the topics you don't know fully.</t>
        </is>
      </c>
      <c r="D497" s="4" t="inlineStr">
        <is>
          <t>Object-oriented programming in JavaScript - Object-oriented programming in JavaScript</t>
        </is>
      </c>
      <c r="E497" s="4" t="n">
        <v>42</v>
      </c>
      <c r="F497" s="4" t="inlineStr">
        <is>
          <t>Constructor Method</t>
        </is>
      </c>
      <c r="G497" s="4" t="inlineStr">
        <is>
          <t>JSMCQ43</t>
        </is>
      </c>
      <c r="H497" s="4" t="inlineStr"/>
      <c r="I497" s="4" t="inlineStr">
        <is>
          <t>Easy</t>
        </is>
      </c>
      <c r="J497" s="5">
        <f>HYPERLINK("https://www.codechef.com/problems/JSMCQ43", "https://www.codechef.com/problems/JSMCQ43")</f>
        <v/>
      </c>
      <c r="K497" s="4" t="inlineStr"/>
      <c r="L497" s="4" t="inlineStr"/>
      <c r="M497" s="4" t="inlineStr"/>
      <c r="N497" s="4" t="inlineStr">
        <is>
          <t>No</t>
        </is>
      </c>
      <c r="O497" s="4" t="inlineStr">
        <is>
          <t>Unattempted</t>
        </is>
      </c>
    </row>
    <row r="498">
      <c r="A498" s="2" t="inlineStr">
        <is>
          <t>Interview Questions</t>
        </is>
      </c>
      <c r="B498" s="2" t="inlineStr">
        <is>
          <t>Top JavaScript Interview Questions</t>
        </is>
      </c>
      <c r="C498" s="2" t="inlineStr">
        <is>
          <t>Revise all the important JavaScript concepts by answering these JavaScript Interview Questions. All questions contain detailed explanation so that you can learn the topics you don't know fully.</t>
        </is>
      </c>
      <c r="D498" s="2" t="inlineStr">
        <is>
          <t>Object-oriented programming in JavaScript - Object-oriented programming in JavaScript</t>
        </is>
      </c>
      <c r="E498" s="2" t="n">
        <v>43</v>
      </c>
      <c r="F498" s="2" t="inlineStr">
        <is>
          <t>Inheritance</t>
        </is>
      </c>
      <c r="G498" s="2" t="inlineStr">
        <is>
          <t>JSMCQ44</t>
        </is>
      </c>
      <c r="H498" s="2" t="inlineStr"/>
      <c r="I498" s="2" t="inlineStr">
        <is>
          <t>Easy</t>
        </is>
      </c>
      <c r="J498" s="3">
        <f>HYPERLINK("https://www.codechef.com/problems/JSMCQ44", "https://www.codechef.com/problems/JSMCQ44")</f>
        <v/>
      </c>
      <c r="K498" s="2" t="inlineStr"/>
      <c r="L498" s="2" t="inlineStr"/>
      <c r="M498" s="2" t="inlineStr"/>
      <c r="N498" s="2" t="inlineStr">
        <is>
          <t>No</t>
        </is>
      </c>
      <c r="O498" s="2" t="inlineStr">
        <is>
          <t>Unattempted</t>
        </is>
      </c>
    </row>
    <row r="499">
      <c r="A499" s="4" t="inlineStr">
        <is>
          <t>Interview Questions</t>
        </is>
      </c>
      <c r="B499" s="4" t="inlineStr">
        <is>
          <t>Top JavaScript Interview Questions</t>
        </is>
      </c>
      <c r="C499" s="4" t="inlineStr">
        <is>
          <t>Revise all the important JavaScript concepts by answering these JavaScript Interview Questions. All questions contain detailed explanation so that you can learn the topics you don't know fully.</t>
        </is>
      </c>
      <c r="D499" s="4" t="inlineStr">
        <is>
          <t>Object-oriented programming in JavaScript - Object-oriented programming in JavaScript</t>
        </is>
      </c>
      <c r="E499" s="4" t="n">
        <v>44</v>
      </c>
      <c r="F499" s="4" t="inlineStr">
        <is>
          <t>Encapsulation</t>
        </is>
      </c>
      <c r="G499" s="4" t="inlineStr">
        <is>
          <t>JSMCQ45</t>
        </is>
      </c>
      <c r="H499" s="4" t="inlineStr"/>
      <c r="I499" s="4" t="inlineStr">
        <is>
          <t>Easy</t>
        </is>
      </c>
      <c r="J499" s="5">
        <f>HYPERLINK("https://www.codechef.com/problems/JSMCQ45", "https://www.codechef.com/problems/JSMCQ45")</f>
        <v/>
      </c>
      <c r="K499" s="4" t="inlineStr"/>
      <c r="L499" s="4" t="inlineStr"/>
      <c r="M499" s="4" t="inlineStr"/>
      <c r="N499" s="4" t="inlineStr">
        <is>
          <t>No</t>
        </is>
      </c>
      <c r="O499" s="4" t="inlineStr">
        <is>
          <t>Unattempted</t>
        </is>
      </c>
    </row>
    <row r="500">
      <c r="A500" s="2" t="inlineStr">
        <is>
          <t>Interview Questions</t>
        </is>
      </c>
      <c r="B500" s="2" t="inlineStr">
        <is>
          <t>Top JavaScript Interview Questions</t>
        </is>
      </c>
      <c r="C500" s="2" t="inlineStr">
        <is>
          <t>Revise all the important JavaScript concepts by answering these JavaScript Interview Questions. All questions contain detailed explanation so that you can learn the topics you don't know fully.</t>
        </is>
      </c>
      <c r="D500" s="2" t="inlineStr">
        <is>
          <t>Object-oriented programming in JavaScript - Object-oriented programming in JavaScript</t>
        </is>
      </c>
      <c r="E500" s="2" t="n">
        <v>45</v>
      </c>
      <c r="F500" s="2" t="inlineStr">
        <is>
          <t>Method Definition</t>
        </is>
      </c>
      <c r="G500" s="2" t="inlineStr">
        <is>
          <t>JSMCQ46</t>
        </is>
      </c>
      <c r="H500" s="2" t="inlineStr"/>
      <c r="I500" s="2" t="inlineStr">
        <is>
          <t>Easy</t>
        </is>
      </c>
      <c r="J500" s="3">
        <f>HYPERLINK("https://www.codechef.com/problems/JSMCQ46", "https://www.codechef.com/problems/JSMCQ46")</f>
        <v/>
      </c>
      <c r="K500" s="2" t="inlineStr"/>
      <c r="L500" s="2" t="inlineStr"/>
      <c r="M500" s="2" t="inlineStr"/>
      <c r="N500" s="2" t="inlineStr">
        <is>
          <t>No</t>
        </is>
      </c>
      <c r="O500" s="2" t="inlineStr">
        <is>
          <t>Unattempted</t>
        </is>
      </c>
    </row>
    <row r="501">
      <c r="A501" s="4" t="inlineStr">
        <is>
          <t>Interview Questions</t>
        </is>
      </c>
      <c r="B501" s="4" t="inlineStr">
        <is>
          <t>Top JavaScript Interview Questions</t>
        </is>
      </c>
      <c r="C501" s="4" t="inlineStr">
        <is>
          <t>Revise all the important JavaScript concepts by answering these JavaScript Interview Questions. All questions contain detailed explanation so that you can learn the topics you don't know fully.</t>
        </is>
      </c>
      <c r="D501" s="4" t="inlineStr">
        <is>
          <t>Object-oriented programming in JavaScript - Object-oriented programming in JavaScript</t>
        </is>
      </c>
      <c r="E501" s="4" t="n">
        <v>46</v>
      </c>
      <c r="F501" s="4" t="inlineStr">
        <is>
          <t>Static Members</t>
        </is>
      </c>
      <c r="G501" s="4" t="inlineStr">
        <is>
          <t>JSMCQ47</t>
        </is>
      </c>
      <c r="H501" s="4" t="inlineStr"/>
      <c r="I501" s="4" t="inlineStr">
        <is>
          <t>Easy</t>
        </is>
      </c>
      <c r="J501" s="5">
        <f>HYPERLINK("https://www.codechef.com/problems/JSMCQ47", "https://www.codechef.com/problems/JSMCQ47")</f>
        <v/>
      </c>
      <c r="K501" s="4" t="inlineStr"/>
      <c r="L501" s="4" t="inlineStr"/>
      <c r="M501" s="4" t="inlineStr"/>
      <c r="N501" s="4" t="inlineStr">
        <is>
          <t>No</t>
        </is>
      </c>
      <c r="O501" s="4" t="inlineStr">
        <is>
          <t>Unattempted</t>
        </is>
      </c>
    </row>
    <row r="502">
      <c r="A502" s="2" t="inlineStr">
        <is>
          <t>Interview Questions</t>
        </is>
      </c>
      <c r="B502" s="2" t="inlineStr">
        <is>
          <t>Top JavaScript Interview Questions</t>
        </is>
      </c>
      <c r="C502" s="2" t="inlineStr">
        <is>
          <t>Revise all the important JavaScript concepts by answering these JavaScript Interview Questions. All questions contain detailed explanation so that you can learn the topics you don't know fully.</t>
        </is>
      </c>
      <c r="D502" s="2" t="inlineStr">
        <is>
          <t>Closures - Closures</t>
        </is>
      </c>
      <c r="E502" s="2" t="n">
        <v>47</v>
      </c>
      <c r="F502" s="2" t="inlineStr">
        <is>
          <t>Closure Definition</t>
        </is>
      </c>
      <c r="G502" s="2" t="inlineStr">
        <is>
          <t>JSMCQ48</t>
        </is>
      </c>
      <c r="H502" s="2" t="inlineStr"/>
      <c r="I502" s="2" t="inlineStr">
        <is>
          <t>Medium</t>
        </is>
      </c>
      <c r="J502" s="3">
        <f>HYPERLINK("https://www.codechef.com/problems/JSMCQ48", "https://www.codechef.com/problems/JSMCQ48")</f>
        <v/>
      </c>
      <c r="K502" s="2" t="inlineStr"/>
      <c r="L502" s="2" t="inlineStr"/>
      <c r="M502" s="2" t="inlineStr"/>
      <c r="N502" s="2" t="inlineStr">
        <is>
          <t>No</t>
        </is>
      </c>
      <c r="O502" s="2" t="inlineStr">
        <is>
          <t>Unattempted</t>
        </is>
      </c>
    </row>
    <row r="503">
      <c r="A503" s="4" t="inlineStr">
        <is>
          <t>Interview Questions</t>
        </is>
      </c>
      <c r="B503" s="4" t="inlineStr">
        <is>
          <t>Top JavaScript Interview Questions</t>
        </is>
      </c>
      <c r="C503" s="4" t="inlineStr">
        <is>
          <t>Revise all the important JavaScript concepts by answering these JavaScript Interview Questions. All questions contain detailed explanation so that you can learn the topics you don't know fully.</t>
        </is>
      </c>
      <c r="D503" s="4" t="inlineStr">
        <is>
          <t>Closures - Closures</t>
        </is>
      </c>
      <c r="E503" s="4" t="n">
        <v>48</v>
      </c>
      <c r="F503" s="4" t="inlineStr">
        <is>
          <t>Closure Lifetime</t>
        </is>
      </c>
      <c r="G503" s="4" t="inlineStr">
        <is>
          <t>JSMCQ49</t>
        </is>
      </c>
      <c r="H503" s="4" t="inlineStr"/>
      <c r="I503" s="4" t="inlineStr">
        <is>
          <t>Medium</t>
        </is>
      </c>
      <c r="J503" s="5">
        <f>HYPERLINK("https://www.codechef.com/problems/JSMCQ49", "https://www.codechef.com/problems/JSMCQ49")</f>
        <v/>
      </c>
      <c r="K503" s="4" t="inlineStr"/>
      <c r="L503" s="4" t="inlineStr"/>
      <c r="M503" s="4" t="inlineStr"/>
      <c r="N503" s="4" t="inlineStr">
        <is>
          <t>No</t>
        </is>
      </c>
      <c r="O503" s="4" t="inlineStr">
        <is>
          <t>Unattempted</t>
        </is>
      </c>
    </row>
    <row r="504">
      <c r="A504" s="2" t="inlineStr">
        <is>
          <t>Interview Questions</t>
        </is>
      </c>
      <c r="B504" s="2" t="inlineStr">
        <is>
          <t>Top JavaScript Interview Questions</t>
        </is>
      </c>
      <c r="C504" s="2" t="inlineStr">
        <is>
          <t>Revise all the important JavaScript concepts by answering these JavaScript Interview Questions. All questions contain detailed explanation so that you can learn the topics you don't know fully.</t>
        </is>
      </c>
      <c r="D504" s="2" t="inlineStr">
        <is>
          <t>Closures - Closures</t>
        </is>
      </c>
      <c r="E504" s="2" t="n">
        <v>49</v>
      </c>
      <c r="F504" s="2" t="inlineStr">
        <is>
          <t>Closure Scope Chain</t>
        </is>
      </c>
      <c r="G504" s="2" t="inlineStr">
        <is>
          <t>JSMCQ50</t>
        </is>
      </c>
      <c r="H504" s="2" t="inlineStr"/>
      <c r="I504" s="2" t="inlineStr">
        <is>
          <t>Medium</t>
        </is>
      </c>
      <c r="J504" s="3">
        <f>HYPERLINK("https://www.codechef.com/problems/JSMCQ50", "https://www.codechef.com/problems/JSMCQ50")</f>
        <v/>
      </c>
      <c r="K504" s="2" t="inlineStr"/>
      <c r="L504" s="2" t="inlineStr"/>
      <c r="M504" s="2" t="inlineStr"/>
      <c r="N504" s="2" t="inlineStr">
        <is>
          <t>No</t>
        </is>
      </c>
      <c r="O504" s="2" t="inlineStr">
        <is>
          <t>Unattempted</t>
        </is>
      </c>
    </row>
    <row r="505">
      <c r="A505" s="4" t="inlineStr">
        <is>
          <t>Interview Questions</t>
        </is>
      </c>
      <c r="B505" s="4" t="inlineStr">
        <is>
          <t>Top JavaScript Interview Questions</t>
        </is>
      </c>
      <c r="C505" s="4" t="inlineStr">
        <is>
          <t>Revise all the important JavaScript concepts by answering these JavaScript Interview Questions. All questions contain detailed explanation so that you can learn the topics you don't know fully.</t>
        </is>
      </c>
      <c r="D505" s="4" t="inlineStr">
        <is>
          <t>Closures - Closures</t>
        </is>
      </c>
      <c r="E505" s="4" t="n">
        <v>50</v>
      </c>
      <c r="F505" s="4" t="inlineStr">
        <is>
          <t>Closure Memory Management</t>
        </is>
      </c>
      <c r="G505" s="4" t="inlineStr">
        <is>
          <t>JSMCQ51</t>
        </is>
      </c>
      <c r="H505" s="4" t="inlineStr"/>
      <c r="I505" s="4" t="inlineStr">
        <is>
          <t>Medium</t>
        </is>
      </c>
      <c r="J505" s="5">
        <f>HYPERLINK("https://www.codechef.com/problems/JSMCQ51", "https://www.codechef.com/problems/JSMCQ51")</f>
        <v/>
      </c>
      <c r="K505" s="4" t="inlineStr"/>
      <c r="L505" s="4" t="inlineStr"/>
      <c r="M505" s="4" t="inlineStr"/>
      <c r="N505" s="4" t="inlineStr">
        <is>
          <t>No</t>
        </is>
      </c>
      <c r="O505" s="4" t="inlineStr">
        <is>
          <t>Unattempted</t>
        </is>
      </c>
    </row>
    <row r="506">
      <c r="A506" s="2" t="inlineStr">
        <is>
          <t>Interview Questions</t>
        </is>
      </c>
      <c r="B506" s="2" t="inlineStr">
        <is>
          <t>Top JavaScript Interview Questions</t>
        </is>
      </c>
      <c r="C506" s="2" t="inlineStr">
        <is>
          <t>Revise all the important JavaScript concepts by answering these JavaScript Interview Questions. All questions contain detailed explanation so that you can learn the topics you don't know fully.</t>
        </is>
      </c>
      <c r="D506" s="2" t="inlineStr">
        <is>
          <t>Closures - Closures</t>
        </is>
      </c>
      <c r="E506" s="2" t="n">
        <v>51</v>
      </c>
      <c r="F506" s="2" t="inlineStr">
        <is>
          <t>Practical Use of Closures</t>
        </is>
      </c>
      <c r="G506" s="2" t="inlineStr">
        <is>
          <t>JSMCQ52</t>
        </is>
      </c>
      <c r="H506" s="2" t="inlineStr"/>
      <c r="I506" s="2" t="inlineStr">
        <is>
          <t>Medium</t>
        </is>
      </c>
      <c r="J506" s="3">
        <f>HYPERLINK("https://www.codechef.com/problems/JSMCQ52", "https://www.codechef.com/problems/JSMCQ52")</f>
        <v/>
      </c>
      <c r="K506" s="2" t="inlineStr"/>
      <c r="L506" s="2" t="inlineStr"/>
      <c r="M506" s="2" t="inlineStr"/>
      <c r="N506" s="2" t="inlineStr">
        <is>
          <t>No</t>
        </is>
      </c>
      <c r="O506" s="2" t="inlineStr">
        <is>
          <t>Unattempted</t>
        </is>
      </c>
    </row>
    <row r="507">
      <c r="A507" s="4" t="inlineStr">
        <is>
          <t>Interview Questions</t>
        </is>
      </c>
      <c r="B507" s="4" t="inlineStr">
        <is>
          <t>Top JavaScript Interview Questions</t>
        </is>
      </c>
      <c r="C507" s="4" t="inlineStr">
        <is>
          <t>Revise all the important JavaScript concepts by answering these JavaScript Interview Questions. All questions contain detailed explanation so that you can learn the topics you don't know fully.</t>
        </is>
      </c>
      <c r="D507" s="4" t="inlineStr">
        <is>
          <t>Prototypes and inheritance - Prototypes and inheritance</t>
        </is>
      </c>
      <c r="E507" s="4" t="n">
        <v>52</v>
      </c>
      <c r="F507" s="4" t="inlineStr">
        <is>
          <t>Object Creation</t>
        </is>
      </c>
      <c r="G507" s="4" t="inlineStr">
        <is>
          <t>JSMCQ53</t>
        </is>
      </c>
      <c r="H507" s="4" t="inlineStr"/>
      <c r="I507" s="4" t="inlineStr">
        <is>
          <t>Easy</t>
        </is>
      </c>
      <c r="J507" s="5">
        <f>HYPERLINK("https://www.codechef.com/problems/JSMCQ53", "https://www.codechef.com/problems/JSMCQ53")</f>
        <v/>
      </c>
      <c r="K507" s="4" t="inlineStr"/>
      <c r="L507" s="4" t="inlineStr"/>
      <c r="M507" s="4" t="inlineStr"/>
      <c r="N507" s="4" t="inlineStr">
        <is>
          <t>No</t>
        </is>
      </c>
      <c r="O507" s="4" t="inlineStr">
        <is>
          <t>Unattempted</t>
        </is>
      </c>
    </row>
    <row r="508">
      <c r="A508" s="2" t="inlineStr">
        <is>
          <t>Interview Questions</t>
        </is>
      </c>
      <c r="B508" s="2" t="inlineStr">
        <is>
          <t>Top JavaScript Interview Questions</t>
        </is>
      </c>
      <c r="C508" s="2" t="inlineStr">
        <is>
          <t>Revise all the important JavaScript concepts by answering these JavaScript Interview Questions. All questions contain detailed explanation so that you can learn the topics you don't know fully.</t>
        </is>
      </c>
      <c r="D508" s="2" t="inlineStr">
        <is>
          <t>Prototypes and inheritance - Prototypes and inheritance</t>
        </is>
      </c>
      <c r="E508" s="2" t="n">
        <v>53</v>
      </c>
      <c r="F508" s="2" t="inlineStr">
        <is>
          <t>Prototype Chain</t>
        </is>
      </c>
      <c r="G508" s="2" t="inlineStr">
        <is>
          <t>JSMCQ54</t>
        </is>
      </c>
      <c r="H508" s="2" t="inlineStr"/>
      <c r="I508" s="2" t="inlineStr">
        <is>
          <t>Medium</t>
        </is>
      </c>
      <c r="J508" s="3">
        <f>HYPERLINK("https://www.codechef.com/problems/JSMCQ54", "https://www.codechef.com/problems/JSMCQ54")</f>
        <v/>
      </c>
      <c r="K508" s="2" t="inlineStr"/>
      <c r="L508" s="2" t="inlineStr"/>
      <c r="M508" s="2" t="inlineStr"/>
      <c r="N508" s="2" t="inlineStr">
        <is>
          <t>No</t>
        </is>
      </c>
      <c r="O508" s="2" t="inlineStr">
        <is>
          <t>Unattempted</t>
        </is>
      </c>
    </row>
    <row r="509">
      <c r="A509" s="4" t="inlineStr">
        <is>
          <t>Interview Questions</t>
        </is>
      </c>
      <c r="B509" s="4" t="inlineStr">
        <is>
          <t>Top JavaScript Interview Questions</t>
        </is>
      </c>
      <c r="C509" s="4" t="inlineStr">
        <is>
          <t>Revise all the important JavaScript concepts by answering these JavaScript Interview Questions. All questions contain detailed explanation so that you can learn the topics you don't know fully.</t>
        </is>
      </c>
      <c r="D509" s="4" t="inlineStr">
        <is>
          <t>Prototypes and inheritance - Prototypes and inheritance</t>
        </is>
      </c>
      <c r="E509" s="4" t="n">
        <v>54</v>
      </c>
      <c r="F509" s="4" t="inlineStr">
        <is>
          <t>Constructor Property</t>
        </is>
      </c>
      <c r="G509" s="4" t="inlineStr">
        <is>
          <t>JSMCQ55</t>
        </is>
      </c>
      <c r="H509" s="4" t="inlineStr"/>
      <c r="I509" s="4" t="inlineStr">
        <is>
          <t>Easy</t>
        </is>
      </c>
      <c r="J509" s="5">
        <f>HYPERLINK("https://www.codechef.com/problems/JSMCQ55", "https://www.codechef.com/problems/JSMCQ55")</f>
        <v/>
      </c>
      <c r="K509" s="4" t="inlineStr"/>
      <c r="L509" s="4" t="inlineStr"/>
      <c r="M509" s="4" t="inlineStr"/>
      <c r="N509" s="4" t="inlineStr">
        <is>
          <t>No</t>
        </is>
      </c>
      <c r="O509" s="4" t="inlineStr">
        <is>
          <t>Unattempted</t>
        </is>
      </c>
    </row>
    <row r="510">
      <c r="A510" s="2" t="inlineStr">
        <is>
          <t>Interview Questions</t>
        </is>
      </c>
      <c r="B510" s="2" t="inlineStr">
        <is>
          <t>Top JavaScript Interview Questions</t>
        </is>
      </c>
      <c r="C510" s="2" t="inlineStr">
        <is>
          <t>Revise all the important JavaScript concepts by answering these JavaScript Interview Questions. All questions contain detailed explanation so that you can learn the topics you don't know fully.</t>
        </is>
      </c>
      <c r="D510" s="2" t="inlineStr">
        <is>
          <t>Prototypes and inheritance - Prototypes and inheritance</t>
        </is>
      </c>
      <c r="E510" s="2" t="n">
        <v>55</v>
      </c>
      <c r="F510" s="2" t="inlineStr">
        <is>
          <t>Prototype Modification</t>
        </is>
      </c>
      <c r="G510" s="2" t="inlineStr">
        <is>
          <t>JSMCQ56</t>
        </is>
      </c>
      <c r="H510" s="2" t="inlineStr"/>
      <c r="I510" s="2" t="inlineStr">
        <is>
          <t>Medium</t>
        </is>
      </c>
      <c r="J510" s="3">
        <f>HYPERLINK("https://www.codechef.com/problems/JSMCQ56", "https://www.codechef.com/problems/JSMCQ56")</f>
        <v/>
      </c>
      <c r="K510" s="2" t="inlineStr"/>
      <c r="L510" s="2" t="inlineStr"/>
      <c r="M510" s="2" t="inlineStr"/>
      <c r="N510" s="2" t="inlineStr">
        <is>
          <t>No</t>
        </is>
      </c>
      <c r="O510" s="2" t="inlineStr">
        <is>
          <t>Unattempted</t>
        </is>
      </c>
    </row>
    <row r="511">
      <c r="A511" s="4" t="inlineStr">
        <is>
          <t>Interview Questions</t>
        </is>
      </c>
      <c r="B511" s="4" t="inlineStr">
        <is>
          <t>Top JavaScript Interview Questions</t>
        </is>
      </c>
      <c r="C511" s="4" t="inlineStr">
        <is>
          <t>Revise all the important JavaScript concepts by answering these JavaScript Interview Questions. All questions contain detailed explanation so that you can learn the topics you don't know fully.</t>
        </is>
      </c>
      <c r="D511" s="4" t="inlineStr">
        <is>
          <t>Prototypes and inheritance - Prototypes and inheritance</t>
        </is>
      </c>
      <c r="E511" s="4" t="n">
        <v>56</v>
      </c>
      <c r="F511" s="4" t="inlineStr">
        <is>
          <t>Inheritance and this</t>
        </is>
      </c>
      <c r="G511" s="4" t="inlineStr">
        <is>
          <t>JSMCQ57</t>
        </is>
      </c>
      <c r="H511" s="4" t="inlineStr"/>
      <c r="I511" s="4" t="inlineStr">
        <is>
          <t>Medium</t>
        </is>
      </c>
      <c r="J511" s="5">
        <f>HYPERLINK("https://www.codechef.com/problems/JSMCQ57", "https://www.codechef.com/problems/JSMCQ57")</f>
        <v/>
      </c>
      <c r="K511" s="4" t="inlineStr"/>
      <c r="L511" s="4" t="inlineStr"/>
      <c r="M511" s="4" t="inlineStr"/>
      <c r="N511" s="4" t="inlineStr">
        <is>
          <t>No</t>
        </is>
      </c>
      <c r="O511" s="4" t="inlineStr">
        <is>
          <t>Unattempted</t>
        </is>
      </c>
    </row>
    <row r="512">
      <c r="A512" s="2" t="inlineStr">
        <is>
          <t>Interview Questions</t>
        </is>
      </c>
      <c r="B512" s="2" t="inlineStr">
        <is>
          <t>Top JavaScript Interview Questions</t>
        </is>
      </c>
      <c r="C512" s="2" t="inlineStr">
        <is>
          <t>Revise all the important JavaScript concepts by answering these JavaScript Interview Questions. All questions contain detailed explanation so that you can learn the topics you don't know fully.</t>
        </is>
      </c>
      <c r="D512" s="2" t="inlineStr">
        <is>
          <t>Asynchronous JavaScript (Promises, async/await) - Asynchronous JavaScript (Promises, async/await)</t>
        </is>
      </c>
      <c r="E512" s="2" t="n">
        <v>57</v>
      </c>
      <c r="F512" s="2" t="inlineStr">
        <is>
          <t>Promise States</t>
        </is>
      </c>
      <c r="G512" s="2" t="inlineStr">
        <is>
          <t>JSMCQ58</t>
        </is>
      </c>
      <c r="H512" s="2" t="inlineStr"/>
      <c r="I512" s="2" t="inlineStr">
        <is>
          <t>Easy</t>
        </is>
      </c>
      <c r="J512" s="3">
        <f>HYPERLINK("https://www.codechef.com/problems/JSMCQ58", "https://www.codechef.com/problems/JSMCQ58")</f>
        <v/>
      </c>
      <c r="K512" s="2" t="inlineStr"/>
      <c r="L512" s="2" t="inlineStr"/>
      <c r="M512" s="2" t="inlineStr"/>
      <c r="N512" s="2" t="inlineStr">
        <is>
          <t>No</t>
        </is>
      </c>
      <c r="O512" s="2" t="inlineStr">
        <is>
          <t>Unattempted</t>
        </is>
      </c>
    </row>
    <row r="513">
      <c r="A513" s="4" t="inlineStr">
        <is>
          <t>Interview Questions</t>
        </is>
      </c>
      <c r="B513" s="4" t="inlineStr">
        <is>
          <t>Top JavaScript Interview Questions</t>
        </is>
      </c>
      <c r="C513" s="4" t="inlineStr">
        <is>
          <t>Revise all the important JavaScript concepts by answering these JavaScript Interview Questions. All questions contain detailed explanation so that you can learn the topics you don't know fully.</t>
        </is>
      </c>
      <c r="D513" s="4" t="inlineStr">
        <is>
          <t>Asynchronous JavaScript (Promises, async/await) - Asynchronous JavaScript (Promises, async/await)</t>
        </is>
      </c>
      <c r="E513" s="4" t="n">
        <v>58</v>
      </c>
      <c r="F513" s="4" t="inlineStr">
        <is>
          <t>Async Function Return</t>
        </is>
      </c>
      <c r="G513" s="4" t="inlineStr">
        <is>
          <t>JSMCQ59</t>
        </is>
      </c>
      <c r="H513" s="4" t="inlineStr"/>
      <c r="I513" s="4" t="inlineStr">
        <is>
          <t>Easy</t>
        </is>
      </c>
      <c r="J513" s="5">
        <f>HYPERLINK("https://www.codechef.com/problems/JSMCQ59", "https://www.codechef.com/problems/JSMCQ59")</f>
        <v/>
      </c>
      <c r="K513" s="4" t="inlineStr"/>
      <c r="L513" s="4" t="inlineStr"/>
      <c r="M513" s="4" t="inlineStr"/>
      <c r="N513" s="4" t="inlineStr">
        <is>
          <t>No</t>
        </is>
      </c>
      <c r="O513" s="4" t="inlineStr">
        <is>
          <t>Unattempted</t>
        </is>
      </c>
    </row>
    <row r="514">
      <c r="A514" s="2" t="inlineStr">
        <is>
          <t>Interview Questions</t>
        </is>
      </c>
      <c r="B514" s="2" t="inlineStr">
        <is>
          <t>Top JavaScript Interview Questions</t>
        </is>
      </c>
      <c r="C514" s="2" t="inlineStr">
        <is>
          <t>Revise all the important JavaScript concepts by answering these JavaScript Interview Questions. All questions contain detailed explanation so that you can learn the topics you don't know fully.</t>
        </is>
      </c>
      <c r="D514" s="2" t="inlineStr">
        <is>
          <t>Asynchronous JavaScript (Promises, async/await) - Asynchronous JavaScript (Promises, async/await)</t>
        </is>
      </c>
      <c r="E514" s="2" t="n">
        <v>59</v>
      </c>
      <c r="F514" s="2" t="inlineStr">
        <is>
          <t>Await Usage</t>
        </is>
      </c>
      <c r="G514" s="2" t="inlineStr">
        <is>
          <t>JSMCQ60</t>
        </is>
      </c>
      <c r="H514" s="2" t="inlineStr"/>
      <c r="I514" s="2" t="inlineStr">
        <is>
          <t>Easy</t>
        </is>
      </c>
      <c r="J514" s="3">
        <f>HYPERLINK("https://www.codechef.com/problems/JSMCQ60", "https://www.codechef.com/problems/JSMCQ60")</f>
        <v/>
      </c>
      <c r="K514" s="2" t="inlineStr"/>
      <c r="L514" s="2" t="inlineStr"/>
      <c r="M514" s="2" t="inlineStr"/>
      <c r="N514" s="2" t="inlineStr">
        <is>
          <t>No</t>
        </is>
      </c>
      <c r="O514" s="2" t="inlineStr">
        <is>
          <t>Unattempted</t>
        </is>
      </c>
    </row>
    <row r="515">
      <c r="A515" s="4" t="inlineStr">
        <is>
          <t>Interview Questions</t>
        </is>
      </c>
      <c r="B515" s="4" t="inlineStr">
        <is>
          <t>Top JavaScript Interview Questions</t>
        </is>
      </c>
      <c r="C515" s="4" t="inlineStr">
        <is>
          <t>Revise all the important JavaScript concepts by answering these JavaScript Interview Questions. All questions contain detailed explanation so that you can learn the topics you don't know fully.</t>
        </is>
      </c>
      <c r="D515" s="4" t="inlineStr">
        <is>
          <t>Asynchronous JavaScript (Promises, async/await) - Asynchronous JavaScript (Promises, async/await)</t>
        </is>
      </c>
      <c r="E515" s="4" t="n">
        <v>60</v>
      </c>
      <c r="F515" s="4" t="inlineStr">
        <is>
          <t>Promise Chaining</t>
        </is>
      </c>
      <c r="G515" s="4" t="inlineStr">
        <is>
          <t>JSMCQ61</t>
        </is>
      </c>
      <c r="H515" s="4" t="inlineStr"/>
      <c r="I515" s="4" t="inlineStr">
        <is>
          <t>Medium</t>
        </is>
      </c>
      <c r="J515" s="5">
        <f>HYPERLINK("https://www.codechef.com/problems/JSMCQ61", "https://www.codechef.com/problems/JSMCQ61")</f>
        <v/>
      </c>
      <c r="K515" s="4" t="inlineStr"/>
      <c r="L515" s="4" t="inlineStr"/>
      <c r="M515" s="4" t="inlineStr"/>
      <c r="N515" s="4" t="inlineStr">
        <is>
          <t>No</t>
        </is>
      </c>
      <c r="O515" s="4" t="inlineStr">
        <is>
          <t>Unattempted</t>
        </is>
      </c>
    </row>
    <row r="516">
      <c r="A516" s="2" t="inlineStr">
        <is>
          <t>Interview Questions</t>
        </is>
      </c>
      <c r="B516" s="2" t="inlineStr">
        <is>
          <t>Top JavaScript Interview Questions</t>
        </is>
      </c>
      <c r="C516" s="2" t="inlineStr">
        <is>
          <t>Revise all the important JavaScript concepts by answering these JavaScript Interview Questions. All questions contain detailed explanation so that you can learn the topics you don't know fully.</t>
        </is>
      </c>
      <c r="D516" s="2" t="inlineStr">
        <is>
          <t>Asynchronous JavaScript (Promises, async/await) - Asynchronous JavaScript (Promises, async/await)</t>
        </is>
      </c>
      <c r="E516" s="2" t="n">
        <v>61</v>
      </c>
      <c r="F516" s="2" t="inlineStr">
        <is>
          <t>Error Handling</t>
        </is>
      </c>
      <c r="G516" s="2" t="inlineStr">
        <is>
          <t>JSMCQ62</t>
        </is>
      </c>
      <c r="H516" s="2" t="inlineStr"/>
      <c r="I516" s="2" t="inlineStr">
        <is>
          <t>Medium</t>
        </is>
      </c>
      <c r="J516" s="3">
        <f>HYPERLINK("https://www.codechef.com/problems/JSMCQ62", "https://www.codechef.com/problems/JSMCQ62")</f>
        <v/>
      </c>
      <c r="K516" s="2" t="inlineStr"/>
      <c r="L516" s="2" t="inlineStr"/>
      <c r="M516" s="2" t="inlineStr"/>
      <c r="N516" s="2" t="inlineStr">
        <is>
          <t>No</t>
        </is>
      </c>
      <c r="O516" s="2" t="inlineStr">
        <is>
          <t>Unattempted</t>
        </is>
      </c>
    </row>
    <row r="517">
      <c r="A517" s="4" t="inlineStr">
        <is>
          <t>Interview Questions</t>
        </is>
      </c>
      <c r="B517" s="4" t="inlineStr">
        <is>
          <t>Top JavaScript Interview Questions</t>
        </is>
      </c>
      <c r="C517" s="4" t="inlineStr">
        <is>
          <t>Revise all the important JavaScript concepts by answering these JavaScript Interview Questions. All questions contain detailed explanation so that you can learn the topics you don't know fully.</t>
        </is>
      </c>
      <c r="D517" s="4" t="inlineStr">
        <is>
          <t>Event loop and concurrency - Event loop and concurrency</t>
        </is>
      </c>
      <c r="E517" s="4" t="n">
        <v>62</v>
      </c>
      <c r="F517" s="4" t="inlineStr">
        <is>
          <t>Event Loop Functionality</t>
        </is>
      </c>
      <c r="G517" s="4" t="inlineStr">
        <is>
          <t>JSMCQ63</t>
        </is>
      </c>
      <c r="H517" s="4" t="inlineStr"/>
      <c r="I517" s="4" t="inlineStr">
        <is>
          <t>Easy</t>
        </is>
      </c>
      <c r="J517" s="5">
        <f>HYPERLINK("https://www.codechef.com/problems/JSMCQ63", "https://www.codechef.com/problems/JSMCQ63")</f>
        <v/>
      </c>
      <c r="K517" s="4" t="inlineStr"/>
      <c r="L517" s="4" t="inlineStr"/>
      <c r="M517" s="4" t="inlineStr"/>
      <c r="N517" s="4" t="inlineStr">
        <is>
          <t>No</t>
        </is>
      </c>
      <c r="O517" s="4" t="inlineStr">
        <is>
          <t>Unattempted</t>
        </is>
      </c>
    </row>
    <row r="518">
      <c r="A518" s="2" t="inlineStr">
        <is>
          <t>Interview Questions</t>
        </is>
      </c>
      <c r="B518" s="2" t="inlineStr">
        <is>
          <t>Top JavaScript Interview Questions</t>
        </is>
      </c>
      <c r="C518" s="2" t="inlineStr">
        <is>
          <t>Revise all the important JavaScript concepts by answering these JavaScript Interview Questions. All questions contain detailed explanation so that you can learn the topics you don't know fully.</t>
        </is>
      </c>
      <c r="D518" s="2" t="inlineStr">
        <is>
          <t>Event loop and concurrency - Event loop and concurrency</t>
        </is>
      </c>
      <c r="E518" s="2" t="n">
        <v>63</v>
      </c>
      <c r="F518" s="2" t="inlineStr">
        <is>
          <t>Microtasks vs Macrotasks</t>
        </is>
      </c>
      <c r="G518" s="2" t="inlineStr">
        <is>
          <t>JSMCQ64</t>
        </is>
      </c>
      <c r="H518" s="2" t="inlineStr"/>
      <c r="I518" s="2" t="inlineStr">
        <is>
          <t>Easy</t>
        </is>
      </c>
      <c r="J518" s="3">
        <f>HYPERLINK("https://www.codechef.com/problems/JSMCQ64", "https://www.codechef.com/problems/JSMCQ64")</f>
        <v/>
      </c>
      <c r="K518" s="2" t="inlineStr"/>
      <c r="L518" s="2" t="inlineStr"/>
      <c r="M518" s="2" t="inlineStr"/>
      <c r="N518" s="2" t="inlineStr">
        <is>
          <t>No</t>
        </is>
      </c>
      <c r="O518" s="2" t="inlineStr">
        <is>
          <t>Unattempted</t>
        </is>
      </c>
    </row>
    <row r="519">
      <c r="A519" s="4" t="inlineStr">
        <is>
          <t>Interview Questions</t>
        </is>
      </c>
      <c r="B519" s="4" t="inlineStr">
        <is>
          <t>Top JavaScript Interview Questions</t>
        </is>
      </c>
      <c r="C519" s="4" t="inlineStr">
        <is>
          <t>Revise all the important JavaScript concepts by answering these JavaScript Interview Questions. All questions contain detailed explanation so that you can learn the topics you don't know fully.</t>
        </is>
      </c>
      <c r="D519" s="4" t="inlineStr">
        <is>
          <t>Event loop and concurrency - Event loop and concurrency</t>
        </is>
      </c>
      <c r="E519" s="4" t="n">
        <v>64</v>
      </c>
      <c r="F519" s="4" t="inlineStr">
        <is>
          <t>Call Stack and Event Loop</t>
        </is>
      </c>
      <c r="G519" s="4" t="inlineStr">
        <is>
          <t>JSMCQ65</t>
        </is>
      </c>
      <c r="H519" s="4" t="inlineStr"/>
      <c r="I519" s="4" t="inlineStr">
        <is>
          <t>Medium</t>
        </is>
      </c>
      <c r="J519" s="5">
        <f>HYPERLINK("https://www.codechef.com/problems/JSMCQ65", "https://www.codechef.com/problems/JSMCQ65")</f>
        <v/>
      </c>
      <c r="K519" s="4" t="inlineStr"/>
      <c r="L519" s="4" t="inlineStr"/>
      <c r="M519" s="4" t="inlineStr"/>
      <c r="N519" s="4" t="inlineStr">
        <is>
          <t>No</t>
        </is>
      </c>
      <c r="O519" s="4" t="inlineStr">
        <is>
          <t>Unattempted</t>
        </is>
      </c>
    </row>
    <row r="520">
      <c r="A520" s="2" t="inlineStr">
        <is>
          <t>Interview Questions</t>
        </is>
      </c>
      <c r="B520" s="2" t="inlineStr">
        <is>
          <t>Top JavaScript Interview Questions</t>
        </is>
      </c>
      <c r="C520" s="2" t="inlineStr">
        <is>
          <t>Revise all the important JavaScript concepts by answering these JavaScript Interview Questions. All questions contain detailed explanation so that you can learn the topics you don't know fully.</t>
        </is>
      </c>
      <c r="D520" s="2" t="inlineStr">
        <is>
          <t>Event loop and concurrency - Event loop and concurrency</t>
        </is>
      </c>
      <c r="E520" s="2" t="n">
        <v>65</v>
      </c>
      <c r="F520" s="2" t="inlineStr">
        <is>
          <t>Blocking the Event Loop</t>
        </is>
      </c>
      <c r="G520" s="2" t="inlineStr">
        <is>
          <t>JSMCQ66</t>
        </is>
      </c>
      <c r="H520" s="2" t="inlineStr"/>
      <c r="I520" s="2" t="inlineStr">
        <is>
          <t>Medium</t>
        </is>
      </c>
      <c r="J520" s="3">
        <f>HYPERLINK("https://www.codechef.com/problems/JSMCQ66", "https://www.codechef.com/problems/JSMCQ66")</f>
        <v/>
      </c>
      <c r="K520" s="2" t="inlineStr"/>
      <c r="L520" s="2" t="inlineStr"/>
      <c r="M520" s="2" t="inlineStr"/>
      <c r="N520" s="2" t="inlineStr">
        <is>
          <t>No</t>
        </is>
      </c>
      <c r="O520" s="2" t="inlineStr">
        <is>
          <t>Unattempted</t>
        </is>
      </c>
    </row>
    <row r="521">
      <c r="A521" s="4" t="inlineStr">
        <is>
          <t>Interview Questions</t>
        </is>
      </c>
      <c r="B521" s="4" t="inlineStr">
        <is>
          <t>Top JavaScript Interview Questions</t>
        </is>
      </c>
      <c r="C521" s="4" t="inlineStr">
        <is>
          <t>Revise all the important JavaScript concepts by answering these JavaScript Interview Questions. All questions contain detailed explanation so that you can learn the topics you don't know fully.</t>
        </is>
      </c>
      <c r="D521" s="4" t="inlineStr">
        <is>
          <t>Event loop and concurrency - Event loop and concurrency</t>
        </is>
      </c>
      <c r="E521" s="4" t="n">
        <v>66</v>
      </c>
      <c r="F521" s="4" t="inlineStr">
        <is>
          <t>Concurrency in JavaScript</t>
        </is>
      </c>
      <c r="G521" s="4" t="inlineStr">
        <is>
          <t>JSMCQ67</t>
        </is>
      </c>
      <c r="H521" s="4" t="inlineStr"/>
      <c r="I521" s="4" t="inlineStr">
        <is>
          <t>Medium</t>
        </is>
      </c>
      <c r="J521" s="5">
        <f>HYPERLINK("https://www.codechef.com/problems/JSMCQ67", "https://www.codechef.com/problems/JSMCQ67")</f>
        <v/>
      </c>
      <c r="K521" s="4" t="inlineStr"/>
      <c r="L521" s="4" t="inlineStr"/>
      <c r="M521" s="4" t="inlineStr"/>
      <c r="N521" s="4" t="inlineStr">
        <is>
          <t>No</t>
        </is>
      </c>
      <c r="O521" s="4" t="inlineStr">
        <is>
          <t>Unattempted</t>
        </is>
      </c>
    </row>
    <row r="522">
      <c r="A522" s="2" t="inlineStr">
        <is>
          <t>Interview Questions</t>
        </is>
      </c>
      <c r="B522" s="2" t="inlineStr">
        <is>
          <t>Top JavaScript Interview Questions</t>
        </is>
      </c>
      <c r="C522" s="2" t="inlineStr">
        <is>
          <t>Revise all the important JavaScript concepts by answering these JavaScript Interview Questions. All questions contain detailed explanation so that you can learn the topics you don't know fully.</t>
        </is>
      </c>
      <c r="D522" s="2" t="inlineStr">
        <is>
          <t>Event loop and concurrency - Event loop and concurrency</t>
        </is>
      </c>
      <c r="E522" s="2" t="n">
        <v>67</v>
      </c>
      <c r="F522" s="2" t="inlineStr">
        <is>
          <t>Zero Delay setTimeout</t>
        </is>
      </c>
      <c r="G522" s="2" t="inlineStr">
        <is>
          <t>JSMCQ68</t>
        </is>
      </c>
      <c r="H522" s="2" t="inlineStr"/>
      <c r="I522" s="2" t="inlineStr">
        <is>
          <t>Easy</t>
        </is>
      </c>
      <c r="J522" s="3">
        <f>HYPERLINK("https://www.codechef.com/problems/JSMCQ68", "https://www.codechef.com/problems/JSMCQ68")</f>
        <v/>
      </c>
      <c r="K522" s="2" t="inlineStr"/>
      <c r="L522" s="2" t="inlineStr"/>
      <c r="M522" s="2" t="inlineStr"/>
      <c r="N522" s="2" t="inlineStr">
        <is>
          <t>No</t>
        </is>
      </c>
      <c r="O522" s="2" t="inlineStr">
        <is>
          <t>Unattempted</t>
        </is>
      </c>
    </row>
    <row r="523">
      <c r="A523" s="4" t="inlineStr">
        <is>
          <t>Interview Questions</t>
        </is>
      </c>
      <c r="B523" s="4" t="inlineStr">
        <is>
          <t>Top JavaScript Interview Questions</t>
        </is>
      </c>
      <c r="C523" s="4" t="inlineStr">
        <is>
          <t>Revise all the important JavaScript concepts by answering these JavaScript Interview Questions. All questions contain detailed explanation so that you can learn the topics you don't know fully.</t>
        </is>
      </c>
      <c r="D523" s="4" t="inlineStr">
        <is>
          <t>Functional programming concepts - Functional programming</t>
        </is>
      </c>
      <c r="E523" s="4" t="n">
        <v>68</v>
      </c>
      <c r="F523" s="4" t="inlineStr">
        <is>
          <t>Pure Functions</t>
        </is>
      </c>
      <c r="G523" s="4" t="inlineStr">
        <is>
          <t>JSMCQ70</t>
        </is>
      </c>
      <c r="H523" s="4" t="inlineStr"/>
      <c r="I523" s="4" t="inlineStr">
        <is>
          <t>Easy</t>
        </is>
      </c>
      <c r="J523" s="5">
        <f>HYPERLINK("https://www.codechef.com/problems/JSMCQ70", "https://www.codechef.com/problems/JSMCQ70")</f>
        <v/>
      </c>
      <c r="K523" s="4" t="inlineStr"/>
      <c r="L523" s="4" t="inlineStr"/>
      <c r="M523" s="4" t="inlineStr"/>
      <c r="N523" s="4" t="inlineStr">
        <is>
          <t>No</t>
        </is>
      </c>
      <c r="O523" s="4" t="inlineStr">
        <is>
          <t>Unattempted</t>
        </is>
      </c>
    </row>
    <row r="524">
      <c r="A524" s="2" t="inlineStr">
        <is>
          <t>Interview Questions</t>
        </is>
      </c>
      <c r="B524" s="2" t="inlineStr">
        <is>
          <t>Top JavaScript Interview Questions</t>
        </is>
      </c>
      <c r="C524" s="2" t="inlineStr">
        <is>
          <t>Revise all the important JavaScript concepts by answering these JavaScript Interview Questions. All questions contain detailed explanation so that you can learn the topics you don't know fully.</t>
        </is>
      </c>
      <c r="D524" s="2" t="inlineStr">
        <is>
          <t>Functional programming concepts - Functional programming</t>
        </is>
      </c>
      <c r="E524" s="2" t="n">
        <v>69</v>
      </c>
      <c r="F524" s="2" t="inlineStr">
        <is>
          <t>Immutability</t>
        </is>
      </c>
      <c r="G524" s="2" t="inlineStr">
        <is>
          <t>JSMCQ71</t>
        </is>
      </c>
      <c r="H524" s="2" t="inlineStr"/>
      <c r="I524" s="2" t="inlineStr">
        <is>
          <t>Easy</t>
        </is>
      </c>
      <c r="J524" s="3">
        <f>HYPERLINK("https://www.codechef.com/problems/JSMCQ71", "https://www.codechef.com/problems/JSMCQ71")</f>
        <v/>
      </c>
      <c r="K524" s="2" t="inlineStr"/>
      <c r="L524" s="2" t="inlineStr"/>
      <c r="M524" s="2" t="inlineStr"/>
      <c r="N524" s="2" t="inlineStr">
        <is>
          <t>No</t>
        </is>
      </c>
      <c r="O524" s="2" t="inlineStr">
        <is>
          <t>Unattempted</t>
        </is>
      </c>
    </row>
    <row r="525">
      <c r="A525" s="4" t="inlineStr">
        <is>
          <t>Interview Questions</t>
        </is>
      </c>
      <c r="B525" s="4" t="inlineStr">
        <is>
          <t>Top JavaScript Interview Questions</t>
        </is>
      </c>
      <c r="C525" s="4" t="inlineStr">
        <is>
          <t>Revise all the important JavaScript concepts by answering these JavaScript Interview Questions. All questions contain detailed explanation so that you can learn the topics you don't know fully.</t>
        </is>
      </c>
      <c r="D525" s="4" t="inlineStr">
        <is>
          <t>Functional programming concepts - Functional programming</t>
        </is>
      </c>
      <c r="E525" s="4" t="n">
        <v>70</v>
      </c>
      <c r="F525" s="4" t="inlineStr">
        <is>
          <t>Functional Composition</t>
        </is>
      </c>
      <c r="G525" s="4" t="inlineStr">
        <is>
          <t>JSMCQ73</t>
        </is>
      </c>
      <c r="H525" s="4" t="inlineStr"/>
      <c r="I525" s="4" t="inlineStr">
        <is>
          <t>Medium</t>
        </is>
      </c>
      <c r="J525" s="5">
        <f>HYPERLINK("https://www.codechef.com/problems/JSMCQ73", "https://www.codechef.com/problems/JSMCQ73")</f>
        <v/>
      </c>
      <c r="K525" s="4" t="inlineStr"/>
      <c r="L525" s="4" t="inlineStr"/>
      <c r="M525" s="4" t="inlineStr"/>
      <c r="N525" s="4" t="inlineStr">
        <is>
          <t>No</t>
        </is>
      </c>
      <c r="O525" s="4" t="inlineStr">
        <is>
          <t>Unattempted</t>
        </is>
      </c>
    </row>
    <row r="526">
      <c r="A526" s="2" t="inlineStr">
        <is>
          <t>Interview Questions</t>
        </is>
      </c>
      <c r="B526" s="2" t="inlineStr">
        <is>
          <t>Top JavaScript Interview Questions</t>
        </is>
      </c>
      <c r="C526" s="2" t="inlineStr">
        <is>
          <t>Revise all the important JavaScript concepts by answering these JavaScript Interview Questions. All questions contain detailed explanation so that you can learn the topics you don't know fully.</t>
        </is>
      </c>
      <c r="D526" s="2" t="inlineStr">
        <is>
          <t>Functional programming concepts - Functional programming</t>
        </is>
      </c>
      <c r="E526" s="2" t="n">
        <v>71</v>
      </c>
      <c r="F526" s="2" t="inlineStr">
        <is>
          <t>Currying</t>
        </is>
      </c>
      <c r="G526" s="2" t="inlineStr">
        <is>
          <t>JSMCQ74</t>
        </is>
      </c>
      <c r="H526" s="2" t="inlineStr"/>
      <c r="I526" s="2" t="inlineStr">
        <is>
          <t>Easy</t>
        </is>
      </c>
      <c r="J526" s="3">
        <f>HYPERLINK("https://www.codechef.com/problems/JSMCQ74", "https://www.codechef.com/problems/JSMCQ74")</f>
        <v/>
      </c>
      <c r="K526" s="2" t="inlineStr"/>
      <c r="L526" s="2" t="inlineStr"/>
      <c r="M526" s="2" t="inlineStr"/>
      <c r="N526" s="2" t="inlineStr">
        <is>
          <t>No</t>
        </is>
      </c>
      <c r="O526" s="2" t="inlineStr">
        <is>
          <t>Unattempted</t>
        </is>
      </c>
    </row>
    <row r="527">
      <c r="A527" s="4" t="inlineStr">
        <is>
          <t>Interview Questions</t>
        </is>
      </c>
      <c r="B527" s="4" t="inlineStr">
        <is>
          <t>Top JavaScript Interview Questions</t>
        </is>
      </c>
      <c r="C527" s="4" t="inlineStr">
        <is>
          <t>Revise all the important JavaScript concepts by answering these JavaScript Interview Questions. All questions contain detailed explanation so that you can learn the topics you don't know fully.</t>
        </is>
      </c>
      <c r="D527" s="4" t="inlineStr">
        <is>
          <t>Performance optimization - Performance optimization</t>
        </is>
      </c>
      <c r="E527" s="4" t="n">
        <v>72</v>
      </c>
      <c r="F527" s="4" t="inlineStr">
        <is>
          <t>Efficient Loop Iteration</t>
        </is>
      </c>
      <c r="G527" s="4" t="inlineStr">
        <is>
          <t>JSMCQ75</t>
        </is>
      </c>
      <c r="H527" s="4" t="inlineStr"/>
      <c r="I527" s="4" t="inlineStr">
        <is>
          <t>Easy</t>
        </is>
      </c>
      <c r="J527" s="5">
        <f>HYPERLINK("https://www.codechef.com/problems/JSMCQ75", "https://www.codechef.com/problems/JSMCQ75")</f>
        <v/>
      </c>
      <c r="K527" s="4" t="inlineStr"/>
      <c r="L527" s="4" t="inlineStr"/>
      <c r="M527" s="4" t="inlineStr"/>
      <c r="N527" s="4" t="inlineStr">
        <is>
          <t>No</t>
        </is>
      </c>
      <c r="O527" s="4" t="inlineStr">
        <is>
          <t>Unattempted</t>
        </is>
      </c>
    </row>
    <row r="528">
      <c r="A528" s="2" t="inlineStr">
        <is>
          <t>Interview Questions</t>
        </is>
      </c>
      <c r="B528" s="2" t="inlineStr">
        <is>
          <t>Top JavaScript Interview Questions</t>
        </is>
      </c>
      <c r="C528" s="2" t="inlineStr">
        <is>
          <t>Revise all the important JavaScript concepts by answering these JavaScript Interview Questions. All questions contain detailed explanation so that you can learn the topics you don't know fully.</t>
        </is>
      </c>
      <c r="D528" s="2" t="inlineStr">
        <is>
          <t>Performance optimization - Performance optimization</t>
        </is>
      </c>
      <c r="E528" s="2" t="n">
        <v>73</v>
      </c>
      <c r="F528" s="2" t="inlineStr">
        <is>
          <t>Memory Management</t>
        </is>
      </c>
      <c r="G528" s="2" t="inlineStr">
        <is>
          <t>JSMCQ76</t>
        </is>
      </c>
      <c r="H528" s="2" t="inlineStr"/>
      <c r="I528" s="2" t="inlineStr">
        <is>
          <t>Easy</t>
        </is>
      </c>
      <c r="J528" s="3">
        <f>HYPERLINK("https://www.codechef.com/problems/JSMCQ76", "https://www.codechef.com/problems/JSMCQ76")</f>
        <v/>
      </c>
      <c r="K528" s="2" t="inlineStr"/>
      <c r="L528" s="2" t="inlineStr"/>
      <c r="M528" s="2" t="inlineStr"/>
      <c r="N528" s="2" t="inlineStr">
        <is>
          <t>No</t>
        </is>
      </c>
      <c r="O528" s="2" t="inlineStr">
        <is>
          <t>Unattempted</t>
        </is>
      </c>
    </row>
    <row r="529">
      <c r="A529" s="4" t="inlineStr">
        <is>
          <t>Interview Questions</t>
        </is>
      </c>
      <c r="B529" s="4" t="inlineStr">
        <is>
          <t>Top JavaScript Interview Questions</t>
        </is>
      </c>
      <c r="C529" s="4" t="inlineStr">
        <is>
          <t>Revise all the important JavaScript concepts by answering these JavaScript Interview Questions. All questions contain detailed explanation so that you can learn the topics you don't know fully.</t>
        </is>
      </c>
      <c r="D529" s="4" t="inlineStr">
        <is>
          <t>Performance optimization - Performance optimization</t>
        </is>
      </c>
      <c r="E529" s="4" t="n">
        <v>74</v>
      </c>
      <c r="F529" s="4" t="inlineStr">
        <is>
          <t>DOM Manipulation</t>
        </is>
      </c>
      <c r="G529" s="4" t="inlineStr">
        <is>
          <t>JSMCQ77</t>
        </is>
      </c>
      <c r="H529" s="4" t="inlineStr"/>
      <c r="I529" s="4" t="inlineStr">
        <is>
          <t>Medium</t>
        </is>
      </c>
      <c r="J529" s="5">
        <f>HYPERLINK("https://www.codechef.com/problems/JSMCQ77", "https://www.codechef.com/problems/JSMCQ77")</f>
        <v/>
      </c>
      <c r="K529" s="4" t="inlineStr"/>
      <c r="L529" s="4" t="inlineStr"/>
      <c r="M529" s="4" t="inlineStr"/>
      <c r="N529" s="4" t="inlineStr">
        <is>
          <t>No</t>
        </is>
      </c>
      <c r="O529" s="4" t="inlineStr">
        <is>
          <t>Unattempted</t>
        </is>
      </c>
    </row>
    <row r="530">
      <c r="A530" s="2" t="inlineStr">
        <is>
          <t>Interview Questions</t>
        </is>
      </c>
      <c r="B530" s="2" t="inlineStr">
        <is>
          <t>Top JavaScript Interview Questions</t>
        </is>
      </c>
      <c r="C530" s="2" t="inlineStr">
        <is>
          <t>Revise all the important JavaScript concepts by answering these JavaScript Interview Questions. All questions contain detailed explanation so that you can learn the topics you don't know fully.</t>
        </is>
      </c>
      <c r="D530" s="2" t="inlineStr">
        <is>
          <t>Performance optimization - Performance optimization</t>
        </is>
      </c>
      <c r="E530" s="2" t="n">
        <v>75</v>
      </c>
      <c r="F530" s="2" t="inlineStr">
        <is>
          <t>Function Optimization</t>
        </is>
      </c>
      <c r="G530" s="2" t="inlineStr">
        <is>
          <t>JSMCQ78</t>
        </is>
      </c>
      <c r="H530" s="2" t="inlineStr"/>
      <c r="I530" s="2" t="inlineStr">
        <is>
          <t>Easy</t>
        </is>
      </c>
      <c r="J530" s="3">
        <f>HYPERLINK("https://www.codechef.com/problems/JSMCQ78", "https://www.codechef.com/problems/JSMCQ78")</f>
        <v/>
      </c>
      <c r="K530" s="2" t="inlineStr"/>
      <c r="L530" s="2" t="inlineStr"/>
      <c r="M530" s="2" t="inlineStr"/>
      <c r="N530" s="2" t="inlineStr">
        <is>
          <t>No</t>
        </is>
      </c>
      <c r="O530" s="2" t="inlineStr">
        <is>
          <t>Unattempted</t>
        </is>
      </c>
    </row>
    <row r="531">
      <c r="A531" s="4" t="inlineStr">
        <is>
          <t>Interview Questions</t>
        </is>
      </c>
      <c r="B531" s="4" t="inlineStr">
        <is>
          <t>Top JavaScript Interview Questions</t>
        </is>
      </c>
      <c r="C531" s="4" t="inlineStr">
        <is>
          <t>Revise all the important JavaScript concepts by answering these JavaScript Interview Questions. All questions contain detailed explanation so that you can learn the topics you don't know fully.</t>
        </is>
      </c>
      <c r="D531" s="4" t="inlineStr">
        <is>
          <t>Performance optimization - Performance optimization</t>
        </is>
      </c>
      <c r="E531" s="4" t="n">
        <v>76</v>
      </c>
      <c r="F531" s="4" t="inlineStr">
        <is>
          <t>Asynchronous Operations</t>
        </is>
      </c>
      <c r="G531" s="4" t="inlineStr">
        <is>
          <t>JSMCQ79</t>
        </is>
      </c>
      <c r="H531" s="4" t="inlineStr"/>
      <c r="I531" s="4" t="inlineStr">
        <is>
          <t>Medium</t>
        </is>
      </c>
      <c r="J531" s="5">
        <f>HYPERLINK("https://www.codechef.com/problems/JSMCQ79", "https://www.codechef.com/problems/JSMCQ79")</f>
        <v/>
      </c>
      <c r="K531" s="4" t="inlineStr"/>
      <c r="L531" s="4" t="inlineStr"/>
      <c r="M531" s="4" t="inlineStr"/>
      <c r="N531" s="4" t="inlineStr">
        <is>
          <t>No</t>
        </is>
      </c>
      <c r="O531" s="4" t="inlineStr">
        <is>
          <t>Unattempted</t>
        </is>
      </c>
    </row>
    <row r="532">
      <c r="A532" s="2" t="inlineStr">
        <is>
          <t>Interview Questions</t>
        </is>
      </c>
      <c r="B532" s="2" t="inlineStr">
        <is>
          <t>Top JavaScript Interview Questions</t>
        </is>
      </c>
      <c r="C532" s="2" t="inlineStr">
        <is>
          <t>Revise all the important JavaScript concepts by answering these JavaScript Interview Questions. All questions contain detailed explanation so that you can learn the topics you don't know fully.</t>
        </is>
      </c>
      <c r="D532" s="2" t="inlineStr">
        <is>
          <t>Performance optimization - Performance optimization</t>
        </is>
      </c>
      <c r="E532" s="2" t="n">
        <v>77</v>
      </c>
      <c r="F532" s="2" t="inlineStr">
        <is>
          <t>Data Structure Choice</t>
        </is>
      </c>
      <c r="G532" s="2" t="inlineStr">
        <is>
          <t>JSMCQ80</t>
        </is>
      </c>
      <c r="H532" s="2" t="inlineStr"/>
      <c r="I532" s="2" t="inlineStr">
        <is>
          <t>Easy</t>
        </is>
      </c>
      <c r="J532" s="3">
        <f>HYPERLINK("https://www.codechef.com/problems/JSMCQ80", "https://www.codechef.com/problems/JSMCQ80")</f>
        <v/>
      </c>
      <c r="K532" s="2" t="inlineStr"/>
      <c r="L532" s="2" t="inlineStr"/>
      <c r="M532" s="2" t="inlineStr"/>
      <c r="N532" s="2" t="inlineStr">
        <is>
          <t>No</t>
        </is>
      </c>
      <c r="O532" s="2" t="inlineStr">
        <is>
          <t>Unattempted</t>
        </is>
      </c>
    </row>
    <row r="533">
      <c r="A533" s="4" t="inlineStr">
        <is>
          <t>Interview Questions</t>
        </is>
      </c>
      <c r="B533" s="4" t="inlineStr">
        <is>
          <t>React Interview Questions</t>
        </is>
      </c>
      <c r="C533" s="4" t="inlineStr">
        <is>
          <t>Prepare for your React job interview with our list of common questions and answers. Cover key topics from JSX basics to advanced hooks, and boost your confidence for that big day by reading detailed explanations!</t>
        </is>
      </c>
      <c r="D533" s="4" t="inlineStr">
        <is>
          <t>JSX basics - JSX basics</t>
        </is>
      </c>
      <c r="E533" s="4" t="n">
        <v>1</v>
      </c>
      <c r="F533" s="4" t="inlineStr">
        <is>
          <t>JSX Syntax</t>
        </is>
      </c>
      <c r="G533" s="4" t="inlineStr">
        <is>
          <t>REACTMCQ01</t>
        </is>
      </c>
      <c r="H533" s="4" t="inlineStr"/>
      <c r="I533" s="4" t="inlineStr">
        <is>
          <t>Easy</t>
        </is>
      </c>
      <c r="J533" s="5">
        <f>HYPERLINK("https://www.codechef.com/problems/REACTMCQ01", "https://www.codechef.com/problems/REACTMCQ01")</f>
        <v/>
      </c>
      <c r="K533" s="4" t="inlineStr"/>
      <c r="L533" s="4" t="inlineStr"/>
      <c r="M533" s="4" t="inlineStr"/>
      <c r="N533" s="4" t="inlineStr">
        <is>
          <t>No</t>
        </is>
      </c>
      <c r="O533" s="4" t="inlineStr">
        <is>
          <t>Unattempted</t>
        </is>
      </c>
    </row>
    <row r="534">
      <c r="A534" s="2" t="inlineStr">
        <is>
          <t>Interview Questions</t>
        </is>
      </c>
      <c r="B534" s="2" t="inlineStr">
        <is>
          <t>React Interview Questions</t>
        </is>
      </c>
      <c r="C534" s="2" t="inlineStr">
        <is>
          <t>Prepare for your React job interview with our list of common questions and answers. Cover key topics from JSX basics to advanced hooks, and boost your confidence for that big day by reading detailed explanations!</t>
        </is>
      </c>
      <c r="D534" s="2" t="inlineStr">
        <is>
          <t>JSX basics - JSX basics</t>
        </is>
      </c>
      <c r="E534" s="2" t="n">
        <v>2</v>
      </c>
      <c r="F534" s="2" t="inlineStr">
        <is>
          <t>JSX Expressions</t>
        </is>
      </c>
      <c r="G534" s="2" t="inlineStr">
        <is>
          <t>REACTMCQ02</t>
        </is>
      </c>
      <c r="H534" s="2" t="inlineStr"/>
      <c r="I534" s="2" t="inlineStr">
        <is>
          <t>Easy</t>
        </is>
      </c>
      <c r="J534" s="3">
        <f>HYPERLINK("https://www.codechef.com/problems/REACTMCQ02", "https://www.codechef.com/problems/REACTMCQ02")</f>
        <v/>
      </c>
      <c r="K534" s="2" t="inlineStr"/>
      <c r="L534" s="2" t="inlineStr"/>
      <c r="M534" s="2" t="inlineStr"/>
      <c r="N534" s="2" t="inlineStr">
        <is>
          <t>No</t>
        </is>
      </c>
      <c r="O534" s="2" t="inlineStr">
        <is>
          <t>Unattempted</t>
        </is>
      </c>
    </row>
    <row r="535">
      <c r="A535" s="4" t="inlineStr">
        <is>
          <t>Interview Questions</t>
        </is>
      </c>
      <c r="B535" s="4" t="inlineStr">
        <is>
          <t>React Interview Questions</t>
        </is>
      </c>
      <c r="C535" s="4" t="inlineStr">
        <is>
          <t>Prepare for your React job interview with our list of common questions and answers. Cover key topics from JSX basics to advanced hooks, and boost your confidence for that big day by reading detailed explanations!</t>
        </is>
      </c>
      <c r="D535" s="4" t="inlineStr">
        <is>
          <t>JSX basics - JSX basics</t>
        </is>
      </c>
      <c r="E535" s="4" t="n">
        <v>3</v>
      </c>
      <c r="F535" s="4" t="inlineStr">
        <is>
          <t>JSX vs HTML</t>
        </is>
      </c>
      <c r="G535" s="4" t="inlineStr">
        <is>
          <t>REACTMCQ03</t>
        </is>
      </c>
      <c r="H535" s="4" t="inlineStr"/>
      <c r="I535" s="4" t="inlineStr">
        <is>
          <t>Easy</t>
        </is>
      </c>
      <c r="J535" s="5">
        <f>HYPERLINK("https://www.codechef.com/problems/REACTMCQ03", "https://www.codechef.com/problems/REACTMCQ03")</f>
        <v/>
      </c>
      <c r="K535" s="4" t="inlineStr"/>
      <c r="L535" s="4" t="inlineStr"/>
      <c r="M535" s="4" t="inlineStr"/>
      <c r="N535" s="4" t="inlineStr">
        <is>
          <t>No</t>
        </is>
      </c>
      <c r="O535" s="4" t="inlineStr">
        <is>
          <t>Unattempted</t>
        </is>
      </c>
    </row>
    <row r="536">
      <c r="A536" s="2" t="inlineStr">
        <is>
          <t>Interview Questions</t>
        </is>
      </c>
      <c r="B536" s="2" t="inlineStr">
        <is>
          <t>React Interview Questions</t>
        </is>
      </c>
      <c r="C536" s="2" t="inlineStr">
        <is>
          <t>Prepare for your React job interview with our list of common questions and answers. Cover key topics from JSX basics to advanced hooks, and boost your confidence for that big day by reading detailed explanations!</t>
        </is>
      </c>
      <c r="D536" s="2" t="inlineStr">
        <is>
          <t>JSX basics - JSX basics</t>
        </is>
      </c>
      <c r="E536" s="2" t="n">
        <v>4</v>
      </c>
      <c r="F536" s="2" t="inlineStr">
        <is>
          <t>Fragment Usage</t>
        </is>
      </c>
      <c r="G536" s="2" t="inlineStr">
        <is>
          <t>REACTMCQ04</t>
        </is>
      </c>
      <c r="H536" s="2" t="inlineStr"/>
      <c r="I536" s="2" t="inlineStr">
        <is>
          <t>Easy</t>
        </is>
      </c>
      <c r="J536" s="3">
        <f>HYPERLINK("https://www.codechef.com/problems/REACTMCQ04", "https://www.codechef.com/problems/REACTMCQ04")</f>
        <v/>
      </c>
      <c r="K536" s="2" t="inlineStr"/>
      <c r="L536" s="2" t="inlineStr"/>
      <c r="M536" s="2" t="inlineStr"/>
      <c r="N536" s="2" t="inlineStr">
        <is>
          <t>No</t>
        </is>
      </c>
      <c r="O536" s="2" t="inlineStr">
        <is>
          <t>Unattempted</t>
        </is>
      </c>
    </row>
    <row r="537">
      <c r="A537" s="4" t="inlineStr">
        <is>
          <t>Interview Questions</t>
        </is>
      </c>
      <c r="B537" s="4" t="inlineStr">
        <is>
          <t>React Interview Questions</t>
        </is>
      </c>
      <c r="C537" s="4" t="inlineStr">
        <is>
          <t>Prepare for your React job interview with our list of common questions and answers. Cover key topics from JSX basics to advanced hooks, and boost your confidence for that big day by reading detailed explanations!</t>
        </is>
      </c>
      <c r="D537" s="4" t="inlineStr">
        <is>
          <t>JSX basics - JSX basics</t>
        </is>
      </c>
      <c r="E537" s="4" t="n">
        <v>5</v>
      </c>
      <c r="F537" s="4" t="inlineStr">
        <is>
          <t>JSX Class Attribute</t>
        </is>
      </c>
      <c r="G537" s="4" t="inlineStr">
        <is>
          <t>REACTMCQ05</t>
        </is>
      </c>
      <c r="H537" s="4" t="inlineStr"/>
      <c r="I537" s="4" t="inlineStr">
        <is>
          <t>Easy</t>
        </is>
      </c>
      <c r="J537" s="5">
        <f>HYPERLINK("https://www.codechef.com/problems/REACTMCQ05", "https://www.codechef.com/problems/REACTMCQ05")</f>
        <v/>
      </c>
      <c r="K537" s="4" t="inlineStr"/>
      <c r="L537" s="4" t="inlineStr"/>
      <c r="M537" s="4" t="inlineStr"/>
      <c r="N537" s="4" t="inlineStr">
        <is>
          <t>No</t>
        </is>
      </c>
      <c r="O537" s="4" t="inlineStr">
        <is>
          <t>Unattempted</t>
        </is>
      </c>
    </row>
    <row r="538">
      <c r="A538" s="2" t="inlineStr">
        <is>
          <t>Interview Questions</t>
        </is>
      </c>
      <c r="B538" s="2" t="inlineStr">
        <is>
          <t>React Interview Questions</t>
        </is>
      </c>
      <c r="C538" s="2" t="inlineStr">
        <is>
          <t>Prepare for your React job interview with our list of common questions and answers. Cover key topics from JSX basics to advanced hooks, and boost your confidence for that big day by reading detailed explanations!</t>
        </is>
      </c>
      <c r="D538" s="2" t="inlineStr">
        <is>
          <t>JSX basics - JSX basics</t>
        </is>
      </c>
      <c r="E538" s="2" t="n">
        <v>6</v>
      </c>
      <c r="F538" s="2" t="inlineStr">
        <is>
          <t>JSX Comments</t>
        </is>
      </c>
      <c r="G538" s="2" t="inlineStr">
        <is>
          <t>REACTMCQ06</t>
        </is>
      </c>
      <c r="H538" s="2" t="inlineStr"/>
      <c r="I538" s="2" t="inlineStr">
        <is>
          <t>Easy</t>
        </is>
      </c>
      <c r="J538" s="3">
        <f>HYPERLINK("https://www.codechef.com/problems/REACTMCQ06", "https://www.codechef.com/problems/REACTMCQ06")</f>
        <v/>
      </c>
      <c r="K538" s="2" t="inlineStr"/>
      <c r="L538" s="2" t="inlineStr"/>
      <c r="M538" s="2" t="inlineStr"/>
      <c r="N538" s="2" t="inlineStr">
        <is>
          <t>No</t>
        </is>
      </c>
      <c r="O538" s="2" t="inlineStr">
        <is>
          <t>Unattempted</t>
        </is>
      </c>
    </row>
    <row r="539">
      <c r="A539" s="4" t="inlineStr">
        <is>
          <t>Interview Questions</t>
        </is>
      </c>
      <c r="B539" s="4" t="inlineStr">
        <is>
          <t>React Interview Questions</t>
        </is>
      </c>
      <c r="C539" s="4" t="inlineStr">
        <is>
          <t>Prepare for your React job interview with our list of common questions and answers. Cover key topics from JSX basics to advanced hooks, and boost your confidence for that big day by reading detailed explanations!</t>
        </is>
      </c>
      <c r="D539" s="4" t="inlineStr">
        <is>
          <t>JSX basics - JSX basics</t>
        </is>
      </c>
      <c r="E539" s="4" t="n">
        <v>7</v>
      </c>
      <c r="F539" s="4" t="inlineStr">
        <is>
          <t>JSX Expressions Limitation</t>
        </is>
      </c>
      <c r="G539" s="4" t="inlineStr">
        <is>
          <t>REACTMCQ07</t>
        </is>
      </c>
      <c r="H539" s="4" t="inlineStr"/>
      <c r="I539" s="4" t="inlineStr">
        <is>
          <t>Easy</t>
        </is>
      </c>
      <c r="J539" s="5">
        <f>HYPERLINK("https://www.codechef.com/problems/REACTMCQ07", "https://www.codechef.com/problems/REACTMCQ07")</f>
        <v/>
      </c>
      <c r="K539" s="4" t="inlineStr"/>
      <c r="L539" s="4" t="inlineStr"/>
      <c r="M539" s="4" t="inlineStr"/>
      <c r="N539" s="4" t="inlineStr">
        <is>
          <t>No</t>
        </is>
      </c>
      <c r="O539" s="4" t="inlineStr">
        <is>
          <t>Unattempted</t>
        </is>
      </c>
    </row>
    <row r="540">
      <c r="A540" s="2" t="inlineStr">
        <is>
          <t>Interview Questions</t>
        </is>
      </c>
      <c r="B540" s="2" t="inlineStr">
        <is>
          <t>React Interview Questions</t>
        </is>
      </c>
      <c r="C540" s="2" t="inlineStr">
        <is>
          <t>Prepare for your React job interview with our list of common questions and answers. Cover key topics from JSX basics to advanced hooks, and boost your confidence for that big day by reading detailed explanations!</t>
        </is>
      </c>
      <c r="D540" s="2" t="inlineStr">
        <is>
          <t>JSX basics - JSX basics</t>
        </is>
      </c>
      <c r="E540" s="2" t="n">
        <v>8</v>
      </c>
      <c r="F540" s="2" t="inlineStr">
        <is>
          <t>JSX and JavaScript</t>
        </is>
      </c>
      <c r="G540" s="2" t="inlineStr">
        <is>
          <t>REACTMCQ08</t>
        </is>
      </c>
      <c r="H540" s="2" t="inlineStr"/>
      <c r="I540" s="2" t="inlineStr">
        <is>
          <t>Easy</t>
        </is>
      </c>
      <c r="J540" s="3">
        <f>HYPERLINK("https://www.codechef.com/problems/REACTMCQ08", "https://www.codechef.com/problems/REACTMCQ08")</f>
        <v/>
      </c>
      <c r="K540" s="2" t="inlineStr"/>
      <c r="L540" s="2" t="inlineStr"/>
      <c r="M540" s="2" t="inlineStr"/>
      <c r="N540" s="2" t="inlineStr">
        <is>
          <t>No</t>
        </is>
      </c>
      <c r="O540" s="2" t="inlineStr">
        <is>
          <t>Unattempted</t>
        </is>
      </c>
    </row>
    <row r="541">
      <c r="A541" s="4" t="inlineStr">
        <is>
          <t>Interview Questions</t>
        </is>
      </c>
      <c r="B541" s="4" t="inlineStr">
        <is>
          <t>React Interview Questions</t>
        </is>
      </c>
      <c r="C541" s="4" t="inlineStr">
        <is>
          <t>Prepare for your React job interview with our list of common questions and answers. Cover key topics from JSX basics to advanced hooks, and boost your confidence for that big day by reading detailed explanations!</t>
        </is>
      </c>
      <c r="D541" s="4" t="inlineStr">
        <is>
          <t>Components and props - Components and props</t>
        </is>
      </c>
      <c r="E541" s="4" t="n">
        <v>9</v>
      </c>
      <c r="F541" s="4" t="inlineStr">
        <is>
          <t>Component Types</t>
        </is>
      </c>
      <c r="G541" s="4" t="inlineStr">
        <is>
          <t>REACTMCQ09</t>
        </is>
      </c>
      <c r="H541" s="4" t="inlineStr"/>
      <c r="I541" s="4" t="inlineStr">
        <is>
          <t>Easy</t>
        </is>
      </c>
      <c r="J541" s="5">
        <f>HYPERLINK("https://www.codechef.com/problems/REACTMCQ09", "https://www.codechef.com/problems/REACTMCQ09")</f>
        <v/>
      </c>
      <c r="K541" s="4" t="inlineStr"/>
      <c r="L541" s="4" t="inlineStr"/>
      <c r="M541" s="4" t="inlineStr"/>
      <c r="N541" s="4" t="inlineStr">
        <is>
          <t>No</t>
        </is>
      </c>
      <c r="O541" s="4" t="inlineStr">
        <is>
          <t>Unattempted</t>
        </is>
      </c>
    </row>
    <row r="542">
      <c r="A542" s="2" t="inlineStr">
        <is>
          <t>Interview Questions</t>
        </is>
      </c>
      <c r="B542" s="2" t="inlineStr">
        <is>
          <t>React Interview Questions</t>
        </is>
      </c>
      <c r="C542" s="2" t="inlineStr">
        <is>
          <t>Prepare for your React job interview with our list of common questions and answers. Cover key topics from JSX basics to advanced hooks, and boost your confidence for that big day by reading detailed explanations!</t>
        </is>
      </c>
      <c r="D542" s="2" t="inlineStr">
        <is>
          <t>Components and props - Components and props</t>
        </is>
      </c>
      <c r="E542" s="2" t="n">
        <v>10</v>
      </c>
      <c r="F542" s="2" t="inlineStr">
        <is>
          <t>Props Passing</t>
        </is>
      </c>
      <c r="G542" s="2" t="inlineStr">
        <is>
          <t>REACTMCQ10</t>
        </is>
      </c>
      <c r="H542" s="2" t="inlineStr"/>
      <c r="I542" s="2" t="inlineStr">
        <is>
          <t>Easy</t>
        </is>
      </c>
      <c r="J542" s="3">
        <f>HYPERLINK("https://www.codechef.com/problems/REACTMCQ10", "https://www.codechef.com/problems/REACTMCQ10")</f>
        <v/>
      </c>
      <c r="K542" s="2" t="inlineStr"/>
      <c r="L542" s="2" t="inlineStr"/>
      <c r="M542" s="2" t="inlineStr"/>
      <c r="N542" s="2" t="inlineStr">
        <is>
          <t>No</t>
        </is>
      </c>
      <c r="O542" s="2" t="inlineStr">
        <is>
          <t>Unattempted</t>
        </is>
      </c>
    </row>
    <row r="543">
      <c r="A543" s="4" t="inlineStr">
        <is>
          <t>Interview Questions</t>
        </is>
      </c>
      <c r="B543" s="4" t="inlineStr">
        <is>
          <t>React Interview Questions</t>
        </is>
      </c>
      <c r="C543" s="4" t="inlineStr">
        <is>
          <t>Prepare for your React job interview with our list of common questions and answers. Cover key topics from JSX basics to advanced hooks, and boost your confidence for that big day by reading detailed explanations!</t>
        </is>
      </c>
      <c r="D543" s="4" t="inlineStr">
        <is>
          <t>Components and props - Components and props</t>
        </is>
      </c>
      <c r="E543" s="4" t="n">
        <v>11</v>
      </c>
      <c r="F543" s="4" t="inlineStr">
        <is>
          <t>Accessing Props</t>
        </is>
      </c>
      <c r="G543" s="4" t="inlineStr">
        <is>
          <t>REACTMCQ11</t>
        </is>
      </c>
      <c r="H543" s="4" t="inlineStr"/>
      <c r="I543" s="4" t="inlineStr">
        <is>
          <t>Easy</t>
        </is>
      </c>
      <c r="J543" s="5">
        <f>HYPERLINK("https://www.codechef.com/problems/REACTMCQ11", "https://www.codechef.com/problems/REACTMCQ11")</f>
        <v/>
      </c>
      <c r="K543" s="4" t="inlineStr"/>
      <c r="L543" s="4" t="inlineStr"/>
      <c r="M543" s="4" t="inlineStr"/>
      <c r="N543" s="4" t="inlineStr">
        <is>
          <t>No</t>
        </is>
      </c>
      <c r="O543" s="4" t="inlineStr">
        <is>
          <t>Unattempted</t>
        </is>
      </c>
    </row>
    <row r="544">
      <c r="A544" s="2" t="inlineStr">
        <is>
          <t>Interview Questions</t>
        </is>
      </c>
      <c r="B544" s="2" t="inlineStr">
        <is>
          <t>React Interview Questions</t>
        </is>
      </c>
      <c r="C544" s="2" t="inlineStr">
        <is>
          <t>Prepare for your React job interview with our list of common questions and answers. Cover key topics from JSX basics to advanced hooks, and boost your confidence for that big day by reading detailed explanations!</t>
        </is>
      </c>
      <c r="D544" s="2" t="inlineStr">
        <is>
          <t>Components and props - Components and props</t>
        </is>
      </c>
      <c r="E544" s="2" t="n">
        <v>12</v>
      </c>
      <c r="F544" s="2" t="inlineStr">
        <is>
          <t>PropTypes Usage</t>
        </is>
      </c>
      <c r="G544" s="2" t="inlineStr">
        <is>
          <t>REACTMCQ12</t>
        </is>
      </c>
      <c r="H544" s="2" t="inlineStr"/>
      <c r="I544" s="2" t="inlineStr">
        <is>
          <t>Easy</t>
        </is>
      </c>
      <c r="J544" s="3">
        <f>HYPERLINK("https://www.codechef.com/problems/REACTMCQ12", "https://www.codechef.com/problems/REACTMCQ12")</f>
        <v/>
      </c>
      <c r="K544" s="2" t="inlineStr"/>
      <c r="L544" s="2" t="inlineStr"/>
      <c r="M544" s="2" t="inlineStr"/>
      <c r="N544" s="2" t="inlineStr">
        <is>
          <t>No</t>
        </is>
      </c>
      <c r="O544" s="2" t="inlineStr">
        <is>
          <t>Unattempted</t>
        </is>
      </c>
    </row>
    <row r="545">
      <c r="A545" s="4" t="inlineStr">
        <is>
          <t>Interview Questions</t>
        </is>
      </c>
      <c r="B545" s="4" t="inlineStr">
        <is>
          <t>React Interview Questions</t>
        </is>
      </c>
      <c r="C545" s="4" t="inlineStr">
        <is>
          <t>Prepare for your React job interview with our list of common questions and answers. Cover key topics from JSX basics to advanced hooks, and boost your confidence for that big day by reading detailed explanations!</t>
        </is>
      </c>
      <c r="D545" s="4" t="inlineStr">
        <is>
          <t>Components and props - Components and props</t>
        </is>
      </c>
      <c r="E545" s="4" t="n">
        <v>13</v>
      </c>
      <c r="F545" s="4" t="inlineStr">
        <is>
          <t>Default Props</t>
        </is>
      </c>
      <c r="G545" s="4" t="inlineStr">
        <is>
          <t>REACTMCQ13</t>
        </is>
      </c>
      <c r="H545" s="4" t="inlineStr"/>
      <c r="I545" s="4" t="inlineStr">
        <is>
          <t>Easy</t>
        </is>
      </c>
      <c r="J545" s="5">
        <f>HYPERLINK("https://www.codechef.com/problems/REACTMCQ13", "https://www.codechef.com/problems/REACTMCQ13")</f>
        <v/>
      </c>
      <c r="K545" s="4" t="inlineStr"/>
      <c r="L545" s="4" t="inlineStr"/>
      <c r="M545" s="4" t="inlineStr"/>
      <c r="N545" s="4" t="inlineStr">
        <is>
          <t>No</t>
        </is>
      </c>
      <c r="O545" s="4" t="inlineStr">
        <is>
          <t>Unattempted</t>
        </is>
      </c>
    </row>
    <row r="546">
      <c r="A546" s="2" t="inlineStr">
        <is>
          <t>Interview Questions</t>
        </is>
      </c>
      <c r="B546" s="2" t="inlineStr">
        <is>
          <t>React Interview Questions</t>
        </is>
      </c>
      <c r="C546" s="2" t="inlineStr">
        <is>
          <t>Prepare for your React job interview with our list of common questions and answers. Cover key topics from JSX basics to advanced hooks, and boost your confidence for that big day by reading detailed explanations!</t>
        </is>
      </c>
      <c r="D546" s="2" t="inlineStr">
        <is>
          <t>Components and props - Components and props</t>
        </is>
      </c>
      <c r="E546" s="2" t="n">
        <v>14</v>
      </c>
      <c r="F546" s="2" t="inlineStr">
        <is>
          <t>Children Prop</t>
        </is>
      </c>
      <c r="G546" s="2" t="inlineStr">
        <is>
          <t>REACTMCQ14</t>
        </is>
      </c>
      <c r="H546" s="2" t="inlineStr"/>
      <c r="I546" s="2" t="inlineStr">
        <is>
          <t>Easy</t>
        </is>
      </c>
      <c r="J546" s="3">
        <f>HYPERLINK("https://www.codechef.com/problems/REACTMCQ14", "https://www.codechef.com/problems/REACTMCQ14")</f>
        <v/>
      </c>
      <c r="K546" s="2" t="inlineStr"/>
      <c r="L546" s="2" t="inlineStr"/>
      <c r="M546" s="2" t="inlineStr"/>
      <c r="N546" s="2" t="inlineStr">
        <is>
          <t>No</t>
        </is>
      </c>
      <c r="O546" s="2" t="inlineStr">
        <is>
          <t>Unattempted</t>
        </is>
      </c>
    </row>
    <row r="547">
      <c r="A547" s="4" t="inlineStr">
        <is>
          <t>Interview Questions</t>
        </is>
      </c>
      <c r="B547" s="4" t="inlineStr">
        <is>
          <t>React Interview Questions</t>
        </is>
      </c>
      <c r="C547" s="4" t="inlineStr">
        <is>
          <t>Prepare for your React job interview with our list of common questions and answers. Cover key topics from JSX basics to advanced hooks, and boost your confidence for that big day by reading detailed explanations!</t>
        </is>
      </c>
      <c r="D547" s="4" t="inlineStr">
        <is>
          <t>Components and props - Components and props</t>
        </is>
      </c>
      <c r="E547" s="4" t="n">
        <v>15</v>
      </c>
      <c r="F547" s="4" t="inlineStr">
        <is>
          <t>Functional vs Class Components</t>
        </is>
      </c>
      <c r="G547" s="4" t="inlineStr">
        <is>
          <t>REACTMCQ15</t>
        </is>
      </c>
      <c r="H547" s="4" t="inlineStr"/>
      <c r="I547" s="4" t="inlineStr">
        <is>
          <t>Easy</t>
        </is>
      </c>
      <c r="J547" s="5">
        <f>HYPERLINK("https://www.codechef.com/problems/REACTMCQ15", "https://www.codechef.com/problems/REACTMCQ15")</f>
        <v/>
      </c>
      <c r="K547" s="4" t="inlineStr"/>
      <c r="L547" s="4" t="inlineStr"/>
      <c r="M547" s="4" t="inlineStr"/>
      <c r="N547" s="4" t="inlineStr">
        <is>
          <t>No</t>
        </is>
      </c>
      <c r="O547" s="4" t="inlineStr">
        <is>
          <t>Unattempted</t>
        </is>
      </c>
    </row>
    <row r="548">
      <c r="A548" s="2" t="inlineStr">
        <is>
          <t>Interview Questions</t>
        </is>
      </c>
      <c r="B548" s="2" t="inlineStr">
        <is>
          <t>React Interview Questions</t>
        </is>
      </c>
      <c r="C548" s="2" t="inlineStr">
        <is>
          <t>Prepare for your React job interview with our list of common questions and answers. Cover key topics from JSX basics to advanced hooks, and boost your confidence for that big day by reading detailed explanations!</t>
        </is>
      </c>
      <c r="D548" s="2" t="inlineStr">
        <is>
          <t>Components and props - Components and props</t>
        </is>
      </c>
      <c r="E548" s="2" t="n">
        <v>16</v>
      </c>
      <c r="F548" s="2" t="inlineStr">
        <is>
          <t>Props Immutability</t>
        </is>
      </c>
      <c r="G548" s="2" t="inlineStr">
        <is>
          <t>REACTMCQ16</t>
        </is>
      </c>
      <c r="H548" s="2" t="inlineStr"/>
      <c r="I548" s="2" t="inlineStr">
        <is>
          <t>Easy</t>
        </is>
      </c>
      <c r="J548" s="3">
        <f>HYPERLINK("https://www.codechef.com/problems/REACTMCQ16", "https://www.codechef.com/problems/REACTMCQ16")</f>
        <v/>
      </c>
      <c r="K548" s="2" t="inlineStr"/>
      <c r="L548" s="2" t="inlineStr"/>
      <c r="M548" s="2" t="inlineStr"/>
      <c r="N548" s="2" t="inlineStr">
        <is>
          <t>No</t>
        </is>
      </c>
      <c r="O548" s="2" t="inlineStr">
        <is>
          <t>Unattempted</t>
        </is>
      </c>
    </row>
    <row r="549">
      <c r="A549" s="4" t="inlineStr">
        <is>
          <t>Interview Questions</t>
        </is>
      </c>
      <c r="B549" s="4" t="inlineStr">
        <is>
          <t>React Interview Questions</t>
        </is>
      </c>
      <c r="C549" s="4" t="inlineStr">
        <is>
          <t>Prepare for your React job interview with our list of common questions and answers. Cover key topics from JSX basics to advanced hooks, and boost your confidence for that big day by reading detailed explanations!</t>
        </is>
      </c>
      <c r="D549" s="4" t="inlineStr">
        <is>
          <t>Components and props - Components and props</t>
        </is>
      </c>
      <c r="E549" s="4" t="n">
        <v>17</v>
      </c>
      <c r="F549" s="4" t="inlineStr">
        <is>
          <t>Spreading Props</t>
        </is>
      </c>
      <c r="G549" s="4" t="inlineStr">
        <is>
          <t>REACTMCQ17</t>
        </is>
      </c>
      <c r="H549" s="4" t="inlineStr"/>
      <c r="I549" s="4" t="inlineStr">
        <is>
          <t>Easy</t>
        </is>
      </c>
      <c r="J549" s="5">
        <f>HYPERLINK("https://www.codechef.com/problems/REACTMCQ17", "https://www.codechef.com/problems/REACTMCQ17")</f>
        <v/>
      </c>
      <c r="K549" s="4" t="inlineStr"/>
      <c r="L549" s="4" t="inlineStr"/>
      <c r="M549" s="4" t="inlineStr"/>
      <c r="N549" s="4" t="inlineStr">
        <is>
          <t>No</t>
        </is>
      </c>
      <c r="O549" s="4" t="inlineStr">
        <is>
          <t>Unattempted</t>
        </is>
      </c>
    </row>
    <row r="550">
      <c r="A550" s="2" t="inlineStr">
        <is>
          <t>Interview Questions</t>
        </is>
      </c>
      <c r="B550" s="2" t="inlineStr">
        <is>
          <t>React Interview Questions</t>
        </is>
      </c>
      <c r="C550" s="2" t="inlineStr">
        <is>
          <t>Prepare for your React job interview with our list of common questions and answers. Cover key topics from JSX basics to advanced hooks, and boost your confidence for that big day by reading detailed explanations!</t>
        </is>
      </c>
      <c r="D550" s="2" t="inlineStr">
        <is>
          <t>Components and props - Components and props</t>
        </is>
      </c>
      <c r="E550" s="2" t="n">
        <v>18</v>
      </c>
      <c r="F550" s="2" t="inlineStr">
        <is>
          <t>PropTypes.node</t>
        </is>
      </c>
      <c r="G550" s="2" t="inlineStr">
        <is>
          <t>REACTMCQ18</t>
        </is>
      </c>
      <c r="H550" s="2" t="inlineStr"/>
      <c r="I550" s="2" t="inlineStr">
        <is>
          <t>Easy</t>
        </is>
      </c>
      <c r="J550" s="3">
        <f>HYPERLINK("https://www.codechef.com/problems/REACTMCQ18", "https://www.codechef.com/problems/REACTMCQ18")</f>
        <v/>
      </c>
      <c r="K550" s="2" t="inlineStr"/>
      <c r="L550" s="2" t="inlineStr"/>
      <c r="M550" s="2" t="inlineStr"/>
      <c r="N550" s="2" t="inlineStr">
        <is>
          <t>No</t>
        </is>
      </c>
      <c r="O550" s="2" t="inlineStr">
        <is>
          <t>Unattempted</t>
        </is>
      </c>
    </row>
    <row r="551">
      <c r="A551" s="4" t="inlineStr">
        <is>
          <t>Interview Questions</t>
        </is>
      </c>
      <c r="B551" s="4" t="inlineStr">
        <is>
          <t>React Interview Questions</t>
        </is>
      </c>
      <c r="C551" s="4" t="inlineStr">
        <is>
          <t>Prepare for your React job interview with our list of common questions and answers. Cover key topics from JSX basics to advanced hooks, and boost your confidence for that big day by reading detailed explanations!</t>
        </is>
      </c>
      <c r="D551" s="4" t="inlineStr">
        <is>
          <t>State management with useState - State management with useState</t>
        </is>
      </c>
      <c r="E551" s="4" t="n">
        <v>19</v>
      </c>
      <c r="F551" s="4" t="inlineStr">
        <is>
          <t>useState Hook Declaration</t>
        </is>
      </c>
      <c r="G551" s="4" t="inlineStr">
        <is>
          <t>REACTMCQ19</t>
        </is>
      </c>
      <c r="H551" s="4" t="inlineStr"/>
      <c r="I551" s="4" t="inlineStr">
        <is>
          <t>Easy</t>
        </is>
      </c>
      <c r="J551" s="5">
        <f>HYPERLINK("https://www.codechef.com/problems/REACTMCQ19", "https://www.codechef.com/problems/REACTMCQ19")</f>
        <v/>
      </c>
      <c r="K551" s="4" t="inlineStr"/>
      <c r="L551" s="4" t="inlineStr"/>
      <c r="M551" s="4" t="inlineStr"/>
      <c r="N551" s="4" t="inlineStr">
        <is>
          <t>No</t>
        </is>
      </c>
      <c r="O551" s="4" t="inlineStr">
        <is>
          <t>Unattempted</t>
        </is>
      </c>
    </row>
    <row r="552">
      <c r="A552" s="2" t="inlineStr">
        <is>
          <t>Interview Questions</t>
        </is>
      </c>
      <c r="B552" s="2" t="inlineStr">
        <is>
          <t>React Interview Questions</t>
        </is>
      </c>
      <c r="C552" s="2" t="inlineStr">
        <is>
          <t>Prepare for your React job interview with our list of common questions and answers. Cover key topics from JSX basics to advanced hooks, and boost your confidence for that big day by reading detailed explanations!</t>
        </is>
      </c>
      <c r="D552" s="2" t="inlineStr">
        <is>
          <t>State management with useState - State management with useState</t>
        </is>
      </c>
      <c r="E552" s="2" t="n">
        <v>20</v>
      </c>
      <c r="F552" s="2" t="inlineStr">
        <is>
          <t>Updating State</t>
        </is>
      </c>
      <c r="G552" s="2" t="inlineStr">
        <is>
          <t>REACTMCQ20</t>
        </is>
      </c>
      <c r="H552" s="2" t="inlineStr"/>
      <c r="I552" s="2" t="inlineStr">
        <is>
          <t>Easy</t>
        </is>
      </c>
      <c r="J552" s="3">
        <f>HYPERLINK("https://www.codechef.com/problems/REACTMCQ20", "https://www.codechef.com/problems/REACTMCQ20")</f>
        <v/>
      </c>
      <c r="K552" s="2" t="inlineStr"/>
      <c r="L552" s="2" t="inlineStr"/>
      <c r="M552" s="2" t="inlineStr"/>
      <c r="N552" s="2" t="inlineStr">
        <is>
          <t>No</t>
        </is>
      </c>
      <c r="O552" s="2" t="inlineStr">
        <is>
          <t>Unattempted</t>
        </is>
      </c>
    </row>
    <row r="553">
      <c r="A553" s="4" t="inlineStr">
        <is>
          <t>Interview Questions</t>
        </is>
      </c>
      <c r="B553" s="4" t="inlineStr">
        <is>
          <t>React Interview Questions</t>
        </is>
      </c>
      <c r="C553" s="4" t="inlineStr">
        <is>
          <t>Prepare for your React job interview with our list of common questions and answers. Cover key topics from JSX basics to advanced hooks, and boost your confidence for that big day by reading detailed explanations!</t>
        </is>
      </c>
      <c r="D553" s="4" t="inlineStr">
        <is>
          <t>State management with useState - State management with useState</t>
        </is>
      </c>
      <c r="E553" s="4" t="n">
        <v>21</v>
      </c>
      <c r="F553" s="4" t="inlineStr">
        <is>
          <t>State Updates with Objects</t>
        </is>
      </c>
      <c r="G553" s="4" t="inlineStr">
        <is>
          <t>REACTMCQ21</t>
        </is>
      </c>
      <c r="H553" s="4" t="inlineStr"/>
      <c r="I553" s="4" t="inlineStr">
        <is>
          <t>Medium</t>
        </is>
      </c>
      <c r="J553" s="5">
        <f>HYPERLINK("https://www.codechef.com/problems/REACTMCQ21", "https://www.codechef.com/problems/REACTMCQ21")</f>
        <v/>
      </c>
      <c r="K553" s="4" t="inlineStr"/>
      <c r="L553" s="4" t="inlineStr"/>
      <c r="M553" s="4" t="inlineStr"/>
      <c r="N553" s="4" t="inlineStr">
        <is>
          <t>No</t>
        </is>
      </c>
      <c r="O553" s="4" t="inlineStr">
        <is>
          <t>Unattempted</t>
        </is>
      </c>
    </row>
    <row r="554">
      <c r="A554" s="2" t="inlineStr">
        <is>
          <t>Interview Questions</t>
        </is>
      </c>
      <c r="B554" s="2" t="inlineStr">
        <is>
          <t>React Interview Questions</t>
        </is>
      </c>
      <c r="C554" s="2" t="inlineStr">
        <is>
          <t>Prepare for your React job interview with our list of common questions and answers. Cover key topics from JSX basics to advanced hooks, and boost your confidence for that big day by reading detailed explanations!</t>
        </is>
      </c>
      <c r="D554" s="2" t="inlineStr">
        <is>
          <t>State management with useState - State management with useState</t>
        </is>
      </c>
      <c r="E554" s="2" t="n">
        <v>22</v>
      </c>
      <c r="F554" s="2" t="inlineStr">
        <is>
          <t>Functional Updates</t>
        </is>
      </c>
      <c r="G554" s="2" t="inlineStr">
        <is>
          <t>REACTMCQ22</t>
        </is>
      </c>
      <c r="H554" s="2" t="inlineStr"/>
      <c r="I554" s="2" t="inlineStr">
        <is>
          <t>Medium</t>
        </is>
      </c>
      <c r="J554" s="3">
        <f>HYPERLINK("https://www.codechef.com/problems/REACTMCQ22", "https://www.codechef.com/problems/REACTMCQ22")</f>
        <v/>
      </c>
      <c r="K554" s="2" t="inlineStr"/>
      <c r="L554" s="2" t="inlineStr"/>
      <c r="M554" s="2" t="inlineStr"/>
      <c r="N554" s="2" t="inlineStr">
        <is>
          <t>No</t>
        </is>
      </c>
      <c r="O554" s="2" t="inlineStr">
        <is>
          <t>Unattempted</t>
        </is>
      </c>
    </row>
    <row r="555">
      <c r="A555" s="4" t="inlineStr">
        <is>
          <t>Interview Questions</t>
        </is>
      </c>
      <c r="B555" s="4" t="inlineStr">
        <is>
          <t>React Interview Questions</t>
        </is>
      </c>
      <c r="C555" s="4" t="inlineStr">
        <is>
          <t>Prepare for your React job interview with our list of common questions and answers. Cover key topics from JSX basics to advanced hooks, and boost your confidence for that big day by reading detailed explanations!</t>
        </is>
      </c>
      <c r="D555" s="4" t="inlineStr">
        <is>
          <t>State management with useState - State management with useState</t>
        </is>
      </c>
      <c r="E555" s="4" t="n">
        <v>23</v>
      </c>
      <c r="F555" s="4" t="inlineStr">
        <is>
          <t>Multiple State Variables</t>
        </is>
      </c>
      <c r="G555" s="4" t="inlineStr">
        <is>
          <t>REACTMCQ23</t>
        </is>
      </c>
      <c r="H555" s="4" t="inlineStr"/>
      <c r="I555" s="4" t="inlineStr">
        <is>
          <t>Medium</t>
        </is>
      </c>
      <c r="J555" s="5">
        <f>HYPERLINK("https://www.codechef.com/problems/REACTMCQ23", "https://www.codechef.com/problems/REACTMCQ23")</f>
        <v/>
      </c>
      <c r="K555" s="4" t="inlineStr"/>
      <c r="L555" s="4" t="inlineStr"/>
      <c r="M555" s="4" t="inlineStr"/>
      <c r="N555" s="4" t="inlineStr">
        <is>
          <t>No</t>
        </is>
      </c>
      <c r="O555" s="4" t="inlineStr">
        <is>
          <t>Unattempted</t>
        </is>
      </c>
    </row>
    <row r="556">
      <c r="A556" s="2" t="inlineStr">
        <is>
          <t>Interview Questions</t>
        </is>
      </c>
      <c r="B556" s="2" t="inlineStr">
        <is>
          <t>React Interview Questions</t>
        </is>
      </c>
      <c r="C556" s="2" t="inlineStr">
        <is>
          <t>Prepare for your React job interview with our list of common questions and answers. Cover key topics from JSX basics to advanced hooks, and boost your confidence for that big day by reading detailed explanations!</t>
        </is>
      </c>
      <c r="D556" s="2" t="inlineStr">
        <is>
          <t>State management with useState - State management with useState</t>
        </is>
      </c>
      <c r="E556" s="2" t="n">
        <v>24</v>
      </c>
      <c r="F556" s="2" t="inlineStr">
        <is>
          <t>Initializing State</t>
        </is>
      </c>
      <c r="G556" s="2" t="inlineStr">
        <is>
          <t>REACTMCQ24</t>
        </is>
      </c>
      <c r="H556" s="2" t="inlineStr"/>
      <c r="I556" s="2" t="inlineStr">
        <is>
          <t>Medium</t>
        </is>
      </c>
      <c r="J556" s="3">
        <f>HYPERLINK("https://www.codechef.com/problems/REACTMCQ24", "https://www.codechef.com/problems/REACTMCQ24")</f>
        <v/>
      </c>
      <c r="K556" s="2" t="inlineStr"/>
      <c r="L556" s="2" t="inlineStr"/>
      <c r="M556" s="2" t="inlineStr"/>
      <c r="N556" s="2" t="inlineStr">
        <is>
          <t>No</t>
        </is>
      </c>
      <c r="O556" s="2" t="inlineStr">
        <is>
          <t>Unattempted</t>
        </is>
      </c>
    </row>
    <row r="557">
      <c r="A557" s="4" t="inlineStr">
        <is>
          <t>Interview Questions</t>
        </is>
      </c>
      <c r="B557" s="4" t="inlineStr">
        <is>
          <t>React Interview Questions</t>
        </is>
      </c>
      <c r="C557" s="4" t="inlineStr">
        <is>
          <t>Prepare for your React job interview with our list of common questions and answers. Cover key topics from JSX basics to advanced hooks, and boost your confidence for that big day by reading detailed explanations!</t>
        </is>
      </c>
      <c r="D557" s="4" t="inlineStr">
        <is>
          <t>State management with useState - State management with useState</t>
        </is>
      </c>
      <c r="E557" s="4" t="n">
        <v>25</v>
      </c>
      <c r="F557" s="4" t="inlineStr">
        <is>
          <t>Updating Arrays in State</t>
        </is>
      </c>
      <c r="G557" s="4" t="inlineStr">
        <is>
          <t>REACTMCQ25</t>
        </is>
      </c>
      <c r="H557" s="4" t="inlineStr"/>
      <c r="I557" s="4" t="inlineStr">
        <is>
          <t>Medium</t>
        </is>
      </c>
      <c r="J557" s="5">
        <f>HYPERLINK("https://www.codechef.com/problems/REACTMCQ25", "https://www.codechef.com/problems/REACTMCQ25")</f>
        <v/>
      </c>
      <c r="K557" s="4" t="inlineStr"/>
      <c r="L557" s="4" t="inlineStr"/>
      <c r="M557" s="4" t="inlineStr"/>
      <c r="N557" s="4" t="inlineStr">
        <is>
          <t>No</t>
        </is>
      </c>
      <c r="O557" s="4" t="inlineStr">
        <is>
          <t>Unattempted</t>
        </is>
      </c>
    </row>
    <row r="558">
      <c r="A558" s="2" t="inlineStr">
        <is>
          <t>Interview Questions</t>
        </is>
      </c>
      <c r="B558" s="2" t="inlineStr">
        <is>
          <t>React Interview Questions</t>
        </is>
      </c>
      <c r="C558" s="2" t="inlineStr">
        <is>
          <t>Prepare for your React job interview with our list of common questions and answers. Cover key topics from JSX basics to advanced hooks, and boost your confidence for that big day by reading detailed explanations!</t>
        </is>
      </c>
      <c r="D558" s="2" t="inlineStr">
        <is>
          <t>State management with useState - State management with useState</t>
        </is>
      </c>
      <c r="E558" s="2" t="n">
        <v>26</v>
      </c>
      <c r="F558" s="2" t="inlineStr">
        <is>
          <t>State Updates and Re-renders</t>
        </is>
      </c>
      <c r="G558" s="2" t="inlineStr">
        <is>
          <t>REACTMCQ26</t>
        </is>
      </c>
      <c r="H558" s="2" t="inlineStr"/>
      <c r="I558" s="2" t="inlineStr">
        <is>
          <t>Medium</t>
        </is>
      </c>
      <c r="J558" s="3">
        <f>HYPERLINK("https://www.codechef.com/problems/REACTMCQ26", "https://www.codechef.com/problems/REACTMCQ26")</f>
        <v/>
      </c>
      <c r="K558" s="2" t="inlineStr"/>
      <c r="L558" s="2" t="inlineStr"/>
      <c r="M558" s="2" t="inlineStr"/>
      <c r="N558" s="2" t="inlineStr">
        <is>
          <t>No</t>
        </is>
      </c>
      <c r="O558" s="2" t="inlineStr">
        <is>
          <t>Unattempted</t>
        </is>
      </c>
    </row>
    <row r="559">
      <c r="A559" s="4" t="inlineStr">
        <is>
          <t>Interview Questions</t>
        </is>
      </c>
      <c r="B559" s="4" t="inlineStr">
        <is>
          <t>React Interview Questions</t>
        </is>
      </c>
      <c r="C559" s="4" t="inlineStr">
        <is>
          <t>Prepare for your React job interview with our list of common questions and answers. Cover key topics from JSX basics to advanced hooks, and boost your confidence for that big day by reading detailed explanations!</t>
        </is>
      </c>
      <c r="D559" s="4" t="inlineStr">
        <is>
          <t>State management with useState - State management with useState</t>
        </is>
      </c>
      <c r="E559" s="4" t="n">
        <v>27</v>
      </c>
      <c r="F559" s="4" t="inlineStr">
        <is>
          <t>State in Event Handlers</t>
        </is>
      </c>
      <c r="G559" s="4" t="inlineStr">
        <is>
          <t>REACTMCQ27</t>
        </is>
      </c>
      <c r="H559" s="4" t="inlineStr"/>
      <c r="I559" s="4" t="inlineStr">
        <is>
          <t>Medium</t>
        </is>
      </c>
      <c r="J559" s="5">
        <f>HYPERLINK("https://www.codechef.com/problems/REACTMCQ27", "https://www.codechef.com/problems/REACTMCQ27")</f>
        <v/>
      </c>
      <c r="K559" s="4" t="inlineStr"/>
      <c r="L559" s="4" t="inlineStr"/>
      <c r="M559" s="4" t="inlineStr"/>
      <c r="N559" s="4" t="inlineStr">
        <is>
          <t>No</t>
        </is>
      </c>
      <c r="O559" s="4" t="inlineStr">
        <is>
          <t>Unattempted</t>
        </is>
      </c>
    </row>
    <row r="560">
      <c r="A560" s="2" t="inlineStr">
        <is>
          <t>Interview Questions</t>
        </is>
      </c>
      <c r="B560" s="2" t="inlineStr">
        <is>
          <t>React Interview Questions</t>
        </is>
      </c>
      <c r="C560" s="2" t="inlineStr">
        <is>
          <t>Prepare for your React job interview with our list of common questions and answers. Cover key topics from JSX basics to advanced hooks, and boost your confidence for that big day by reading detailed explanations!</t>
        </is>
      </c>
      <c r="D560" s="2" t="inlineStr">
        <is>
          <t>State management with useState - State management with useState</t>
        </is>
      </c>
      <c r="E560" s="2" t="n">
        <v>28</v>
      </c>
      <c r="F560" s="2" t="inlineStr">
        <is>
          <t>State Updates and Props</t>
        </is>
      </c>
      <c r="G560" s="2" t="inlineStr">
        <is>
          <t>REACTMCQ28</t>
        </is>
      </c>
      <c r="H560" s="2" t="inlineStr"/>
      <c r="I560" s="2" t="inlineStr">
        <is>
          <t>Medium</t>
        </is>
      </c>
      <c r="J560" s="3">
        <f>HYPERLINK("https://www.codechef.com/problems/REACTMCQ28", "https://www.codechef.com/problems/REACTMCQ28")</f>
        <v/>
      </c>
      <c r="K560" s="2" t="inlineStr"/>
      <c r="L560" s="2" t="inlineStr"/>
      <c r="M560" s="2" t="inlineStr"/>
      <c r="N560" s="2" t="inlineStr">
        <is>
          <t>No</t>
        </is>
      </c>
      <c r="O560" s="2" t="inlineStr">
        <is>
          <t>Unattempted</t>
        </is>
      </c>
    </row>
    <row r="561">
      <c r="A561" s="4" t="inlineStr">
        <is>
          <t>Interview Questions</t>
        </is>
      </c>
      <c r="B561" s="4" t="inlineStr">
        <is>
          <t>React Interview Questions</t>
        </is>
      </c>
      <c r="C561" s="4" t="inlineStr">
        <is>
          <t>Prepare for your React job interview with our list of common questions and answers. Cover key topics from JSX basics to advanced hooks, and boost your confidence for that big day by reading detailed explanations!</t>
        </is>
      </c>
      <c r="D561" s="4" t="inlineStr">
        <is>
          <t>Conditional rendering - Conditional rendering</t>
        </is>
      </c>
      <c r="E561" s="4" t="n">
        <v>29</v>
      </c>
      <c r="F561" s="4" t="inlineStr">
        <is>
          <t>Conditional Rendering Basics</t>
        </is>
      </c>
      <c r="G561" s="4" t="inlineStr">
        <is>
          <t>REACTMCQ29</t>
        </is>
      </c>
      <c r="H561" s="4" t="inlineStr"/>
      <c r="I561" s="4" t="inlineStr">
        <is>
          <t>Easy</t>
        </is>
      </c>
      <c r="J561" s="5">
        <f>HYPERLINK("https://www.codechef.com/problems/REACTMCQ29", "https://www.codechef.com/problems/REACTMCQ29")</f>
        <v/>
      </c>
      <c r="K561" s="4" t="inlineStr"/>
      <c r="L561" s="4" t="inlineStr"/>
      <c r="M561" s="4" t="inlineStr"/>
      <c r="N561" s="4" t="inlineStr">
        <is>
          <t>No</t>
        </is>
      </c>
      <c r="O561" s="4" t="inlineStr">
        <is>
          <t>Unattempted</t>
        </is>
      </c>
    </row>
    <row r="562">
      <c r="A562" s="2" t="inlineStr">
        <is>
          <t>Interview Questions</t>
        </is>
      </c>
      <c r="B562" s="2" t="inlineStr">
        <is>
          <t>React Interview Questions</t>
        </is>
      </c>
      <c r="C562" s="2" t="inlineStr">
        <is>
          <t>Prepare for your React job interview with our list of common questions and answers. Cover key topics from JSX basics to advanced hooks, and boost your confidence for that big day by reading detailed explanations!</t>
        </is>
      </c>
      <c r="D562" s="2" t="inlineStr">
        <is>
          <t>Conditional rendering - Conditional rendering</t>
        </is>
      </c>
      <c r="E562" s="2" t="n">
        <v>30</v>
      </c>
      <c r="F562" s="2" t="inlineStr">
        <is>
          <t>If-Else in JSX</t>
        </is>
      </c>
      <c r="G562" s="2" t="inlineStr">
        <is>
          <t>REACTMCQ30</t>
        </is>
      </c>
      <c r="H562" s="2" t="inlineStr"/>
      <c r="I562" s="2" t="inlineStr">
        <is>
          <t>Easy</t>
        </is>
      </c>
      <c r="J562" s="3">
        <f>HYPERLINK("https://www.codechef.com/problems/REACTMCQ30", "https://www.codechef.com/problems/REACTMCQ30")</f>
        <v/>
      </c>
      <c r="K562" s="2" t="inlineStr"/>
      <c r="L562" s="2" t="inlineStr"/>
      <c r="M562" s="2" t="inlineStr"/>
      <c r="N562" s="2" t="inlineStr">
        <is>
          <t>No</t>
        </is>
      </c>
      <c r="O562" s="2" t="inlineStr">
        <is>
          <t>Unattempted</t>
        </is>
      </c>
    </row>
    <row r="563">
      <c r="A563" s="4" t="inlineStr">
        <is>
          <t>Interview Questions</t>
        </is>
      </c>
      <c r="B563" s="4" t="inlineStr">
        <is>
          <t>React Interview Questions</t>
        </is>
      </c>
      <c r="C563" s="4" t="inlineStr">
        <is>
          <t>Prepare for your React job interview with our list of common questions and answers. Cover key topics from JSX basics to advanced hooks, and boost your confidence for that big day by reading detailed explanations!</t>
        </is>
      </c>
      <c r="D563" s="4" t="inlineStr">
        <is>
          <t>Conditional rendering - Conditional rendering</t>
        </is>
      </c>
      <c r="E563" s="4" t="n">
        <v>31</v>
      </c>
      <c r="F563" s="4" t="inlineStr">
        <is>
          <t>Ternary Operator Usage</t>
        </is>
      </c>
      <c r="G563" s="4" t="inlineStr">
        <is>
          <t>REACTMCQ31</t>
        </is>
      </c>
      <c r="H563" s="4" t="inlineStr"/>
      <c r="I563" s="4" t="inlineStr">
        <is>
          <t>Easy</t>
        </is>
      </c>
      <c r="J563" s="5">
        <f>HYPERLINK("https://www.codechef.com/problems/REACTMCQ31", "https://www.codechef.com/problems/REACTMCQ31")</f>
        <v/>
      </c>
      <c r="K563" s="4" t="inlineStr"/>
      <c r="L563" s="4" t="inlineStr"/>
      <c r="M563" s="4" t="inlineStr"/>
      <c r="N563" s="4" t="inlineStr">
        <is>
          <t>No</t>
        </is>
      </c>
      <c r="O563" s="4" t="inlineStr">
        <is>
          <t>Unattempted</t>
        </is>
      </c>
    </row>
    <row r="564">
      <c r="A564" s="2" t="inlineStr">
        <is>
          <t>Interview Questions</t>
        </is>
      </c>
      <c r="B564" s="2" t="inlineStr">
        <is>
          <t>React Interview Questions</t>
        </is>
      </c>
      <c r="C564" s="2" t="inlineStr">
        <is>
          <t>Prepare for your React job interview with our list of common questions and answers. Cover key topics from JSX basics to advanced hooks, and boost your confidence for that big day by reading detailed explanations!</t>
        </is>
      </c>
      <c r="D564" s="2" t="inlineStr">
        <is>
          <t>Conditional rendering - Conditional rendering</t>
        </is>
      </c>
      <c r="E564" s="2" t="n">
        <v>32</v>
      </c>
      <c r="F564" s="2" t="inlineStr">
        <is>
          <t>Logical &amp;&amp; Operator</t>
        </is>
      </c>
      <c r="G564" s="2" t="inlineStr">
        <is>
          <t>REACTMCQ32</t>
        </is>
      </c>
      <c r="H564" s="2" t="inlineStr"/>
      <c r="I564" s="2" t="inlineStr">
        <is>
          <t>Easy</t>
        </is>
      </c>
      <c r="J564" s="3">
        <f>HYPERLINK("https://www.codechef.com/problems/REACTMCQ32", "https://www.codechef.com/problems/REACTMCQ32")</f>
        <v/>
      </c>
      <c r="K564" s="2" t="inlineStr"/>
      <c r="L564" s="2" t="inlineStr"/>
      <c r="M564" s="2" t="inlineStr"/>
      <c r="N564" s="2" t="inlineStr">
        <is>
          <t>No</t>
        </is>
      </c>
      <c r="O564" s="2" t="inlineStr">
        <is>
          <t>Unattempted</t>
        </is>
      </c>
    </row>
    <row r="565">
      <c r="A565" s="4" t="inlineStr">
        <is>
          <t>Interview Questions</t>
        </is>
      </c>
      <c r="B565" s="4" t="inlineStr">
        <is>
          <t>React Interview Questions</t>
        </is>
      </c>
      <c r="C565" s="4" t="inlineStr">
        <is>
          <t>Prepare for your React job interview with our list of common questions and answers. Cover key topics from JSX basics to advanced hooks, and boost your confidence for that big day by reading detailed explanations!</t>
        </is>
      </c>
      <c r="D565" s="4" t="inlineStr">
        <is>
          <t>Conditional rendering - Conditional rendering</t>
        </is>
      </c>
      <c r="E565" s="4" t="n">
        <v>33</v>
      </c>
      <c r="F565" s="4" t="inlineStr">
        <is>
          <t>Switch Statements in React</t>
        </is>
      </c>
      <c r="G565" s="4" t="inlineStr">
        <is>
          <t>REACTMCQ33</t>
        </is>
      </c>
      <c r="H565" s="4" t="inlineStr"/>
      <c r="I565" s="4" t="inlineStr">
        <is>
          <t>Medium</t>
        </is>
      </c>
      <c r="J565" s="5">
        <f>HYPERLINK("https://www.codechef.com/problems/REACTMCQ33", "https://www.codechef.com/problems/REACTMCQ33")</f>
        <v/>
      </c>
      <c r="K565" s="4" t="inlineStr"/>
      <c r="L565" s="4" t="inlineStr"/>
      <c r="M565" s="4" t="inlineStr"/>
      <c r="N565" s="4" t="inlineStr">
        <is>
          <t>No</t>
        </is>
      </c>
      <c r="O565" s="4" t="inlineStr">
        <is>
          <t>Unattempted</t>
        </is>
      </c>
    </row>
    <row r="566">
      <c r="A566" s="2" t="inlineStr">
        <is>
          <t>Interview Questions</t>
        </is>
      </c>
      <c r="B566" s="2" t="inlineStr">
        <is>
          <t>React Interview Questions</t>
        </is>
      </c>
      <c r="C566" s="2" t="inlineStr">
        <is>
          <t>Prepare for your React job interview with our list of common questions and answers. Cover key topics from JSX basics to advanced hooks, and boost your confidence for that big day by reading detailed explanations!</t>
        </is>
      </c>
      <c r="D566" s="2" t="inlineStr">
        <is>
          <t>Conditional rendering - Conditional rendering</t>
        </is>
      </c>
      <c r="E566" s="2" t="n">
        <v>34</v>
      </c>
      <c r="F566" s="2" t="inlineStr">
        <is>
          <t>Inline Conditional Rendering</t>
        </is>
      </c>
      <c r="G566" s="2" t="inlineStr">
        <is>
          <t>REACTMCQ34</t>
        </is>
      </c>
      <c r="H566" s="2" t="inlineStr"/>
      <c r="I566" s="2" t="inlineStr">
        <is>
          <t>Easy</t>
        </is>
      </c>
      <c r="J566" s="3">
        <f>HYPERLINK("https://www.codechef.com/problems/REACTMCQ34", "https://www.codechef.com/problems/REACTMCQ34")</f>
        <v/>
      </c>
      <c r="K566" s="2" t="inlineStr"/>
      <c r="L566" s="2" t="inlineStr"/>
      <c r="M566" s="2" t="inlineStr"/>
      <c r="N566" s="2" t="inlineStr">
        <is>
          <t>No</t>
        </is>
      </c>
      <c r="O566" s="2" t="inlineStr">
        <is>
          <t>Unattempted</t>
        </is>
      </c>
    </row>
    <row r="567">
      <c r="A567" s="4" t="inlineStr">
        <is>
          <t>Interview Questions</t>
        </is>
      </c>
      <c r="B567" s="4" t="inlineStr">
        <is>
          <t>React Interview Questions</t>
        </is>
      </c>
      <c r="C567" s="4" t="inlineStr">
        <is>
          <t>Prepare for your React job interview with our list of common questions and answers. Cover key topics from JSX basics to advanced hooks, and boost your confidence for that big day by reading detailed explanations!</t>
        </is>
      </c>
      <c r="D567" s="4" t="inlineStr">
        <is>
          <t>Conditional rendering - Conditional rendering</t>
        </is>
      </c>
      <c r="E567" s="4" t="n">
        <v>35</v>
      </c>
      <c r="F567" s="4" t="inlineStr">
        <is>
          <t>Conditional CSS Classes</t>
        </is>
      </c>
      <c r="G567" s="4" t="inlineStr">
        <is>
          <t>REACTMCQ36</t>
        </is>
      </c>
      <c r="H567" s="4" t="inlineStr"/>
      <c r="I567" s="4" t="inlineStr">
        <is>
          <t>Medium</t>
        </is>
      </c>
      <c r="J567" s="5">
        <f>HYPERLINK("https://www.codechef.com/problems/REACTMCQ36", "https://www.codechef.com/problems/REACTMCQ36")</f>
        <v/>
      </c>
      <c r="K567" s="4" t="inlineStr"/>
      <c r="L567" s="4" t="inlineStr"/>
      <c r="M567" s="4" t="inlineStr"/>
      <c r="N567" s="4" t="inlineStr">
        <is>
          <t>No</t>
        </is>
      </c>
      <c r="O567" s="4" t="inlineStr">
        <is>
          <t>Unattempted</t>
        </is>
      </c>
    </row>
    <row r="568">
      <c r="A568" s="2" t="inlineStr">
        <is>
          <t>Interview Questions</t>
        </is>
      </c>
      <c r="B568" s="2" t="inlineStr">
        <is>
          <t>React Interview Questions</t>
        </is>
      </c>
      <c r="C568" s="2" t="inlineStr">
        <is>
          <t>Prepare for your React job interview with our list of common questions and answers. Cover key topics from JSX basics to advanced hooks, and boost your confidence for that big day by reading detailed explanations!</t>
        </is>
      </c>
      <c r="D568" s="2" t="inlineStr">
        <is>
          <t>Lists and keys - Lists and keys</t>
        </is>
      </c>
      <c r="E568" s="2" t="n">
        <v>36</v>
      </c>
      <c r="F568" s="2" t="inlineStr">
        <is>
          <t>Array Rendering Method</t>
        </is>
      </c>
      <c r="G568" s="2" t="inlineStr">
        <is>
          <t>REACTMCQ37</t>
        </is>
      </c>
      <c r="H568" s="2" t="inlineStr"/>
      <c r="I568" s="2" t="inlineStr">
        <is>
          <t>Easy</t>
        </is>
      </c>
      <c r="J568" s="3">
        <f>HYPERLINK("https://www.codechef.com/problems/REACTMCQ37", "https://www.codechef.com/problems/REACTMCQ37")</f>
        <v/>
      </c>
      <c r="K568" s="2" t="inlineStr"/>
      <c r="L568" s="2" t="inlineStr"/>
      <c r="M568" s="2" t="inlineStr"/>
      <c r="N568" s="2" t="inlineStr">
        <is>
          <t>No</t>
        </is>
      </c>
      <c r="O568" s="2" t="inlineStr">
        <is>
          <t>Unattempted</t>
        </is>
      </c>
    </row>
    <row r="569">
      <c r="A569" s="4" t="inlineStr">
        <is>
          <t>Interview Questions</t>
        </is>
      </c>
      <c r="B569" s="4" t="inlineStr">
        <is>
          <t>React Interview Questions</t>
        </is>
      </c>
      <c r="C569" s="4" t="inlineStr">
        <is>
          <t>Prepare for your React job interview with our list of common questions and answers. Cover key topics from JSX basics to advanced hooks, and boost your confidence for that big day by reading detailed explanations!</t>
        </is>
      </c>
      <c r="D569" s="4" t="inlineStr">
        <is>
          <t>Lists and keys - Lists and keys</t>
        </is>
      </c>
      <c r="E569" s="4" t="n">
        <v>37</v>
      </c>
      <c r="F569" s="4" t="inlineStr">
        <is>
          <t>Key Prop Purpose</t>
        </is>
      </c>
      <c r="G569" s="4" t="inlineStr">
        <is>
          <t>REACTMCQ38</t>
        </is>
      </c>
      <c r="H569" s="4" t="inlineStr"/>
      <c r="I569" s="4" t="inlineStr">
        <is>
          <t>Easy</t>
        </is>
      </c>
      <c r="J569" s="5">
        <f>HYPERLINK("https://www.codechef.com/problems/REACTMCQ38", "https://www.codechef.com/problems/REACTMCQ38")</f>
        <v/>
      </c>
      <c r="K569" s="4" t="inlineStr"/>
      <c r="L569" s="4" t="inlineStr"/>
      <c r="M569" s="4" t="inlineStr"/>
      <c r="N569" s="4" t="inlineStr">
        <is>
          <t>No</t>
        </is>
      </c>
      <c r="O569" s="4" t="inlineStr">
        <is>
          <t>Unattempted</t>
        </is>
      </c>
    </row>
    <row r="570">
      <c r="A570" s="2" t="inlineStr">
        <is>
          <t>Interview Questions</t>
        </is>
      </c>
      <c r="B570" s="2" t="inlineStr">
        <is>
          <t>React Interview Questions</t>
        </is>
      </c>
      <c r="C570" s="2" t="inlineStr">
        <is>
          <t>Prepare for your React job interview with our list of common questions and answers. Cover key topics from JSX basics to advanced hooks, and boost your confidence for that big day by reading detailed explanations!</t>
        </is>
      </c>
      <c r="D570" s="2" t="inlineStr">
        <is>
          <t>Lists and keys - Lists and keys</t>
        </is>
      </c>
      <c r="E570" s="2" t="n">
        <v>38</v>
      </c>
      <c r="F570" s="2" t="inlineStr">
        <is>
          <t>Key Uniqueness</t>
        </is>
      </c>
      <c r="G570" s="2" t="inlineStr">
        <is>
          <t>REACTMCQ39</t>
        </is>
      </c>
      <c r="H570" s="2" t="inlineStr"/>
      <c r="I570" s="2" t="inlineStr">
        <is>
          <t>Easy</t>
        </is>
      </c>
      <c r="J570" s="3">
        <f>HYPERLINK("https://www.codechef.com/problems/REACTMCQ39", "https://www.codechef.com/problems/REACTMCQ39")</f>
        <v/>
      </c>
      <c r="K570" s="2" t="inlineStr"/>
      <c r="L570" s="2" t="inlineStr"/>
      <c r="M570" s="2" t="inlineStr"/>
      <c r="N570" s="2" t="inlineStr">
        <is>
          <t>No</t>
        </is>
      </c>
      <c r="O570" s="2" t="inlineStr">
        <is>
          <t>Unattempted</t>
        </is>
      </c>
    </row>
    <row r="571">
      <c r="A571" s="4" t="inlineStr">
        <is>
          <t>Interview Questions</t>
        </is>
      </c>
      <c r="B571" s="4" t="inlineStr">
        <is>
          <t>React Interview Questions</t>
        </is>
      </c>
      <c r="C571" s="4" t="inlineStr">
        <is>
          <t>Prepare for your React job interview with our list of common questions and answers. Cover key topics from JSX basics to advanced hooks, and boost your confidence for that big day by reading detailed explanations!</t>
        </is>
      </c>
      <c r="D571" s="4" t="inlineStr">
        <is>
          <t>Lists and keys - Lists and keys</t>
        </is>
      </c>
      <c r="E571" s="4" t="n">
        <v>39</v>
      </c>
      <c r="F571" s="4" t="inlineStr">
        <is>
          <t>Key Selection</t>
        </is>
      </c>
      <c r="G571" s="4" t="inlineStr">
        <is>
          <t>REACTMCQ40</t>
        </is>
      </c>
      <c r="H571" s="4" t="inlineStr"/>
      <c r="I571" s="4" t="inlineStr">
        <is>
          <t>Easy</t>
        </is>
      </c>
      <c r="J571" s="5">
        <f>HYPERLINK("https://www.codechef.com/problems/REACTMCQ40", "https://www.codechef.com/problems/REACTMCQ40")</f>
        <v/>
      </c>
      <c r="K571" s="4" t="inlineStr"/>
      <c r="L571" s="4" t="inlineStr"/>
      <c r="M571" s="4" t="inlineStr"/>
      <c r="N571" s="4" t="inlineStr">
        <is>
          <t>No</t>
        </is>
      </c>
      <c r="O571" s="4" t="inlineStr">
        <is>
          <t>Unattempted</t>
        </is>
      </c>
    </row>
    <row r="572">
      <c r="A572" s="2" t="inlineStr">
        <is>
          <t>Interview Questions</t>
        </is>
      </c>
      <c r="B572" s="2" t="inlineStr">
        <is>
          <t>React Interview Questions</t>
        </is>
      </c>
      <c r="C572" s="2" t="inlineStr">
        <is>
          <t>Prepare for your React job interview with our list of common questions and answers. Cover key topics from JSX basics to advanced hooks, and boost your confidence for that big day by reading detailed explanations!</t>
        </is>
      </c>
      <c r="D572" s="2" t="inlineStr">
        <is>
          <t>Lists and keys - Lists and keys</t>
        </is>
      </c>
      <c r="E572" s="2" t="n">
        <v>40</v>
      </c>
      <c r="F572" s="2" t="inlineStr">
        <is>
          <t>Index as Key Pitfall</t>
        </is>
      </c>
      <c r="G572" s="2" t="inlineStr">
        <is>
          <t>REACTMCQ41</t>
        </is>
      </c>
      <c r="H572" s="2" t="inlineStr"/>
      <c r="I572" s="2" t="inlineStr">
        <is>
          <t>Medium</t>
        </is>
      </c>
      <c r="J572" s="3">
        <f>HYPERLINK("https://www.codechef.com/problems/REACTMCQ41", "https://www.codechef.com/problems/REACTMCQ41")</f>
        <v/>
      </c>
      <c r="K572" s="2" t="inlineStr"/>
      <c r="L572" s="2" t="inlineStr"/>
      <c r="M572" s="2" t="inlineStr"/>
      <c r="N572" s="2" t="inlineStr">
        <is>
          <t>No</t>
        </is>
      </c>
      <c r="O572" s="2" t="inlineStr">
        <is>
          <t>Unattempted</t>
        </is>
      </c>
    </row>
    <row r="573">
      <c r="A573" s="4" t="inlineStr">
        <is>
          <t>Interview Questions</t>
        </is>
      </c>
      <c r="B573" s="4" t="inlineStr">
        <is>
          <t>React Interview Questions</t>
        </is>
      </c>
      <c r="C573" s="4" t="inlineStr">
        <is>
          <t>Prepare for your React job interview with our list of common questions and answers. Cover key topics from JSX basics to advanced hooks, and boost your confidence for that big day by reading detailed explanations!</t>
        </is>
      </c>
      <c r="D573" s="4" t="inlineStr">
        <is>
          <t>Lists and keys - Lists and keys</t>
        </is>
      </c>
      <c r="E573" s="4" t="n">
        <v>41</v>
      </c>
      <c r="F573" s="4" t="inlineStr">
        <is>
          <t>Key Prop Accessibility</t>
        </is>
      </c>
      <c r="G573" s="4" t="inlineStr">
        <is>
          <t>REACTMCQ42</t>
        </is>
      </c>
      <c r="H573" s="4" t="inlineStr"/>
      <c r="I573" s="4" t="inlineStr">
        <is>
          <t>Easy</t>
        </is>
      </c>
      <c r="J573" s="5">
        <f>HYPERLINK("https://www.codechef.com/problems/REACTMCQ42", "https://www.codechef.com/problems/REACTMCQ42")</f>
        <v/>
      </c>
      <c r="K573" s="4" t="inlineStr"/>
      <c r="L573" s="4" t="inlineStr"/>
      <c r="M573" s="4" t="inlineStr"/>
      <c r="N573" s="4" t="inlineStr">
        <is>
          <t>No</t>
        </is>
      </c>
      <c r="O573" s="4" t="inlineStr">
        <is>
          <t>Unattempted</t>
        </is>
      </c>
    </row>
    <row r="574">
      <c r="A574" s="2" t="inlineStr">
        <is>
          <t>Interview Questions</t>
        </is>
      </c>
      <c r="B574" s="2" t="inlineStr">
        <is>
          <t>React Interview Questions</t>
        </is>
      </c>
      <c r="C574" s="2" t="inlineStr">
        <is>
          <t>Prepare for your React job interview with our list of common questions and answers. Cover key topics from JSX basics to advanced hooks, and boost your confidence for that big day by reading detailed explanations!</t>
        </is>
      </c>
      <c r="D574" s="2" t="inlineStr">
        <is>
          <t>Lists and keys - Lists and keys</t>
        </is>
      </c>
      <c r="E574" s="2" t="n">
        <v>42</v>
      </c>
      <c r="F574" s="2" t="inlineStr">
        <is>
          <t>Dynamic List Updates</t>
        </is>
      </c>
      <c r="G574" s="2" t="inlineStr">
        <is>
          <t>REACTMCQ43</t>
        </is>
      </c>
      <c r="H574" s="2" t="inlineStr"/>
      <c r="I574" s="2" t="inlineStr">
        <is>
          <t>Medium</t>
        </is>
      </c>
      <c r="J574" s="3">
        <f>HYPERLINK("https://www.codechef.com/problems/REACTMCQ43", "https://www.codechef.com/problems/REACTMCQ43")</f>
        <v/>
      </c>
      <c r="K574" s="2" t="inlineStr"/>
      <c r="L574" s="2" t="inlineStr"/>
      <c r="M574" s="2" t="inlineStr"/>
      <c r="N574" s="2" t="inlineStr">
        <is>
          <t>No</t>
        </is>
      </c>
      <c r="O574" s="2" t="inlineStr">
        <is>
          <t>Unattempted</t>
        </is>
      </c>
    </row>
    <row r="575">
      <c r="A575" s="4" t="inlineStr">
        <is>
          <t>Interview Questions</t>
        </is>
      </c>
      <c r="B575" s="4" t="inlineStr">
        <is>
          <t>React Interview Questions</t>
        </is>
      </c>
      <c r="C575" s="4" t="inlineStr">
        <is>
          <t>Prepare for your React job interview with our list of common questions and answers. Cover key topics from JSX basics to advanced hooks, and boost your confidence for that big day by reading detailed explanations!</t>
        </is>
      </c>
      <c r="D575" s="4" t="inlineStr">
        <is>
          <t>Lists and keys - Lists and keys</t>
        </is>
      </c>
      <c r="E575" s="4" t="n">
        <v>43</v>
      </c>
      <c r="F575" s="4" t="inlineStr">
        <is>
          <t>Key Consistency</t>
        </is>
      </c>
      <c r="G575" s="4" t="inlineStr">
        <is>
          <t>REACTMCQ44</t>
        </is>
      </c>
      <c r="H575" s="4" t="inlineStr"/>
      <c r="I575" s="4" t="inlineStr">
        <is>
          <t>Medium</t>
        </is>
      </c>
      <c r="J575" s="5">
        <f>HYPERLINK("https://www.codechef.com/problems/REACTMCQ44", "https://www.codechef.com/problems/REACTMCQ44")</f>
        <v/>
      </c>
      <c r="K575" s="4" t="inlineStr"/>
      <c r="L575" s="4" t="inlineStr"/>
      <c r="M575" s="4" t="inlineStr"/>
      <c r="N575" s="4" t="inlineStr">
        <is>
          <t>No</t>
        </is>
      </c>
      <c r="O575" s="4" t="inlineStr">
        <is>
          <t>Unattempted</t>
        </is>
      </c>
    </row>
    <row r="576">
      <c r="A576" s="2" t="inlineStr">
        <is>
          <t>Interview Questions</t>
        </is>
      </c>
      <c r="B576" s="2" t="inlineStr">
        <is>
          <t>React Interview Questions</t>
        </is>
      </c>
      <c r="C576" s="2" t="inlineStr">
        <is>
          <t>Prepare for your React job interview with our list of common questions and answers. Cover key topics from JSX basics to advanced hooks, and boost your confidence for that big day by reading detailed explanations!</t>
        </is>
      </c>
      <c r="D576" s="2" t="inlineStr">
        <is>
          <t>Event handling - Event handling</t>
        </is>
      </c>
      <c r="E576" s="2" t="n">
        <v>44</v>
      </c>
      <c r="F576" s="2" t="inlineStr">
        <is>
          <t>Synthetic Events in React</t>
        </is>
      </c>
      <c r="G576" s="2" t="inlineStr">
        <is>
          <t>REACTMCQ45</t>
        </is>
      </c>
      <c r="H576" s="2" t="inlineStr"/>
      <c r="I576" s="2" t="inlineStr">
        <is>
          <t>Medium</t>
        </is>
      </c>
      <c r="J576" s="3">
        <f>HYPERLINK("https://www.codechef.com/problems/REACTMCQ45", "https://www.codechef.com/problems/REACTMCQ45")</f>
        <v/>
      </c>
      <c r="K576" s="2" t="inlineStr"/>
      <c r="L576" s="2" t="inlineStr"/>
      <c r="M576" s="2" t="inlineStr"/>
      <c r="N576" s="2" t="inlineStr">
        <is>
          <t>No</t>
        </is>
      </c>
      <c r="O576" s="2" t="inlineStr">
        <is>
          <t>Unattempted</t>
        </is>
      </c>
    </row>
    <row r="577">
      <c r="A577" s="4" t="inlineStr">
        <is>
          <t>Interview Questions</t>
        </is>
      </c>
      <c r="B577" s="4" t="inlineStr">
        <is>
          <t>React Interview Questions</t>
        </is>
      </c>
      <c r="C577" s="4" t="inlineStr">
        <is>
          <t>Prepare for your React job interview with our list of common questions and answers. Cover key topics from JSX basics to advanced hooks, and boost your confidence for that big day by reading detailed explanations!</t>
        </is>
      </c>
      <c r="D577" s="4" t="inlineStr">
        <is>
          <t>Event handling - Event handling</t>
        </is>
      </c>
      <c r="E577" s="4" t="n">
        <v>45</v>
      </c>
      <c r="F577" s="4" t="inlineStr">
        <is>
          <t>Event Handler Binding</t>
        </is>
      </c>
      <c r="G577" s="4" t="inlineStr">
        <is>
          <t>REACTMCQ46</t>
        </is>
      </c>
      <c r="H577" s="4" t="inlineStr"/>
      <c r="I577" s="4" t="inlineStr">
        <is>
          <t>Easy</t>
        </is>
      </c>
      <c r="J577" s="5">
        <f>HYPERLINK("https://www.codechef.com/problems/REACTMCQ46", "https://www.codechef.com/problems/REACTMCQ46")</f>
        <v/>
      </c>
      <c r="K577" s="4" t="inlineStr"/>
      <c r="L577" s="4" t="inlineStr"/>
      <c r="M577" s="4" t="inlineStr"/>
      <c r="N577" s="4" t="inlineStr">
        <is>
          <t>No</t>
        </is>
      </c>
      <c r="O577" s="4" t="inlineStr">
        <is>
          <t>Unattempted</t>
        </is>
      </c>
    </row>
    <row r="578">
      <c r="A578" s="2" t="inlineStr">
        <is>
          <t>Interview Questions</t>
        </is>
      </c>
      <c r="B578" s="2" t="inlineStr">
        <is>
          <t>React Interview Questions</t>
        </is>
      </c>
      <c r="C578" s="2" t="inlineStr">
        <is>
          <t>Prepare for your React job interview with our list of common questions and answers. Cover key topics from JSX basics to advanced hooks, and boost your confidence for that big day by reading detailed explanations!</t>
        </is>
      </c>
      <c r="D578" s="2" t="inlineStr">
        <is>
          <t>Event handling - Event handling</t>
        </is>
      </c>
      <c r="E578" s="2" t="n">
        <v>46</v>
      </c>
      <c r="F578" s="2" t="inlineStr">
        <is>
          <t>Event Handler Arguments</t>
        </is>
      </c>
      <c r="G578" s="2" t="inlineStr">
        <is>
          <t>REACTMCQ47</t>
        </is>
      </c>
      <c r="H578" s="2" t="inlineStr"/>
      <c r="I578" s="2" t="inlineStr">
        <is>
          <t>Medium</t>
        </is>
      </c>
      <c r="J578" s="3">
        <f>HYPERLINK("https://www.codechef.com/problems/REACTMCQ47", "https://www.codechef.com/problems/REACTMCQ47")</f>
        <v/>
      </c>
      <c r="K578" s="2" t="inlineStr"/>
      <c r="L578" s="2" t="inlineStr"/>
      <c r="M578" s="2" t="inlineStr"/>
      <c r="N578" s="2" t="inlineStr">
        <is>
          <t>No</t>
        </is>
      </c>
      <c r="O578" s="2" t="inlineStr">
        <is>
          <t>Unattempted</t>
        </is>
      </c>
    </row>
    <row r="579">
      <c r="A579" s="4" t="inlineStr">
        <is>
          <t>Interview Questions</t>
        </is>
      </c>
      <c r="B579" s="4" t="inlineStr">
        <is>
          <t>React Interview Questions</t>
        </is>
      </c>
      <c r="C579" s="4" t="inlineStr">
        <is>
          <t>Prepare for your React job interview with our list of common questions and answers. Cover key topics from JSX basics to advanced hooks, and boost your confidence for that big day by reading detailed explanations!</t>
        </is>
      </c>
      <c r="D579" s="4" t="inlineStr">
        <is>
          <t>Event handling - Event handling</t>
        </is>
      </c>
      <c r="E579" s="4" t="n">
        <v>47</v>
      </c>
      <c r="F579" s="4" t="inlineStr">
        <is>
          <t>Event Pooling</t>
        </is>
      </c>
      <c r="G579" s="4" t="inlineStr">
        <is>
          <t>REACTMCQ48</t>
        </is>
      </c>
      <c r="H579" s="4" t="inlineStr"/>
      <c r="I579" s="4" t="inlineStr">
        <is>
          <t>Medium</t>
        </is>
      </c>
      <c r="J579" s="5">
        <f>HYPERLINK("https://www.codechef.com/problems/REACTMCQ48", "https://www.codechef.com/problems/REACTMCQ48")</f>
        <v/>
      </c>
      <c r="K579" s="4" t="inlineStr"/>
      <c r="L579" s="4" t="inlineStr"/>
      <c r="M579" s="4" t="inlineStr"/>
      <c r="N579" s="4" t="inlineStr">
        <is>
          <t>No</t>
        </is>
      </c>
      <c r="O579" s="4" t="inlineStr">
        <is>
          <t>Unattempted</t>
        </is>
      </c>
    </row>
    <row r="580">
      <c r="A580" s="2" t="inlineStr">
        <is>
          <t>Interview Questions</t>
        </is>
      </c>
      <c r="B580" s="2" t="inlineStr">
        <is>
          <t>React Interview Questions</t>
        </is>
      </c>
      <c r="C580" s="2" t="inlineStr">
        <is>
          <t>Prepare for your React job interview with our list of common questions and answers. Cover key topics from JSX basics to advanced hooks, and boost your confidence for that big day by reading detailed explanations!</t>
        </is>
      </c>
      <c r="D580" s="2" t="inlineStr">
        <is>
          <t>Event handling - Event handling</t>
        </is>
      </c>
      <c r="E580" s="2" t="n">
        <v>48</v>
      </c>
      <c r="F580" s="2" t="inlineStr">
        <is>
          <t>Accessing Event Properties</t>
        </is>
      </c>
      <c r="G580" s="2" t="inlineStr">
        <is>
          <t>REACTMCQ49</t>
        </is>
      </c>
      <c r="H580" s="2" t="inlineStr"/>
      <c r="I580" s="2" t="inlineStr">
        <is>
          <t>Easy</t>
        </is>
      </c>
      <c r="J580" s="3">
        <f>HYPERLINK("https://www.codechef.com/problems/REACTMCQ49", "https://www.codechef.com/problems/REACTMCQ49")</f>
        <v/>
      </c>
      <c r="K580" s="2" t="inlineStr"/>
      <c r="L580" s="2" t="inlineStr"/>
      <c r="M580" s="2" t="inlineStr"/>
      <c r="N580" s="2" t="inlineStr">
        <is>
          <t>No</t>
        </is>
      </c>
      <c r="O580" s="2" t="inlineStr">
        <is>
          <t>Unattempted</t>
        </is>
      </c>
    </row>
    <row r="581">
      <c r="A581" s="4" t="inlineStr">
        <is>
          <t>Interview Questions</t>
        </is>
      </c>
      <c r="B581" s="4" t="inlineStr">
        <is>
          <t>React Interview Questions</t>
        </is>
      </c>
      <c r="C581" s="4" t="inlineStr">
        <is>
          <t>Prepare for your React job interview with our list of common questions and answers. Cover key topics from JSX basics to advanced hooks, and boost your confidence for that big day by reading detailed explanations!</t>
        </is>
      </c>
      <c r="D581" s="4" t="inlineStr">
        <is>
          <t>Event handling - Event handling</t>
        </is>
      </c>
      <c r="E581" s="4" t="n">
        <v>49</v>
      </c>
      <c r="F581" s="4" t="inlineStr">
        <is>
          <t>Preventing Default Behavior</t>
        </is>
      </c>
      <c r="G581" s="4" t="inlineStr">
        <is>
          <t>REACTMCQ50</t>
        </is>
      </c>
      <c r="H581" s="4" t="inlineStr"/>
      <c r="I581" s="4" t="inlineStr">
        <is>
          <t>Easy</t>
        </is>
      </c>
      <c r="J581" s="5">
        <f>HYPERLINK("https://www.codechef.com/problems/REACTMCQ50", "https://www.codechef.com/problems/REACTMCQ50")</f>
        <v/>
      </c>
      <c r="K581" s="4" t="inlineStr"/>
      <c r="L581" s="4" t="inlineStr"/>
      <c r="M581" s="4" t="inlineStr"/>
      <c r="N581" s="4" t="inlineStr">
        <is>
          <t>No</t>
        </is>
      </c>
      <c r="O581" s="4" t="inlineStr">
        <is>
          <t>Unattempted</t>
        </is>
      </c>
    </row>
    <row r="582">
      <c r="A582" s="2" t="inlineStr">
        <is>
          <t>Interview Questions</t>
        </is>
      </c>
      <c r="B582" s="2" t="inlineStr">
        <is>
          <t>React Interview Questions</t>
        </is>
      </c>
      <c r="C582" s="2" t="inlineStr">
        <is>
          <t>Prepare for your React job interview with our list of common questions and answers. Cover key topics from JSX basics to advanced hooks, and boost your confidence for that big day by reading detailed explanations!</t>
        </is>
      </c>
      <c r="D582" s="2" t="inlineStr">
        <is>
          <t>Event handling - Event handling</t>
        </is>
      </c>
      <c r="E582" s="2" t="n">
        <v>50</v>
      </c>
      <c r="F582" s="2" t="inlineStr">
        <is>
          <t>Event Delegation in React</t>
        </is>
      </c>
      <c r="G582" s="2" t="inlineStr">
        <is>
          <t>REACTMCQ52</t>
        </is>
      </c>
      <c r="H582" s="2" t="inlineStr"/>
      <c r="I582" s="2" t="inlineStr">
        <is>
          <t>Medium</t>
        </is>
      </c>
      <c r="J582" s="3">
        <f>HYPERLINK("https://www.codechef.com/problems/REACTMCQ52", "https://www.codechef.com/problems/REACTMCQ52")</f>
        <v/>
      </c>
      <c r="K582" s="2" t="inlineStr"/>
      <c r="L582" s="2" t="inlineStr"/>
      <c r="M582" s="2" t="inlineStr"/>
      <c r="N582" s="2" t="inlineStr">
        <is>
          <t>No</t>
        </is>
      </c>
      <c r="O582" s="2" t="inlineStr">
        <is>
          <t>Unattempted</t>
        </is>
      </c>
    </row>
    <row r="583">
      <c r="A583" s="4" t="inlineStr">
        <is>
          <t>Interview Questions</t>
        </is>
      </c>
      <c r="B583" s="4" t="inlineStr">
        <is>
          <t>React Interview Questions</t>
        </is>
      </c>
      <c r="C583" s="4" t="inlineStr">
        <is>
          <t>Prepare for your React job interview with our list of common questions and answers. Cover key topics from JSX basics to advanced hooks, and boost your confidence for that big day by reading detailed explanations!</t>
        </is>
      </c>
      <c r="D583" s="4" t="inlineStr">
        <is>
          <t>Lifecycle methods (class components) - Lifecycle methods (class components)</t>
        </is>
      </c>
      <c r="E583" s="4" t="n">
        <v>51</v>
      </c>
      <c r="F583" s="4" t="inlineStr">
        <is>
          <t>Component Initialization</t>
        </is>
      </c>
      <c r="G583" s="4" t="inlineStr">
        <is>
          <t>REACTMCQ53</t>
        </is>
      </c>
      <c r="H583" s="4" t="inlineStr"/>
      <c r="I583" s="4" t="inlineStr">
        <is>
          <t>Easy</t>
        </is>
      </c>
      <c r="J583" s="5">
        <f>HYPERLINK("https://www.codechef.com/problems/REACTMCQ53", "https://www.codechef.com/problems/REACTMCQ53")</f>
        <v/>
      </c>
      <c r="K583" s="4" t="inlineStr"/>
      <c r="L583" s="4" t="inlineStr"/>
      <c r="M583" s="4" t="inlineStr"/>
      <c r="N583" s="4" t="inlineStr">
        <is>
          <t>No</t>
        </is>
      </c>
      <c r="O583" s="4" t="inlineStr">
        <is>
          <t>Unattempted</t>
        </is>
      </c>
    </row>
    <row r="584">
      <c r="A584" s="2" t="inlineStr">
        <is>
          <t>Interview Questions</t>
        </is>
      </c>
      <c r="B584" s="2" t="inlineStr">
        <is>
          <t>React Interview Questions</t>
        </is>
      </c>
      <c r="C584" s="2" t="inlineStr">
        <is>
          <t>Prepare for your React job interview with our list of common questions and answers. Cover key topics from JSX basics to advanced hooks, and boost your confidence for that big day by reading detailed explanations!</t>
        </is>
      </c>
      <c r="D584" s="2" t="inlineStr">
        <is>
          <t>Lifecycle methods (class components) - Lifecycle methods (class components)</t>
        </is>
      </c>
      <c r="E584" s="2" t="n">
        <v>52</v>
      </c>
      <c r="F584" s="2" t="inlineStr">
        <is>
          <t>DOM Manipulation</t>
        </is>
      </c>
      <c r="G584" s="2" t="inlineStr">
        <is>
          <t>REACTMCQ54</t>
        </is>
      </c>
      <c r="H584" s="2" t="inlineStr"/>
      <c r="I584" s="2" t="inlineStr">
        <is>
          <t>Medium</t>
        </is>
      </c>
      <c r="J584" s="3">
        <f>HYPERLINK("https://www.codechef.com/problems/REACTMCQ54", "https://www.codechef.com/problems/REACTMCQ54")</f>
        <v/>
      </c>
      <c r="K584" s="2" t="inlineStr"/>
      <c r="L584" s="2" t="inlineStr"/>
      <c r="M584" s="2" t="inlineStr"/>
      <c r="N584" s="2" t="inlineStr">
        <is>
          <t>No</t>
        </is>
      </c>
      <c r="O584" s="2" t="inlineStr">
        <is>
          <t>Unattempted</t>
        </is>
      </c>
    </row>
    <row r="585">
      <c r="A585" s="4" t="inlineStr">
        <is>
          <t>Interview Questions</t>
        </is>
      </c>
      <c r="B585" s="4" t="inlineStr">
        <is>
          <t>React Interview Questions</t>
        </is>
      </c>
      <c r="C585" s="4" t="inlineStr">
        <is>
          <t>Prepare for your React job interview with our list of common questions and answers. Cover key topics from JSX basics to advanced hooks, and boost your confidence for that big day by reading detailed explanations!</t>
        </is>
      </c>
      <c r="D585" s="4" t="inlineStr">
        <is>
          <t>Lifecycle methods (class components) - Lifecycle methods (class components)</t>
        </is>
      </c>
      <c r="E585" s="4" t="n">
        <v>53</v>
      </c>
      <c r="F585" s="4" t="inlineStr">
        <is>
          <t>Render Method</t>
        </is>
      </c>
      <c r="G585" s="4" t="inlineStr">
        <is>
          <t>REACTMCQ55</t>
        </is>
      </c>
      <c r="H585" s="4" t="inlineStr"/>
      <c r="I585" s="4" t="inlineStr">
        <is>
          <t>Easy</t>
        </is>
      </c>
      <c r="J585" s="5">
        <f>HYPERLINK("https://www.codechef.com/problems/REACTMCQ55", "https://www.codechef.com/problems/REACTMCQ55")</f>
        <v/>
      </c>
      <c r="K585" s="4" t="inlineStr"/>
      <c r="L585" s="4" t="inlineStr"/>
      <c r="M585" s="4" t="inlineStr"/>
      <c r="N585" s="4" t="inlineStr">
        <is>
          <t>No</t>
        </is>
      </c>
      <c r="O585" s="4" t="inlineStr">
        <is>
          <t>Unattempted</t>
        </is>
      </c>
    </row>
    <row r="586">
      <c r="A586" s="2" t="inlineStr">
        <is>
          <t>Interview Questions</t>
        </is>
      </c>
      <c r="B586" s="2" t="inlineStr">
        <is>
          <t>React Interview Questions</t>
        </is>
      </c>
      <c r="C586" s="2" t="inlineStr">
        <is>
          <t>Prepare for your React job interview with our list of common questions and answers. Cover key topics from JSX basics to advanced hooks, and boost your confidence for that big day by reading detailed explanations!</t>
        </is>
      </c>
      <c r="D586" s="2" t="inlineStr">
        <is>
          <t>Lifecycle methods (class components) - Lifecycle methods (class components)</t>
        </is>
      </c>
      <c r="E586" s="2" t="n">
        <v>54</v>
      </c>
      <c r="F586" s="2" t="inlineStr">
        <is>
          <t>Update Lifecycle</t>
        </is>
      </c>
      <c r="G586" s="2" t="inlineStr">
        <is>
          <t>REACTMCQ56</t>
        </is>
      </c>
      <c r="H586" s="2" t="inlineStr"/>
      <c r="I586" s="2" t="inlineStr">
        <is>
          <t>Easy</t>
        </is>
      </c>
      <c r="J586" s="3">
        <f>HYPERLINK("https://www.codechef.com/problems/REACTMCQ56", "https://www.codechef.com/problems/REACTMCQ56")</f>
        <v/>
      </c>
      <c r="K586" s="2" t="inlineStr"/>
      <c r="L586" s="2" t="inlineStr"/>
      <c r="M586" s="2" t="inlineStr"/>
      <c r="N586" s="2" t="inlineStr">
        <is>
          <t>No</t>
        </is>
      </c>
      <c r="O586" s="2" t="inlineStr">
        <is>
          <t>Unattempted</t>
        </is>
      </c>
    </row>
    <row r="587">
      <c r="A587" s="4" t="inlineStr">
        <is>
          <t>Interview Questions</t>
        </is>
      </c>
      <c r="B587" s="4" t="inlineStr">
        <is>
          <t>React Interview Questions</t>
        </is>
      </c>
      <c r="C587" s="4" t="inlineStr">
        <is>
          <t>Prepare for your React job interview with our list of common questions and answers. Cover key topics from JSX basics to advanced hooks, and boost your confidence for that big day by reading detailed explanations!</t>
        </is>
      </c>
      <c r="D587" s="4" t="inlineStr">
        <is>
          <t>Lifecycle methods (class components) - Lifecycle methods (class components)</t>
        </is>
      </c>
      <c r="E587" s="4" t="n">
        <v>55</v>
      </c>
      <c r="F587" s="4" t="inlineStr">
        <is>
          <t>Performance Optimization</t>
        </is>
      </c>
      <c r="G587" s="4" t="inlineStr">
        <is>
          <t>REACTMCQ57</t>
        </is>
      </c>
      <c r="H587" s="4" t="inlineStr"/>
      <c r="I587" s="4" t="inlineStr">
        <is>
          <t>Easy</t>
        </is>
      </c>
      <c r="J587" s="5">
        <f>HYPERLINK("https://www.codechef.com/problems/REACTMCQ57", "https://www.codechef.com/problems/REACTMCQ57")</f>
        <v/>
      </c>
      <c r="K587" s="4" t="inlineStr"/>
      <c r="L587" s="4" t="inlineStr"/>
      <c r="M587" s="4" t="inlineStr"/>
      <c r="N587" s="4" t="inlineStr">
        <is>
          <t>No</t>
        </is>
      </c>
      <c r="O587" s="4" t="inlineStr">
        <is>
          <t>Unattempted</t>
        </is>
      </c>
    </row>
    <row r="588">
      <c r="A588" s="2" t="inlineStr">
        <is>
          <t>Interview Questions</t>
        </is>
      </c>
      <c r="B588" s="2" t="inlineStr">
        <is>
          <t>React Interview Questions</t>
        </is>
      </c>
      <c r="C588" s="2" t="inlineStr">
        <is>
          <t>Prepare for your React job interview with our list of common questions and answers. Cover key topics from JSX basics to advanced hooks, and boost your confidence for that big day by reading detailed explanations!</t>
        </is>
      </c>
      <c r="D588" s="2" t="inlineStr">
        <is>
          <t>Lifecycle methods (class components) - Lifecycle methods (class components)</t>
        </is>
      </c>
      <c r="E588" s="2" t="n">
        <v>56</v>
      </c>
      <c r="F588" s="2" t="inlineStr">
        <is>
          <t>Unmounting Phase</t>
        </is>
      </c>
      <c r="G588" s="2" t="inlineStr">
        <is>
          <t>REACTMCQ58</t>
        </is>
      </c>
      <c r="H588" s="2" t="inlineStr"/>
      <c r="I588" s="2" t="inlineStr">
        <is>
          <t>Easy</t>
        </is>
      </c>
      <c r="J588" s="3">
        <f>HYPERLINK("https://www.codechef.com/problems/REACTMCQ58", "https://www.codechef.com/problems/REACTMCQ58")</f>
        <v/>
      </c>
      <c r="K588" s="2" t="inlineStr"/>
      <c r="L588" s="2" t="inlineStr"/>
      <c r="M588" s="2" t="inlineStr"/>
      <c r="N588" s="2" t="inlineStr">
        <is>
          <t>No</t>
        </is>
      </c>
      <c r="O588" s="2" t="inlineStr">
        <is>
          <t>Unattempted</t>
        </is>
      </c>
    </row>
    <row r="589">
      <c r="A589" s="4" t="inlineStr">
        <is>
          <t>Interview Questions</t>
        </is>
      </c>
      <c r="B589" s="4" t="inlineStr">
        <is>
          <t>React Interview Questions</t>
        </is>
      </c>
      <c r="C589" s="4" t="inlineStr">
        <is>
          <t>Prepare for your React job interview with our list of common questions and answers. Cover key topics from JSX basics to advanced hooks, and boost your confidence for that big day by reading detailed explanations!</t>
        </is>
      </c>
      <c r="D589" s="4" t="inlineStr">
        <is>
          <t>Lifecycle methods (class components) - Lifecycle methods (class components)</t>
        </is>
      </c>
      <c r="E589" s="4" t="n">
        <v>57</v>
      </c>
      <c r="F589" s="4" t="inlineStr">
        <is>
          <t>Error Handling</t>
        </is>
      </c>
      <c r="G589" s="4" t="inlineStr">
        <is>
          <t>REACTMCQ59</t>
        </is>
      </c>
      <c r="H589" s="4" t="inlineStr"/>
      <c r="I589" s="4" t="inlineStr">
        <is>
          <t>Easy</t>
        </is>
      </c>
      <c r="J589" s="5">
        <f>HYPERLINK("https://www.codechef.com/problems/REACTMCQ59", "https://www.codechef.com/problems/REACTMCQ59")</f>
        <v/>
      </c>
      <c r="K589" s="4" t="inlineStr"/>
      <c r="L589" s="4" t="inlineStr"/>
      <c r="M589" s="4" t="inlineStr"/>
      <c r="N589" s="4" t="inlineStr">
        <is>
          <t>No</t>
        </is>
      </c>
      <c r="O589" s="4" t="inlineStr">
        <is>
          <t>Unattempted</t>
        </is>
      </c>
    </row>
    <row r="590">
      <c r="A590" s="2" t="inlineStr">
        <is>
          <t>Interview Questions</t>
        </is>
      </c>
      <c r="B590" s="2" t="inlineStr">
        <is>
          <t>React Interview Questions</t>
        </is>
      </c>
      <c r="C590" s="2" t="inlineStr">
        <is>
          <t>Prepare for your React job interview with our list of common questions and answers. Cover key topics from JSX basics to advanced hooks, and boost your confidence for that big day by reading detailed explanations!</t>
        </is>
      </c>
      <c r="D590" s="2" t="inlineStr">
        <is>
          <t>Lifecycle methods (class components) - Lifecycle methods (class components)</t>
        </is>
      </c>
      <c r="E590" s="2" t="n">
        <v>58</v>
      </c>
      <c r="F590" s="2" t="inlineStr">
        <is>
          <t>Snapshot Before Update</t>
        </is>
      </c>
      <c r="G590" s="2" t="inlineStr">
        <is>
          <t>REACTMCQ60</t>
        </is>
      </c>
      <c r="H590" s="2" t="inlineStr"/>
      <c r="I590" s="2" t="inlineStr">
        <is>
          <t>Medium</t>
        </is>
      </c>
      <c r="J590" s="3">
        <f>HYPERLINK("https://www.codechef.com/problems/REACTMCQ60", "https://www.codechef.com/problems/REACTMCQ60")</f>
        <v/>
      </c>
      <c r="K590" s="2" t="inlineStr"/>
      <c r="L590" s="2" t="inlineStr"/>
      <c r="M590" s="2" t="inlineStr"/>
      <c r="N590" s="2" t="inlineStr">
        <is>
          <t>No</t>
        </is>
      </c>
      <c r="O590" s="2" t="inlineStr">
        <is>
          <t>Unattempted</t>
        </is>
      </c>
    </row>
    <row r="591">
      <c r="A591" s="4" t="inlineStr">
        <is>
          <t>Interview Questions</t>
        </is>
      </c>
      <c r="B591" s="4" t="inlineStr">
        <is>
          <t>React Interview Questions</t>
        </is>
      </c>
      <c r="C591" s="4" t="inlineStr">
        <is>
          <t>Prepare for your React job interview with our list of common questions and answers. Cover key topics from JSX basics to advanced hooks, and boost your confidence for that big day by reading detailed explanations!</t>
        </is>
      </c>
      <c r="D591" s="4" t="inlineStr">
        <is>
          <t>Lifecycle methods (class components) - Lifecycle methods (class components)</t>
        </is>
      </c>
      <c r="E591" s="4" t="n">
        <v>59</v>
      </c>
      <c r="F591" s="4" t="inlineStr">
        <is>
          <t>Deprecated Lifecycle Methods</t>
        </is>
      </c>
      <c r="G591" s="4" t="inlineStr">
        <is>
          <t>REACTMCQ61</t>
        </is>
      </c>
      <c r="H591" s="4" t="inlineStr"/>
      <c r="I591" s="4" t="inlineStr">
        <is>
          <t>Easy</t>
        </is>
      </c>
      <c r="J591" s="5">
        <f>HYPERLINK("https://www.codechef.com/problems/REACTMCQ61", "https://www.codechef.com/problems/REACTMCQ61")</f>
        <v/>
      </c>
      <c r="K591" s="4" t="inlineStr"/>
      <c r="L591" s="4" t="inlineStr"/>
      <c r="M591" s="4" t="inlineStr"/>
      <c r="N591" s="4" t="inlineStr">
        <is>
          <t>No</t>
        </is>
      </c>
      <c r="O591" s="4" t="inlineStr">
        <is>
          <t>Unattempted</t>
        </is>
      </c>
    </row>
    <row r="592">
      <c r="A592" s="2" t="inlineStr">
        <is>
          <t>Interview Questions</t>
        </is>
      </c>
      <c r="B592" s="2" t="inlineStr">
        <is>
          <t>React Interview Questions</t>
        </is>
      </c>
      <c r="C592" s="2" t="inlineStr">
        <is>
          <t>Prepare for your React job interview with our list of common questions and answers. Cover key topics from JSX basics to advanced hooks, and boost your confidence for that big day by reading detailed explanations!</t>
        </is>
      </c>
      <c r="D592" s="2" t="inlineStr">
        <is>
          <t>Lifecycle methods (class components) - Lifecycle methods (class components)</t>
        </is>
      </c>
      <c r="E592" s="2" t="n">
        <v>60</v>
      </c>
      <c r="F592" s="2" t="inlineStr">
        <is>
          <t>State Updates</t>
        </is>
      </c>
      <c r="G592" s="2" t="inlineStr">
        <is>
          <t>REACTMCQ62</t>
        </is>
      </c>
      <c r="H592" s="2" t="inlineStr"/>
      <c r="I592" s="2" t="inlineStr">
        <is>
          <t>Medium</t>
        </is>
      </c>
      <c r="J592" s="3">
        <f>HYPERLINK("https://www.codechef.com/problems/REACTMCQ62", "https://www.codechef.com/problems/REACTMCQ62")</f>
        <v/>
      </c>
      <c r="K592" s="2" t="inlineStr"/>
      <c r="L592" s="2" t="inlineStr"/>
      <c r="M592" s="2" t="inlineStr"/>
      <c r="N592" s="2" t="inlineStr">
        <is>
          <t>No</t>
        </is>
      </c>
      <c r="O592" s="2" t="inlineStr">
        <is>
          <t>Unattempted</t>
        </is>
      </c>
    </row>
    <row r="593">
      <c r="A593" s="4" t="inlineStr">
        <is>
          <t>Interview Questions</t>
        </is>
      </c>
      <c r="B593" s="4" t="inlineStr">
        <is>
          <t>React Interview Questions</t>
        </is>
      </c>
      <c r="C593" s="4" t="inlineStr">
        <is>
          <t>Prepare for your React job interview with our list of common questions and answers. Cover key topics from JSX basics to advanced hooks, and boost your confidence for that big day by reading detailed explanations!</t>
        </is>
      </c>
      <c r="D593" s="4" t="inlineStr">
        <is>
          <t>Hooks (useEffect, useContext, useRef) - Hooks (useEffect, useContext, useRef)</t>
        </is>
      </c>
      <c r="E593" s="4" t="n">
        <v>61</v>
      </c>
      <c r="F593" s="4" t="inlineStr">
        <is>
          <t>Side Effect Execution</t>
        </is>
      </c>
      <c r="G593" s="4" t="inlineStr">
        <is>
          <t>REACTMCQ63</t>
        </is>
      </c>
      <c r="H593" s="4" t="inlineStr"/>
      <c r="I593" s="4" t="inlineStr">
        <is>
          <t>Easy</t>
        </is>
      </c>
      <c r="J593" s="5">
        <f>HYPERLINK("https://www.codechef.com/problems/REACTMCQ63", "https://www.codechef.com/problems/REACTMCQ63")</f>
        <v/>
      </c>
      <c r="K593" s="4" t="inlineStr"/>
      <c r="L593" s="4" t="inlineStr"/>
      <c r="M593" s="4" t="inlineStr"/>
      <c r="N593" s="4" t="inlineStr">
        <is>
          <t>No</t>
        </is>
      </c>
      <c r="O593" s="4" t="inlineStr">
        <is>
          <t>Unattempted</t>
        </is>
      </c>
    </row>
    <row r="594">
      <c r="A594" s="2" t="inlineStr">
        <is>
          <t>Interview Questions</t>
        </is>
      </c>
      <c r="B594" s="2" t="inlineStr">
        <is>
          <t>React Interview Questions</t>
        </is>
      </c>
      <c r="C594" s="2" t="inlineStr">
        <is>
          <t>Prepare for your React job interview with our list of common questions and answers. Cover key topics from JSX basics to advanced hooks, and boost your confidence for that big day by reading detailed explanations!</t>
        </is>
      </c>
      <c r="D594" s="2" t="inlineStr">
        <is>
          <t>Hooks (useEffect, useContext, useRef) - Hooks (useEffect, useContext, useRef)</t>
        </is>
      </c>
      <c r="E594" s="2" t="n">
        <v>62</v>
      </c>
      <c r="F594" s="2" t="inlineStr">
        <is>
          <t>Dependency Array Purpose</t>
        </is>
      </c>
      <c r="G594" s="2" t="inlineStr">
        <is>
          <t>REACTMCQ64</t>
        </is>
      </c>
      <c r="H594" s="2" t="inlineStr"/>
      <c r="I594" s="2" t="inlineStr">
        <is>
          <t>Easy</t>
        </is>
      </c>
      <c r="J594" s="3">
        <f>HYPERLINK("https://www.codechef.com/problems/REACTMCQ64", "https://www.codechef.com/problems/REACTMCQ64")</f>
        <v/>
      </c>
      <c r="K594" s="2" t="inlineStr"/>
      <c r="L594" s="2" t="inlineStr"/>
      <c r="M594" s="2" t="inlineStr"/>
      <c r="N594" s="2" t="inlineStr">
        <is>
          <t>No</t>
        </is>
      </c>
      <c r="O594" s="2" t="inlineStr">
        <is>
          <t>Unattempted</t>
        </is>
      </c>
    </row>
    <row r="595">
      <c r="A595" s="4" t="inlineStr">
        <is>
          <t>Interview Questions</t>
        </is>
      </c>
      <c r="B595" s="4" t="inlineStr">
        <is>
          <t>React Interview Questions</t>
        </is>
      </c>
      <c r="C595" s="4" t="inlineStr">
        <is>
          <t>Prepare for your React job interview with our list of common questions and answers. Cover key topics from JSX basics to advanced hooks, and boost your confidence for that big day by reading detailed explanations!</t>
        </is>
      </c>
      <c r="D595" s="4" t="inlineStr">
        <is>
          <t>Hooks (useEffect, useContext, useRef) - Hooks (useEffect, useContext, useRef)</t>
        </is>
      </c>
      <c r="E595" s="4" t="n">
        <v>63</v>
      </c>
      <c r="F595" s="4" t="inlineStr">
        <is>
          <t>Empty Dependency Array</t>
        </is>
      </c>
      <c r="G595" s="4" t="inlineStr">
        <is>
          <t>REACTMCQ65</t>
        </is>
      </c>
      <c r="H595" s="4" t="inlineStr"/>
      <c r="I595" s="4" t="inlineStr">
        <is>
          <t>Easy</t>
        </is>
      </c>
      <c r="J595" s="5">
        <f>HYPERLINK("https://www.codechef.com/problems/REACTMCQ65", "https://www.codechef.com/problems/REACTMCQ65")</f>
        <v/>
      </c>
      <c r="K595" s="4" t="inlineStr"/>
      <c r="L595" s="4" t="inlineStr"/>
      <c r="M595" s="4" t="inlineStr"/>
      <c r="N595" s="4" t="inlineStr">
        <is>
          <t>No</t>
        </is>
      </c>
      <c r="O595" s="4" t="inlineStr">
        <is>
          <t>Unattempted</t>
        </is>
      </c>
    </row>
    <row r="596">
      <c r="A596" s="2" t="inlineStr">
        <is>
          <t>Interview Questions</t>
        </is>
      </c>
      <c r="B596" s="2" t="inlineStr">
        <is>
          <t>React Interview Questions</t>
        </is>
      </c>
      <c r="C596" s="2" t="inlineStr">
        <is>
          <t>Prepare for your React job interview with our list of common questions and answers. Cover key topics from JSX basics to advanced hooks, and boost your confidence for that big day by reading detailed explanations!</t>
        </is>
      </c>
      <c r="D596" s="2" t="inlineStr">
        <is>
          <t>Hooks (useEffect, useContext, useRef) - Hooks (useEffect, useContext, useRef)</t>
        </is>
      </c>
      <c r="E596" s="2" t="n">
        <v>64</v>
      </c>
      <c r="F596" s="2" t="inlineStr">
        <is>
          <t>Cleanup Function</t>
        </is>
      </c>
      <c r="G596" s="2" t="inlineStr">
        <is>
          <t>REACTMCQ66</t>
        </is>
      </c>
      <c r="H596" s="2" t="inlineStr"/>
      <c r="I596" s="2" t="inlineStr">
        <is>
          <t>Medium</t>
        </is>
      </c>
      <c r="J596" s="3">
        <f>HYPERLINK("https://www.codechef.com/problems/REACTMCQ66", "https://www.codechef.com/problems/REACTMCQ66")</f>
        <v/>
      </c>
      <c r="K596" s="2" t="inlineStr"/>
      <c r="L596" s="2" t="inlineStr"/>
      <c r="M596" s="2" t="inlineStr"/>
      <c r="N596" s="2" t="inlineStr">
        <is>
          <t>No</t>
        </is>
      </c>
      <c r="O596" s="2" t="inlineStr">
        <is>
          <t>Unattempted</t>
        </is>
      </c>
    </row>
    <row r="597">
      <c r="A597" s="4" t="inlineStr">
        <is>
          <t>Interview Questions</t>
        </is>
      </c>
      <c r="B597" s="4" t="inlineStr">
        <is>
          <t>React Interview Questions</t>
        </is>
      </c>
      <c r="C597" s="4" t="inlineStr">
        <is>
          <t>Prepare for your React job interview with our list of common questions and answers. Cover key topics from JSX basics to advanced hooks, and boost your confidence for that big day by reading detailed explanations!</t>
        </is>
      </c>
      <c r="D597" s="4" t="inlineStr">
        <is>
          <t>Hooks (useEffect, useContext, useRef) - Hooks (useEffect, useContext, useRef)</t>
        </is>
      </c>
      <c r="E597" s="4" t="n">
        <v>65</v>
      </c>
      <c r="F597" s="4" t="inlineStr">
        <is>
          <t>Context Consumption</t>
        </is>
      </c>
      <c r="G597" s="4" t="inlineStr">
        <is>
          <t>REACTMCQ67</t>
        </is>
      </c>
      <c r="H597" s="4" t="inlineStr"/>
      <c r="I597" s="4" t="inlineStr">
        <is>
          <t>Easy</t>
        </is>
      </c>
      <c r="J597" s="5">
        <f>HYPERLINK("https://www.codechef.com/problems/REACTMCQ67", "https://www.codechef.com/problems/REACTMCQ67")</f>
        <v/>
      </c>
      <c r="K597" s="4" t="inlineStr"/>
      <c r="L597" s="4" t="inlineStr"/>
      <c r="M597" s="4" t="inlineStr"/>
      <c r="N597" s="4" t="inlineStr">
        <is>
          <t>No</t>
        </is>
      </c>
      <c r="O597" s="4" t="inlineStr">
        <is>
          <t>Unattempted</t>
        </is>
      </c>
    </row>
    <row r="598">
      <c r="A598" s="2" t="inlineStr">
        <is>
          <t>Interview Questions</t>
        </is>
      </c>
      <c r="B598" s="2" t="inlineStr">
        <is>
          <t>React Interview Questions</t>
        </is>
      </c>
      <c r="C598" s="2" t="inlineStr">
        <is>
          <t>Prepare for your React job interview with our list of common questions and answers. Cover key topics from JSX basics to advanced hooks, and boost your confidence for that big day by reading detailed explanations!</t>
        </is>
      </c>
      <c r="D598" s="2" t="inlineStr">
        <is>
          <t>Hooks (useEffect, useContext, useRef) - Hooks (useEffect, useContext, useRef)</t>
        </is>
      </c>
      <c r="E598" s="2" t="n">
        <v>66</v>
      </c>
      <c r="F598" s="2" t="inlineStr">
        <is>
          <t>useRef Usage</t>
        </is>
      </c>
      <c r="G598" s="2" t="inlineStr">
        <is>
          <t>REACTMCQ68</t>
        </is>
      </c>
      <c r="H598" s="2" t="inlineStr"/>
      <c r="I598" s="2" t="inlineStr">
        <is>
          <t>Easy</t>
        </is>
      </c>
      <c r="J598" s="3">
        <f>HYPERLINK("https://www.codechef.com/problems/REACTMCQ68", "https://www.codechef.com/problems/REACTMCQ68")</f>
        <v/>
      </c>
      <c r="K598" s="2" t="inlineStr"/>
      <c r="L598" s="2" t="inlineStr"/>
      <c r="M598" s="2" t="inlineStr"/>
      <c r="N598" s="2" t="inlineStr">
        <is>
          <t>No</t>
        </is>
      </c>
      <c r="O598" s="2" t="inlineStr">
        <is>
          <t>Unattempted</t>
        </is>
      </c>
    </row>
    <row r="599">
      <c r="A599" s="4" t="inlineStr">
        <is>
          <t>Interview Questions</t>
        </is>
      </c>
      <c r="B599" s="4" t="inlineStr">
        <is>
          <t>React Interview Questions</t>
        </is>
      </c>
      <c r="C599" s="4" t="inlineStr">
        <is>
          <t>Prepare for your React job interview with our list of common questions and answers. Cover key topics from JSX basics to advanced hooks, and boost your confidence for that big day by reading detailed explanations!</t>
        </is>
      </c>
      <c r="D599" s="4" t="inlineStr">
        <is>
          <t>Hooks (useEffect, useContext, useRef) - Hooks (useEffect, useContext, useRef)</t>
        </is>
      </c>
      <c r="E599" s="4" t="n">
        <v>67</v>
      </c>
      <c r="F599" s="4" t="inlineStr">
        <is>
          <t>Persistent Values with useRef</t>
        </is>
      </c>
      <c r="G599" s="4" t="inlineStr">
        <is>
          <t>REACTMCQ69</t>
        </is>
      </c>
      <c r="H599" s="4" t="inlineStr"/>
      <c r="I599" s="4" t="inlineStr">
        <is>
          <t>Medium</t>
        </is>
      </c>
      <c r="J599" s="5">
        <f>HYPERLINK("https://www.codechef.com/problems/REACTMCQ69", "https://www.codechef.com/problems/REACTMCQ69")</f>
        <v/>
      </c>
      <c r="K599" s="4" t="inlineStr"/>
      <c r="L599" s="4" t="inlineStr"/>
      <c r="M599" s="4" t="inlineStr"/>
      <c r="N599" s="4" t="inlineStr">
        <is>
          <t>No</t>
        </is>
      </c>
      <c r="O599" s="4" t="inlineStr">
        <is>
          <t>Unattempted</t>
        </is>
      </c>
    </row>
    <row r="600">
      <c r="A600" s="2" t="inlineStr">
        <is>
          <t>Interview Questions</t>
        </is>
      </c>
      <c r="B600" s="2" t="inlineStr">
        <is>
          <t>React Interview Questions</t>
        </is>
      </c>
      <c r="C600" s="2" t="inlineStr">
        <is>
          <t>Prepare for your React job interview with our list of common questions and answers. Cover key topics from JSX basics to advanced hooks, and boost your confidence for that big day by reading detailed explanations!</t>
        </is>
      </c>
      <c r="D600" s="2" t="inlineStr">
        <is>
          <t>Hooks (useEffect, useContext, useRef) - Hooks (useEffect, useContext, useRef)</t>
        </is>
      </c>
      <c r="E600" s="2" t="n">
        <v>68</v>
      </c>
      <c r="F600" s="2" t="inlineStr">
        <is>
          <t>useEffect and API Calls</t>
        </is>
      </c>
      <c r="G600" s="2" t="inlineStr">
        <is>
          <t>REACTMCQ70</t>
        </is>
      </c>
      <c r="H600" s="2" t="inlineStr"/>
      <c r="I600" s="2" t="inlineStr">
        <is>
          <t>Medium</t>
        </is>
      </c>
      <c r="J600" s="3">
        <f>HYPERLINK("https://www.codechef.com/problems/REACTMCQ70", "https://www.codechef.com/problems/REACTMCQ70")</f>
        <v/>
      </c>
      <c r="K600" s="2" t="inlineStr"/>
      <c r="L600" s="2" t="inlineStr"/>
      <c r="M600" s="2" t="inlineStr"/>
      <c r="N600" s="2" t="inlineStr">
        <is>
          <t>No</t>
        </is>
      </c>
      <c r="O600" s="2" t="inlineStr">
        <is>
          <t>Unattempted</t>
        </is>
      </c>
    </row>
    <row r="601">
      <c r="A601" s="4" t="inlineStr">
        <is>
          <t>Interview Questions</t>
        </is>
      </c>
      <c r="B601" s="4" t="inlineStr">
        <is>
          <t>React Interview Questions</t>
        </is>
      </c>
      <c r="C601" s="4" t="inlineStr">
        <is>
          <t>Prepare for your React job interview with our list of common questions and answers. Cover key topics from JSX basics to advanced hooks, and boost your confidence for that big day by reading detailed explanations!</t>
        </is>
      </c>
      <c r="D601" s="4" t="inlineStr">
        <is>
          <t>Hooks (useEffect, useContext, useRef) - Hooks (useEffect, useContext, useRef)</t>
        </is>
      </c>
      <c r="E601" s="4" t="n">
        <v>69</v>
      </c>
      <c r="F601" s="4" t="inlineStr">
        <is>
          <t>Multiple useEffect Hooks</t>
        </is>
      </c>
      <c r="G601" s="4" t="inlineStr">
        <is>
          <t>REACTMCQ71</t>
        </is>
      </c>
      <c r="H601" s="4" t="inlineStr"/>
      <c r="I601" s="4" t="inlineStr">
        <is>
          <t>Easy</t>
        </is>
      </c>
      <c r="J601" s="5">
        <f>HYPERLINK("https://www.codechef.com/problems/REACTMCQ71", "https://www.codechef.com/problems/REACTMCQ71")</f>
        <v/>
      </c>
      <c r="K601" s="4" t="inlineStr"/>
      <c r="L601" s="4" t="inlineStr"/>
      <c r="M601" s="4" t="inlineStr"/>
      <c r="N601" s="4" t="inlineStr">
        <is>
          <t>No</t>
        </is>
      </c>
      <c r="O601" s="4" t="inlineStr">
        <is>
          <t>Unattempted</t>
        </is>
      </c>
    </row>
    <row r="602">
      <c r="A602" s="2" t="inlineStr">
        <is>
          <t>Interview Questions</t>
        </is>
      </c>
      <c r="B602" s="2" t="inlineStr">
        <is>
          <t>React Interview Questions</t>
        </is>
      </c>
      <c r="C602" s="2" t="inlineStr">
        <is>
          <t>Prepare for your React job interview with our list of common questions and answers. Cover key topics from JSX basics to advanced hooks, and boost your confidence for that big day by reading detailed explanations!</t>
        </is>
      </c>
      <c r="D602" s="2" t="inlineStr">
        <is>
          <t>Hooks (useEffect, useContext, useRef) - Hooks (useEffect, useContext, useRef)</t>
        </is>
      </c>
      <c r="E602" s="2" t="n">
        <v>70</v>
      </c>
      <c r="F602" s="2" t="inlineStr">
        <is>
          <t>useContext and Performance</t>
        </is>
      </c>
      <c r="G602" s="2" t="inlineStr">
        <is>
          <t>REACTMCQ72</t>
        </is>
      </c>
      <c r="H602" s="2" t="inlineStr"/>
      <c r="I602" s="2" t="inlineStr">
        <is>
          <t>Medium</t>
        </is>
      </c>
      <c r="J602" s="3">
        <f>HYPERLINK("https://www.codechef.com/problems/REACTMCQ72", "https://www.codechef.com/problems/REACTMCQ72")</f>
        <v/>
      </c>
      <c r="K602" s="2" t="inlineStr"/>
      <c r="L602" s="2" t="inlineStr"/>
      <c r="M602" s="2" t="inlineStr"/>
      <c r="N602" s="2" t="inlineStr">
        <is>
          <t>No</t>
        </is>
      </c>
      <c r="O602" s="2" t="inlineStr">
        <is>
          <t>Unattempted</t>
        </is>
      </c>
    </row>
    <row r="603">
      <c r="A603" s="4" t="inlineStr">
        <is>
          <t>Interview Questions</t>
        </is>
      </c>
      <c r="B603" s="4" t="inlineStr">
        <is>
          <t>React Interview Questions</t>
        </is>
      </c>
      <c r="C603" s="4" t="inlineStr">
        <is>
          <t>Prepare for your React job interview with our list of common questions and answers. Cover key topics from JSX basics to advanced hooks, and boost your confidence for that big day by reading detailed explanations!</t>
        </is>
      </c>
      <c r="D603" s="4" t="inlineStr">
        <is>
          <t>Forms and controlled components - Forms and controlled components</t>
        </is>
      </c>
      <c r="E603" s="4" t="n">
        <v>71</v>
      </c>
      <c r="F603" s="4" t="inlineStr">
        <is>
          <t>Component Control</t>
        </is>
      </c>
      <c r="G603" s="4" t="inlineStr">
        <is>
          <t>REACTMCQ73</t>
        </is>
      </c>
      <c r="H603" s="4" t="inlineStr"/>
      <c r="I603" s="4" t="inlineStr">
        <is>
          <t>Medium</t>
        </is>
      </c>
      <c r="J603" s="5">
        <f>HYPERLINK("https://www.codechef.com/problems/REACTMCQ73", "https://www.codechef.com/problems/REACTMCQ73")</f>
        <v/>
      </c>
      <c r="K603" s="4" t="inlineStr"/>
      <c r="L603" s="4" t="inlineStr"/>
      <c r="M603" s="4" t="inlineStr"/>
      <c r="N603" s="4" t="inlineStr">
        <is>
          <t>No</t>
        </is>
      </c>
      <c r="O603" s="4" t="inlineStr">
        <is>
          <t>Unattempted</t>
        </is>
      </c>
    </row>
    <row r="604">
      <c r="A604" s="2" t="inlineStr">
        <is>
          <t>Interview Questions</t>
        </is>
      </c>
      <c r="B604" s="2" t="inlineStr">
        <is>
          <t>React Interview Questions</t>
        </is>
      </c>
      <c r="C604" s="2" t="inlineStr">
        <is>
          <t>Prepare for your React job interview with our list of common questions and answers. Cover key topics from JSX basics to advanced hooks, and boost your confidence for that big day by reading detailed explanations!</t>
        </is>
      </c>
      <c r="D604" s="2" t="inlineStr">
        <is>
          <t>Forms and controlled components - Forms and controlled components</t>
        </is>
      </c>
      <c r="E604" s="2" t="n">
        <v>72</v>
      </c>
      <c r="F604" s="2" t="inlineStr">
        <is>
          <t>State Management</t>
        </is>
      </c>
      <c r="G604" s="2" t="inlineStr">
        <is>
          <t>REACTMCQ74</t>
        </is>
      </c>
      <c r="H604" s="2" t="inlineStr"/>
      <c r="I604" s="2" t="inlineStr">
        <is>
          <t>Medium</t>
        </is>
      </c>
      <c r="J604" s="3">
        <f>HYPERLINK("https://www.codechef.com/problems/REACTMCQ74", "https://www.codechef.com/problems/REACTMCQ74")</f>
        <v/>
      </c>
      <c r="K604" s="2" t="inlineStr"/>
      <c r="L604" s="2" t="inlineStr"/>
      <c r="M604" s="2" t="inlineStr"/>
      <c r="N604" s="2" t="inlineStr">
        <is>
          <t>No</t>
        </is>
      </c>
      <c r="O604" s="2" t="inlineStr">
        <is>
          <t>Unattempted</t>
        </is>
      </c>
    </row>
    <row r="605">
      <c r="A605" s="4" t="inlineStr">
        <is>
          <t>Interview Questions</t>
        </is>
      </c>
      <c r="B605" s="4" t="inlineStr">
        <is>
          <t>React Interview Questions</t>
        </is>
      </c>
      <c r="C605" s="4" t="inlineStr">
        <is>
          <t>Prepare for your React job interview with our list of common questions and answers. Cover key topics from JSX basics to advanced hooks, and boost your confidence for that big day by reading detailed explanations!</t>
        </is>
      </c>
      <c r="D605" s="4" t="inlineStr">
        <is>
          <t>Forms and controlled components - Forms and controlled components</t>
        </is>
      </c>
      <c r="E605" s="4" t="n">
        <v>73</v>
      </c>
      <c r="F605" s="4" t="inlineStr">
        <is>
          <t>Form Submission</t>
        </is>
      </c>
      <c r="G605" s="4" t="inlineStr">
        <is>
          <t>REACTMCQ75</t>
        </is>
      </c>
      <c r="H605" s="4" t="inlineStr"/>
      <c r="I605" s="4" t="inlineStr">
        <is>
          <t>Medium</t>
        </is>
      </c>
      <c r="J605" s="5">
        <f>HYPERLINK("https://www.codechef.com/problems/REACTMCQ75", "https://www.codechef.com/problems/REACTMCQ75")</f>
        <v/>
      </c>
      <c r="K605" s="4" t="inlineStr"/>
      <c r="L605" s="4" t="inlineStr"/>
      <c r="M605" s="4" t="inlineStr"/>
      <c r="N605" s="4" t="inlineStr">
        <is>
          <t>No</t>
        </is>
      </c>
      <c r="O605" s="4" t="inlineStr">
        <is>
          <t>Unattempted</t>
        </is>
      </c>
    </row>
    <row r="606">
      <c r="A606" s="2" t="inlineStr">
        <is>
          <t>Interview Questions</t>
        </is>
      </c>
      <c r="B606" s="2" t="inlineStr">
        <is>
          <t>React Interview Questions</t>
        </is>
      </c>
      <c r="C606" s="2" t="inlineStr">
        <is>
          <t>Prepare for your React job interview with our list of common questions and answers. Cover key topics from JSX basics to advanced hooks, and boost your confidence for that big day by reading detailed explanations!</t>
        </is>
      </c>
      <c r="D606" s="2" t="inlineStr">
        <is>
          <t>Forms and controlled components - Forms and controlled components</t>
        </is>
      </c>
      <c r="E606" s="2" t="n">
        <v>74</v>
      </c>
      <c r="F606" s="2" t="inlineStr">
        <is>
          <t>Multiple Inputs</t>
        </is>
      </c>
      <c r="G606" s="2" t="inlineStr">
        <is>
          <t>REACTMCQ76</t>
        </is>
      </c>
      <c r="H606" s="2" t="inlineStr"/>
      <c r="I606" s="2" t="inlineStr">
        <is>
          <t>Medium</t>
        </is>
      </c>
      <c r="J606" s="3">
        <f>HYPERLINK("https://www.codechef.com/problems/REACTMCQ76", "https://www.codechef.com/problems/REACTMCQ76")</f>
        <v/>
      </c>
      <c r="K606" s="2" t="inlineStr"/>
      <c r="L606" s="2" t="inlineStr"/>
      <c r="M606" s="2" t="inlineStr"/>
      <c r="N606" s="2" t="inlineStr">
        <is>
          <t>No</t>
        </is>
      </c>
      <c r="O606" s="2" t="inlineStr">
        <is>
          <t>Unattempted</t>
        </is>
      </c>
    </row>
    <row r="607">
      <c r="A607" s="4" t="inlineStr">
        <is>
          <t>Interview Questions</t>
        </is>
      </c>
      <c r="B607" s="4" t="inlineStr">
        <is>
          <t>React Interview Questions</t>
        </is>
      </c>
      <c r="C607" s="4" t="inlineStr">
        <is>
          <t>Prepare for your React job interview with our list of common questions and answers. Cover key topics from JSX basics to advanced hooks, and boost your confidence for that big day by reading detailed explanations!</t>
        </is>
      </c>
      <c r="D607" s="4" t="inlineStr">
        <is>
          <t>Forms and controlled components - Forms and controlled components</t>
        </is>
      </c>
      <c r="E607" s="4" t="n">
        <v>75</v>
      </c>
      <c r="F607" s="4" t="inlineStr">
        <is>
          <t>Form Validation</t>
        </is>
      </c>
      <c r="G607" s="4" t="inlineStr">
        <is>
          <t>REACTMCQ77</t>
        </is>
      </c>
      <c r="H607" s="4" t="inlineStr"/>
      <c r="I607" s="4" t="inlineStr">
        <is>
          <t>Easy</t>
        </is>
      </c>
      <c r="J607" s="5">
        <f>HYPERLINK("https://www.codechef.com/problems/REACTMCQ77", "https://www.codechef.com/problems/REACTMCQ77")</f>
        <v/>
      </c>
      <c r="K607" s="4" t="inlineStr"/>
      <c r="L607" s="4" t="inlineStr"/>
      <c r="M607" s="4" t="inlineStr"/>
      <c r="N607" s="4" t="inlineStr">
        <is>
          <t>No</t>
        </is>
      </c>
      <c r="O607" s="4" t="inlineStr">
        <is>
          <t>Unattempted</t>
        </is>
      </c>
    </row>
    <row r="608">
      <c r="A608" s="2" t="inlineStr">
        <is>
          <t>Interview Questions</t>
        </is>
      </c>
      <c r="B608" s="2" t="inlineStr">
        <is>
          <t>React Interview Questions</t>
        </is>
      </c>
      <c r="C608" s="2" t="inlineStr">
        <is>
          <t>Prepare for your React job interview with our list of common questions and answers. Cover key topics from JSX basics to advanced hooks, and boost your confidence for that big day by reading detailed explanations!</t>
        </is>
      </c>
      <c r="D608" s="2" t="inlineStr">
        <is>
          <t>Forms and controlled components - Forms and controlled components</t>
        </is>
      </c>
      <c r="E608" s="2" t="n">
        <v>76</v>
      </c>
      <c r="F608" s="2" t="inlineStr">
        <is>
          <t>Preventing Default</t>
        </is>
      </c>
      <c r="G608" s="2" t="inlineStr">
        <is>
          <t>REACTMCQ78</t>
        </is>
      </c>
      <c r="H608" s="2" t="inlineStr"/>
      <c r="I608" s="2" t="inlineStr">
        <is>
          <t>Easy</t>
        </is>
      </c>
      <c r="J608" s="3">
        <f>HYPERLINK("https://www.codechef.com/problems/REACTMCQ78", "https://www.codechef.com/problems/REACTMCQ78")</f>
        <v/>
      </c>
      <c r="K608" s="2" t="inlineStr"/>
      <c r="L608" s="2" t="inlineStr"/>
      <c r="M608" s="2" t="inlineStr"/>
      <c r="N608" s="2" t="inlineStr">
        <is>
          <t>No</t>
        </is>
      </c>
      <c r="O608" s="2" t="inlineStr">
        <is>
          <t>Unattempted</t>
        </is>
      </c>
    </row>
    <row r="609">
      <c r="A609" s="4" t="inlineStr">
        <is>
          <t>Interview Questions</t>
        </is>
      </c>
      <c r="B609" s="4" t="inlineStr">
        <is>
          <t>React Interview Questions</t>
        </is>
      </c>
      <c r="C609" s="4" t="inlineStr">
        <is>
          <t>Prepare for your React job interview with our list of common questions and answers. Cover key topics from JSX basics to advanced hooks, and boost your confidence for that big day by reading detailed explanations!</t>
        </is>
      </c>
      <c r="D609" s="4" t="inlineStr">
        <is>
          <t>Forms and controlled components - Forms and controlled components</t>
        </is>
      </c>
      <c r="E609" s="4" t="n">
        <v>77</v>
      </c>
      <c r="F609" s="4" t="inlineStr">
        <is>
          <t>Ref Usage</t>
        </is>
      </c>
      <c r="G609" s="4" t="inlineStr">
        <is>
          <t>REACTMCQ79</t>
        </is>
      </c>
      <c r="H609" s="4" t="inlineStr"/>
      <c r="I609" s="4" t="inlineStr">
        <is>
          <t>Medium</t>
        </is>
      </c>
      <c r="J609" s="5">
        <f>HYPERLINK("https://www.codechef.com/problems/REACTMCQ79", "https://www.codechef.com/problems/REACTMCQ79")</f>
        <v/>
      </c>
      <c r="K609" s="4" t="inlineStr"/>
      <c r="L609" s="4" t="inlineStr"/>
      <c r="M609" s="4" t="inlineStr"/>
      <c r="N609" s="4" t="inlineStr">
        <is>
          <t>No</t>
        </is>
      </c>
      <c r="O609" s="4" t="inlineStr">
        <is>
          <t>Unattempted</t>
        </is>
      </c>
    </row>
    <row r="610">
      <c r="A610" s="2" t="inlineStr">
        <is>
          <t>Interview Questions</t>
        </is>
      </c>
      <c r="B610" s="2" t="inlineStr">
        <is>
          <t>React Interview Questions</t>
        </is>
      </c>
      <c r="C610" s="2" t="inlineStr">
        <is>
          <t>Prepare for your React job interview with our list of common questions and answers. Cover key topics from JSX basics to advanced hooks, and boost your confidence for that big day by reading detailed explanations!</t>
        </is>
      </c>
      <c r="D610" s="2" t="inlineStr">
        <is>
          <t>Forms and controlled components - Forms and controlled components</t>
        </is>
      </c>
      <c r="E610" s="2" t="n">
        <v>78</v>
      </c>
      <c r="F610" s="2" t="inlineStr">
        <is>
          <t>Error Handling</t>
        </is>
      </c>
      <c r="G610" s="2" t="inlineStr">
        <is>
          <t>REACTMCQ80</t>
        </is>
      </c>
      <c r="H610" s="2" t="inlineStr"/>
      <c r="I610" s="2" t="inlineStr">
        <is>
          <t>Medium</t>
        </is>
      </c>
      <c r="J610" s="3">
        <f>HYPERLINK("https://www.codechef.com/problems/REACTMCQ80", "https://www.codechef.com/problems/REACTMCQ80")</f>
        <v/>
      </c>
      <c r="K610" s="2" t="inlineStr"/>
      <c r="L610" s="2" t="inlineStr"/>
      <c r="M610" s="2" t="inlineStr"/>
      <c r="N610" s="2" t="inlineStr">
        <is>
          <t>No</t>
        </is>
      </c>
      <c r="O610" s="2" t="inlineStr">
        <is>
          <t>Unattempted</t>
        </is>
      </c>
    </row>
    <row r="611">
      <c r="A611" s="4" t="inlineStr">
        <is>
          <t>Interview Questions</t>
        </is>
      </c>
      <c r="B611" s="4" t="inlineStr">
        <is>
          <t>React Interview Questions</t>
        </is>
      </c>
      <c r="C611" s="4" t="inlineStr">
        <is>
          <t>Prepare for your React job interview with our list of common questions and answers. Cover key topics from JSX basics to advanced hooks, and boost your confidence for that big day by reading detailed explanations!</t>
        </is>
      </c>
      <c r="D611" s="4" t="inlineStr">
        <is>
          <t>Forms and controlled components - Forms and controlled components</t>
        </is>
      </c>
      <c r="E611" s="4" t="n">
        <v>79</v>
      </c>
      <c r="F611" s="4" t="inlineStr">
        <is>
          <t>Form Libraries</t>
        </is>
      </c>
      <c r="G611" s="4" t="inlineStr">
        <is>
          <t>REACTMCQ81</t>
        </is>
      </c>
      <c r="H611" s="4" t="inlineStr"/>
      <c r="I611" s="4" t="inlineStr">
        <is>
          <t>Easy</t>
        </is>
      </c>
      <c r="J611" s="5">
        <f>HYPERLINK("https://www.codechef.com/problems/REACTMCQ81", "https://www.codechef.com/problems/REACTMCQ81")</f>
        <v/>
      </c>
      <c r="K611" s="4" t="inlineStr"/>
      <c r="L611" s="4" t="inlineStr"/>
      <c r="M611" s="4" t="inlineStr"/>
      <c r="N611" s="4" t="inlineStr">
        <is>
          <t>No</t>
        </is>
      </c>
      <c r="O611" s="4" t="inlineStr">
        <is>
          <t>Unattempted</t>
        </is>
      </c>
    </row>
    <row r="612">
      <c r="A612" s="2" t="inlineStr">
        <is>
          <t>Interview Questions</t>
        </is>
      </c>
      <c r="B612" s="2" t="inlineStr">
        <is>
          <t>React Interview Questions</t>
        </is>
      </c>
      <c r="C612" s="2" t="inlineStr">
        <is>
          <t>Prepare for your React job interview with our list of common questions and answers. Cover key topics from JSX basics to advanced hooks, and boost your confidence for that big day by reading detailed explanations!</t>
        </is>
      </c>
      <c r="D612" s="2" t="inlineStr">
        <is>
          <t>Forms and controlled components - Forms and controlled components</t>
        </is>
      </c>
      <c r="E612" s="2" t="n">
        <v>80</v>
      </c>
      <c r="F612" s="2" t="inlineStr">
        <is>
          <t>Controlled vs Uncontrolled</t>
        </is>
      </c>
      <c r="G612" s="2" t="inlineStr">
        <is>
          <t>REACTMCQ82</t>
        </is>
      </c>
      <c r="H612" s="2" t="inlineStr"/>
      <c r="I612" s="2" t="inlineStr">
        <is>
          <t>Medium</t>
        </is>
      </c>
      <c r="J612" s="3">
        <f>HYPERLINK("https://www.codechef.com/problems/REACTMCQ82", "https://www.codechef.com/problems/REACTMCQ82")</f>
        <v/>
      </c>
      <c r="K612" s="2" t="inlineStr"/>
      <c r="L612" s="2" t="inlineStr"/>
      <c r="M612" s="2" t="inlineStr"/>
      <c r="N612" s="2" t="inlineStr">
        <is>
          <t>No</t>
        </is>
      </c>
      <c r="O612" s="2" t="inlineStr">
        <is>
          <t>Unattempted</t>
        </is>
      </c>
    </row>
    <row r="613">
      <c r="A613" s="4" t="inlineStr">
        <is>
          <t>Interview Questions</t>
        </is>
      </c>
      <c r="B613" s="4" t="inlineStr">
        <is>
          <t>React Interview Questions</t>
        </is>
      </c>
      <c r="C613" s="4" t="inlineStr">
        <is>
          <t>Prepare for your React job interview with our list of common questions and answers. Cover key topics from JSX basics to advanced hooks, and boost your confidence for that big day by reading detailed explanations!</t>
        </is>
      </c>
      <c r="D613" s="4" t="inlineStr">
        <is>
          <t>React Router - React Router</t>
        </is>
      </c>
      <c r="E613" s="4" t="n">
        <v>81</v>
      </c>
      <c r="F613" s="4" t="inlineStr">
        <is>
          <t>Router Selection</t>
        </is>
      </c>
      <c r="G613" s="4" t="inlineStr">
        <is>
          <t>REACTMCQ83</t>
        </is>
      </c>
      <c r="H613" s="4" t="inlineStr"/>
      <c r="I613" s="4" t="inlineStr">
        <is>
          <t>Easy</t>
        </is>
      </c>
      <c r="J613" s="5">
        <f>HYPERLINK("https://www.codechef.com/problems/REACTMCQ83", "https://www.codechef.com/problems/REACTMCQ83")</f>
        <v/>
      </c>
      <c r="K613" s="4" t="inlineStr"/>
      <c r="L613" s="4" t="inlineStr"/>
      <c r="M613" s="4" t="inlineStr"/>
      <c r="N613" s="4" t="inlineStr">
        <is>
          <t>No</t>
        </is>
      </c>
      <c r="O613" s="4" t="inlineStr">
        <is>
          <t>Unattempted</t>
        </is>
      </c>
    </row>
    <row r="614">
      <c r="A614" s="2" t="inlineStr">
        <is>
          <t>Interview Questions</t>
        </is>
      </c>
      <c r="B614" s="2" t="inlineStr">
        <is>
          <t>React Interview Questions</t>
        </is>
      </c>
      <c r="C614" s="2" t="inlineStr">
        <is>
          <t>Prepare for your React job interview with our list of common questions and answers. Cover key topics from JSX basics to advanced hooks, and boost your confidence for that big day by reading detailed explanations!</t>
        </is>
      </c>
      <c r="D614" s="2" t="inlineStr">
        <is>
          <t>React Router - React Router</t>
        </is>
      </c>
      <c r="E614" s="2" t="n">
        <v>82</v>
      </c>
      <c r="F614" s="2" t="inlineStr">
        <is>
          <t>Route Component Usage</t>
        </is>
      </c>
      <c r="G614" s="2" t="inlineStr">
        <is>
          <t>REACTMCQ84</t>
        </is>
      </c>
      <c r="H614" s="2" t="inlineStr"/>
      <c r="I614" s="2" t="inlineStr">
        <is>
          <t>Easy</t>
        </is>
      </c>
      <c r="J614" s="3">
        <f>HYPERLINK("https://www.codechef.com/problems/REACTMCQ84", "https://www.codechef.com/problems/REACTMCQ84")</f>
        <v/>
      </c>
      <c r="K614" s="2" t="inlineStr"/>
      <c r="L614" s="2" t="inlineStr"/>
      <c r="M614" s="2" t="inlineStr"/>
      <c r="N614" s="2" t="inlineStr">
        <is>
          <t>No</t>
        </is>
      </c>
      <c r="O614" s="2" t="inlineStr">
        <is>
          <t>Unattempted</t>
        </is>
      </c>
    </row>
    <row r="615">
      <c r="A615" s="4" t="inlineStr">
        <is>
          <t>Interview Questions</t>
        </is>
      </c>
      <c r="B615" s="4" t="inlineStr">
        <is>
          <t>React Interview Questions</t>
        </is>
      </c>
      <c r="C615" s="4" t="inlineStr">
        <is>
          <t>Prepare for your React job interview with our list of common questions and answers. Cover key topics from JSX basics to advanced hooks, and boost your confidence for that big day by reading detailed explanations!</t>
        </is>
      </c>
      <c r="D615" s="4" t="inlineStr">
        <is>
          <t>React Router - React Router</t>
        </is>
      </c>
      <c r="E615" s="4" t="n">
        <v>83</v>
      </c>
      <c r="F615" s="4" t="inlineStr">
        <is>
          <t>Route Parameters</t>
        </is>
      </c>
      <c r="G615" s="4" t="inlineStr">
        <is>
          <t>REACTMCQ85</t>
        </is>
      </c>
      <c r="H615" s="4" t="inlineStr"/>
      <c r="I615" s="4" t="inlineStr">
        <is>
          <t>Easy</t>
        </is>
      </c>
      <c r="J615" s="5">
        <f>HYPERLINK("https://www.codechef.com/problems/REACTMCQ85", "https://www.codechef.com/problems/REACTMCQ85")</f>
        <v/>
      </c>
      <c r="K615" s="4" t="inlineStr"/>
      <c r="L615" s="4" t="inlineStr"/>
      <c r="M615" s="4" t="inlineStr"/>
      <c r="N615" s="4" t="inlineStr">
        <is>
          <t>No</t>
        </is>
      </c>
      <c r="O615" s="4" t="inlineStr">
        <is>
          <t>Unattempted</t>
        </is>
      </c>
    </row>
    <row r="616">
      <c r="A616" s="2" t="inlineStr">
        <is>
          <t>Interview Questions</t>
        </is>
      </c>
      <c r="B616" s="2" t="inlineStr">
        <is>
          <t>React Interview Questions</t>
        </is>
      </c>
      <c r="C616" s="2" t="inlineStr">
        <is>
          <t>Prepare for your React job interview with our list of common questions and answers. Cover key topics from JSX basics to advanced hooks, and boost your confidence for that big day by reading detailed explanations!</t>
        </is>
      </c>
      <c r="D616" s="2" t="inlineStr">
        <is>
          <t>React Router - React Router</t>
        </is>
      </c>
      <c r="E616" s="2" t="n">
        <v>84</v>
      </c>
      <c r="F616" s="2" t="inlineStr">
        <is>
          <t>Nested Routes</t>
        </is>
      </c>
      <c r="G616" s="2" t="inlineStr">
        <is>
          <t>REACTMCQ86</t>
        </is>
      </c>
      <c r="H616" s="2" t="inlineStr"/>
      <c r="I616" s="2" t="inlineStr">
        <is>
          <t>Medium</t>
        </is>
      </c>
      <c r="J616" s="3">
        <f>HYPERLINK("https://www.codechef.com/problems/REACTMCQ86", "https://www.codechef.com/problems/REACTMCQ86")</f>
        <v/>
      </c>
      <c r="K616" s="2" t="inlineStr"/>
      <c r="L616" s="2" t="inlineStr"/>
      <c r="M616" s="2" t="inlineStr"/>
      <c r="N616" s="2" t="inlineStr">
        <is>
          <t>No</t>
        </is>
      </c>
      <c r="O616" s="2" t="inlineStr">
        <is>
          <t>Unattempted</t>
        </is>
      </c>
    </row>
    <row r="617">
      <c r="A617" s="4" t="inlineStr">
        <is>
          <t>Interview Questions</t>
        </is>
      </c>
      <c r="B617" s="4" t="inlineStr">
        <is>
          <t>React Interview Questions</t>
        </is>
      </c>
      <c r="C617" s="4" t="inlineStr">
        <is>
          <t>Prepare for your React job interview with our list of common questions and answers. Cover key topics from JSX basics to advanced hooks, and boost your confidence for that big day by reading detailed explanations!</t>
        </is>
      </c>
      <c r="D617" s="4" t="inlineStr">
        <is>
          <t>React Router - React Router</t>
        </is>
      </c>
      <c r="E617" s="4" t="n">
        <v>85</v>
      </c>
      <c r="F617" s="4" t="inlineStr">
        <is>
          <t>Programmatic Navigation</t>
        </is>
      </c>
      <c r="G617" s="4" t="inlineStr">
        <is>
          <t>REACTMCQ87</t>
        </is>
      </c>
      <c r="H617" s="4" t="inlineStr"/>
      <c r="I617" s="4" t="inlineStr">
        <is>
          <t>Easy</t>
        </is>
      </c>
      <c r="J617" s="5">
        <f>HYPERLINK("https://www.codechef.com/problems/REACTMCQ87", "https://www.codechef.com/problems/REACTMCQ87")</f>
        <v/>
      </c>
      <c r="K617" s="4" t="inlineStr"/>
      <c r="L617" s="4" t="inlineStr"/>
      <c r="M617" s="4" t="inlineStr"/>
      <c r="N617" s="4" t="inlineStr">
        <is>
          <t>No</t>
        </is>
      </c>
      <c r="O617" s="4" t="inlineStr">
        <is>
          <t>Unattempted</t>
        </is>
      </c>
    </row>
    <row r="618">
      <c r="A618" s="2" t="inlineStr">
        <is>
          <t>Interview Questions</t>
        </is>
      </c>
      <c r="B618" s="2" t="inlineStr">
        <is>
          <t>React Interview Questions</t>
        </is>
      </c>
      <c r="C618" s="2" t="inlineStr">
        <is>
          <t>Prepare for your React job interview with our list of common questions and answers. Cover key topics from JSX basics to advanced hooks, and boost your confidence for that big day by reading detailed explanations!</t>
        </is>
      </c>
      <c r="D618" s="2" t="inlineStr">
        <is>
          <t>React Router - React Router</t>
        </is>
      </c>
      <c r="E618" s="2" t="n">
        <v>86</v>
      </c>
      <c r="F618" s="2" t="inlineStr">
        <is>
          <t>Link Component</t>
        </is>
      </c>
      <c r="G618" s="2" t="inlineStr">
        <is>
          <t>REACTMCQ88</t>
        </is>
      </c>
      <c r="H618" s="2" t="inlineStr"/>
      <c r="I618" s="2" t="inlineStr">
        <is>
          <t>Easy</t>
        </is>
      </c>
      <c r="J618" s="3">
        <f>HYPERLINK("https://www.codechef.com/problems/REACTMCQ88", "https://www.codechef.com/problems/REACTMCQ88")</f>
        <v/>
      </c>
      <c r="K618" s="2" t="inlineStr"/>
      <c r="L618" s="2" t="inlineStr"/>
      <c r="M618" s="2" t="inlineStr"/>
      <c r="N618" s="2" t="inlineStr">
        <is>
          <t>No</t>
        </is>
      </c>
      <c r="O618" s="2" t="inlineStr">
        <is>
          <t>Unattempted</t>
        </is>
      </c>
    </row>
    <row r="619">
      <c r="A619" s="4" t="inlineStr">
        <is>
          <t>Interview Questions</t>
        </is>
      </c>
      <c r="B619" s="4" t="inlineStr">
        <is>
          <t>React Interview Questions</t>
        </is>
      </c>
      <c r="C619" s="4" t="inlineStr">
        <is>
          <t>Prepare for your React job interview with our list of common questions and answers. Cover key topics from JSX basics to advanced hooks, and boost your confidence for that big day by reading detailed explanations!</t>
        </is>
      </c>
      <c r="D619" s="4" t="inlineStr">
        <is>
          <t>React Router - React Router</t>
        </is>
      </c>
      <c r="E619" s="4" t="n">
        <v>87</v>
      </c>
      <c r="F619" s="4" t="inlineStr">
        <is>
          <t>Route Matching</t>
        </is>
      </c>
      <c r="G619" s="4" t="inlineStr">
        <is>
          <t>REACTMCQ89</t>
        </is>
      </c>
      <c r="H619" s="4" t="inlineStr"/>
      <c r="I619" s="4" t="inlineStr">
        <is>
          <t>Medium</t>
        </is>
      </c>
      <c r="J619" s="5">
        <f>HYPERLINK("https://www.codechef.com/problems/REACTMCQ89", "https://www.codechef.com/problems/REACTMCQ89")</f>
        <v/>
      </c>
      <c r="K619" s="4" t="inlineStr"/>
      <c r="L619" s="4" t="inlineStr"/>
      <c r="M619" s="4" t="inlineStr"/>
      <c r="N619" s="4" t="inlineStr">
        <is>
          <t>No</t>
        </is>
      </c>
      <c r="O619" s="4" t="inlineStr">
        <is>
          <t>Unattempted</t>
        </is>
      </c>
    </row>
    <row r="620">
      <c r="A620" s="2" t="inlineStr">
        <is>
          <t>Interview Questions</t>
        </is>
      </c>
      <c r="B620" s="2" t="inlineStr">
        <is>
          <t>React Interview Questions</t>
        </is>
      </c>
      <c r="C620" s="2" t="inlineStr">
        <is>
          <t>Prepare for your React job interview with our list of common questions and answers. Cover key topics from JSX basics to advanced hooks, and boost your confidence for that big day by reading detailed explanations!</t>
        </is>
      </c>
      <c r="D620" s="2" t="inlineStr">
        <is>
          <t>React Router - React Router</t>
        </is>
      </c>
      <c r="E620" s="2" t="n">
        <v>88</v>
      </c>
      <c r="F620" s="2" t="inlineStr">
        <is>
          <t>404 Not Found Route</t>
        </is>
      </c>
      <c r="G620" s="2" t="inlineStr">
        <is>
          <t>REACTMCQ90</t>
        </is>
      </c>
      <c r="H620" s="2" t="inlineStr"/>
      <c r="I620" s="2" t="inlineStr">
        <is>
          <t>Easy</t>
        </is>
      </c>
      <c r="J620" s="3">
        <f>HYPERLINK("https://www.codechef.com/problems/REACTMCQ90", "https://www.codechef.com/problems/REACTMCQ90")</f>
        <v/>
      </c>
      <c r="K620" s="2" t="inlineStr"/>
      <c r="L620" s="2" t="inlineStr"/>
      <c r="M620" s="2" t="inlineStr"/>
      <c r="N620" s="2" t="inlineStr">
        <is>
          <t>No</t>
        </is>
      </c>
      <c r="O620" s="2" t="inlineStr">
        <is>
          <t>Unattempted</t>
        </is>
      </c>
    </row>
    <row r="621">
      <c r="A621" s="4" t="inlineStr">
        <is>
          <t>Interview Questions</t>
        </is>
      </c>
      <c r="B621" s="4" t="inlineStr">
        <is>
          <t>React Interview Questions</t>
        </is>
      </c>
      <c r="C621" s="4" t="inlineStr">
        <is>
          <t>Prepare for your React job interview with our list of common questions and answers. Cover key topics from JSX basics to advanced hooks, and boost your confidence for that big day by reading detailed explanations!</t>
        </is>
      </c>
      <c r="D621" s="4" t="inlineStr">
        <is>
          <t>React Router - React Router</t>
        </is>
      </c>
      <c r="E621" s="4" t="n">
        <v>89</v>
      </c>
      <c r="F621" s="4" t="inlineStr">
        <is>
          <t>Active Link Styling</t>
        </is>
      </c>
      <c r="G621" s="4" t="inlineStr">
        <is>
          <t>REACTMCQ91</t>
        </is>
      </c>
      <c r="H621" s="4" t="inlineStr"/>
      <c r="I621" s="4" t="inlineStr">
        <is>
          <t>Easy</t>
        </is>
      </c>
      <c r="J621" s="5">
        <f>HYPERLINK("https://www.codechef.com/problems/REACTMCQ91", "https://www.codechef.com/problems/REACTMCQ91")</f>
        <v/>
      </c>
      <c r="K621" s="4" t="inlineStr"/>
      <c r="L621" s="4" t="inlineStr"/>
      <c r="M621" s="4" t="inlineStr"/>
      <c r="N621" s="4" t="inlineStr">
        <is>
          <t>No</t>
        </is>
      </c>
      <c r="O621" s="4" t="inlineStr">
        <is>
          <t>Unattempted</t>
        </is>
      </c>
    </row>
    <row r="622">
      <c r="A622" s="2" t="inlineStr">
        <is>
          <t>Interview Questions</t>
        </is>
      </c>
      <c r="B622" s="2" t="inlineStr">
        <is>
          <t>React Interview Questions</t>
        </is>
      </c>
      <c r="C622" s="2" t="inlineStr">
        <is>
          <t>Prepare for your React job interview with our list of common questions and answers. Cover key topics from JSX basics to advanced hooks, and boost your confidence for that big day by reading detailed explanations!</t>
        </is>
      </c>
      <c r="D622" s="2" t="inlineStr">
        <is>
          <t>React Router - React Router</t>
        </is>
      </c>
      <c r="E622" s="2" t="n">
        <v>90</v>
      </c>
      <c r="F622" s="2" t="inlineStr">
        <is>
          <t>Route Configuration</t>
        </is>
      </c>
      <c r="G622" s="2" t="inlineStr">
        <is>
          <t>REACTMCQ92</t>
        </is>
      </c>
      <c r="H622" s="2" t="inlineStr"/>
      <c r="I622" s="2" t="inlineStr">
        <is>
          <t>Easy</t>
        </is>
      </c>
      <c r="J622" s="3">
        <f>HYPERLINK("https://www.codechef.com/problems/REACTMCQ92", "https://www.codechef.com/problems/REACTMCQ92")</f>
        <v/>
      </c>
      <c r="K622" s="2" t="inlineStr"/>
      <c r="L622" s="2" t="inlineStr"/>
      <c r="M622" s="2" t="inlineStr"/>
      <c r="N622" s="2" t="inlineStr">
        <is>
          <t>No</t>
        </is>
      </c>
      <c r="O622" s="2" t="inlineStr">
        <is>
          <t>Unattempted</t>
        </is>
      </c>
    </row>
    <row r="623">
      <c r="A623" s="4" t="inlineStr">
        <is>
          <t>Interview Questions</t>
        </is>
      </c>
      <c r="B623" s="4" t="inlineStr">
        <is>
          <t>React Interview Questions</t>
        </is>
      </c>
      <c r="C623" s="4" t="inlineStr">
        <is>
          <t>Prepare for your React job interview with our list of common questions and answers. Cover key topics from JSX basics to advanced hooks, and boost your confidence for that big day by reading detailed explanations!</t>
        </is>
      </c>
      <c r="D623" s="4" t="inlineStr">
        <is>
          <t>Context API - Context API</t>
        </is>
      </c>
      <c r="E623" s="4" t="n">
        <v>91</v>
      </c>
      <c r="F623" s="4" t="inlineStr">
        <is>
          <t>Context Creation</t>
        </is>
      </c>
      <c r="G623" s="4" t="inlineStr">
        <is>
          <t>REACTMCQ93</t>
        </is>
      </c>
      <c r="H623" s="4" t="inlineStr"/>
      <c r="I623" s="4" t="inlineStr">
        <is>
          <t>Easy</t>
        </is>
      </c>
      <c r="J623" s="5">
        <f>HYPERLINK("https://www.codechef.com/problems/REACTMCQ93", "https://www.codechef.com/problems/REACTMCQ93")</f>
        <v/>
      </c>
      <c r="K623" s="4" t="inlineStr"/>
      <c r="L623" s="4" t="inlineStr"/>
      <c r="M623" s="4" t="inlineStr"/>
      <c r="N623" s="4" t="inlineStr">
        <is>
          <t>No</t>
        </is>
      </c>
      <c r="O623" s="4" t="inlineStr">
        <is>
          <t>Unattempted</t>
        </is>
      </c>
    </row>
    <row r="624">
      <c r="A624" s="2" t="inlineStr">
        <is>
          <t>Interview Questions</t>
        </is>
      </c>
      <c r="B624" s="2" t="inlineStr">
        <is>
          <t>React Interview Questions</t>
        </is>
      </c>
      <c r="C624" s="2" t="inlineStr">
        <is>
          <t>Prepare for your React job interview with our list of common questions and answers. Cover key topics from JSX basics to advanced hooks, and boost your confidence for that big day by reading detailed explanations!</t>
        </is>
      </c>
      <c r="D624" s="2" t="inlineStr">
        <is>
          <t>Context API - Context API</t>
        </is>
      </c>
      <c r="E624" s="2" t="n">
        <v>92</v>
      </c>
      <c r="F624" s="2" t="inlineStr">
        <is>
          <t>Context Provider</t>
        </is>
      </c>
      <c r="G624" s="2" t="inlineStr">
        <is>
          <t>REACTMCQ94</t>
        </is>
      </c>
      <c r="H624" s="2" t="inlineStr"/>
      <c r="I624" s="2" t="inlineStr">
        <is>
          <t>Easy</t>
        </is>
      </c>
      <c r="J624" s="3">
        <f>HYPERLINK("https://www.codechef.com/problems/REACTMCQ94", "https://www.codechef.com/problems/REACTMCQ94")</f>
        <v/>
      </c>
      <c r="K624" s="2" t="inlineStr"/>
      <c r="L624" s="2" t="inlineStr"/>
      <c r="M624" s="2" t="inlineStr"/>
      <c r="N624" s="2" t="inlineStr">
        <is>
          <t>No</t>
        </is>
      </c>
      <c r="O624" s="2" t="inlineStr">
        <is>
          <t>Unattempted</t>
        </is>
      </c>
    </row>
    <row r="625">
      <c r="A625" s="4" t="inlineStr">
        <is>
          <t>Interview Questions</t>
        </is>
      </c>
      <c r="B625" s="4" t="inlineStr">
        <is>
          <t>React Interview Questions</t>
        </is>
      </c>
      <c r="C625" s="4" t="inlineStr">
        <is>
          <t>Prepare for your React job interview with our list of common questions and answers. Cover key topics from JSX basics to advanced hooks, and boost your confidence for that big day by reading detailed explanations!</t>
        </is>
      </c>
      <c r="D625" s="4" t="inlineStr">
        <is>
          <t>Context API - Context API</t>
        </is>
      </c>
      <c r="E625" s="4" t="n">
        <v>93</v>
      </c>
      <c r="F625" s="4" t="inlineStr">
        <is>
          <t>Consuming Context</t>
        </is>
      </c>
      <c r="G625" s="4" t="inlineStr">
        <is>
          <t>REACTMCQ95</t>
        </is>
      </c>
      <c r="H625" s="4" t="inlineStr"/>
      <c r="I625" s="4" t="inlineStr">
        <is>
          <t>Easy</t>
        </is>
      </c>
      <c r="J625" s="5">
        <f>HYPERLINK("https://www.codechef.com/problems/REACTMCQ95", "https://www.codechef.com/problems/REACTMCQ95")</f>
        <v/>
      </c>
      <c r="K625" s="4" t="inlineStr"/>
      <c r="L625" s="4" t="inlineStr"/>
      <c r="M625" s="4" t="inlineStr"/>
      <c r="N625" s="4" t="inlineStr">
        <is>
          <t>No</t>
        </is>
      </c>
      <c r="O625" s="4" t="inlineStr">
        <is>
          <t>Unattempted</t>
        </is>
      </c>
    </row>
    <row r="626">
      <c r="A626" s="2" t="inlineStr">
        <is>
          <t>Interview Questions</t>
        </is>
      </c>
      <c r="B626" s="2" t="inlineStr">
        <is>
          <t>React Interview Questions</t>
        </is>
      </c>
      <c r="C626" s="2" t="inlineStr">
        <is>
          <t>Prepare for your React job interview with our list of common questions and answers. Cover key topics from JSX basics to advanced hooks, and boost your confidence for that big day by reading detailed explanations!</t>
        </is>
      </c>
      <c r="D626" s="2" t="inlineStr">
        <is>
          <t>Context API - Context API</t>
        </is>
      </c>
      <c r="E626" s="2" t="n">
        <v>94</v>
      </c>
      <c r="F626" s="2" t="inlineStr">
        <is>
          <t>useContext Hook</t>
        </is>
      </c>
      <c r="G626" s="2" t="inlineStr">
        <is>
          <t>REACTMCQ96</t>
        </is>
      </c>
      <c r="H626" s="2" t="inlineStr"/>
      <c r="I626" s="2" t="inlineStr">
        <is>
          <t>Medium</t>
        </is>
      </c>
      <c r="J626" s="3">
        <f>HYPERLINK("https://www.codechef.com/problems/REACTMCQ96", "https://www.codechef.com/problems/REACTMCQ96")</f>
        <v/>
      </c>
      <c r="K626" s="2" t="inlineStr"/>
      <c r="L626" s="2" t="inlineStr"/>
      <c r="M626" s="2" t="inlineStr"/>
      <c r="N626" s="2" t="inlineStr">
        <is>
          <t>No</t>
        </is>
      </c>
      <c r="O626" s="2" t="inlineStr">
        <is>
          <t>Unattempted</t>
        </is>
      </c>
    </row>
    <row r="627">
      <c r="A627" s="4" t="inlineStr">
        <is>
          <t>Interview Questions</t>
        </is>
      </c>
      <c r="B627" s="4" t="inlineStr">
        <is>
          <t>React Interview Questions</t>
        </is>
      </c>
      <c r="C627" s="4" t="inlineStr">
        <is>
          <t>Prepare for your React job interview with our list of common questions and answers. Cover key topics from JSX basics to advanced hooks, and boost your confidence for that big day by reading detailed explanations!</t>
        </is>
      </c>
      <c r="D627" s="4" t="inlineStr">
        <is>
          <t>Context API - Context API</t>
        </is>
      </c>
      <c r="E627" s="4" t="n">
        <v>95</v>
      </c>
      <c r="F627" s="4" t="inlineStr">
        <is>
          <t>Context Updates</t>
        </is>
      </c>
      <c r="G627" s="4" t="inlineStr">
        <is>
          <t>REACTMCQ97</t>
        </is>
      </c>
      <c r="H627" s="4" t="inlineStr"/>
      <c r="I627" s="4" t="inlineStr">
        <is>
          <t>Medium</t>
        </is>
      </c>
      <c r="J627" s="5">
        <f>HYPERLINK("https://www.codechef.com/problems/REACTMCQ97", "https://www.codechef.com/problems/REACTMCQ97")</f>
        <v/>
      </c>
      <c r="K627" s="4" t="inlineStr"/>
      <c r="L627" s="4" t="inlineStr"/>
      <c r="M627" s="4" t="inlineStr"/>
      <c r="N627" s="4" t="inlineStr">
        <is>
          <t>No</t>
        </is>
      </c>
      <c r="O627" s="4" t="inlineStr">
        <is>
          <t>Unattempted</t>
        </is>
      </c>
    </row>
    <row r="628">
      <c r="A628" s="2" t="inlineStr">
        <is>
          <t>Interview Questions</t>
        </is>
      </c>
      <c r="B628" s="2" t="inlineStr">
        <is>
          <t>React Interview Questions</t>
        </is>
      </c>
      <c r="C628" s="2" t="inlineStr">
        <is>
          <t>Prepare for your React job interview with our list of common questions and answers. Cover key topics from JSX basics to advanced hooks, and boost your confidence for that big day by reading detailed explanations!</t>
        </is>
      </c>
      <c r="D628" s="2" t="inlineStr">
        <is>
          <t>Context API - Context API</t>
        </is>
      </c>
      <c r="E628" s="2" t="n">
        <v>96</v>
      </c>
      <c r="F628" s="2" t="inlineStr">
        <is>
          <t>Context vs Props</t>
        </is>
      </c>
      <c r="G628" s="2" t="inlineStr">
        <is>
          <t>REACTMCQ98</t>
        </is>
      </c>
      <c r="H628" s="2" t="inlineStr"/>
      <c r="I628" s="2" t="inlineStr">
        <is>
          <t>Medium</t>
        </is>
      </c>
      <c r="J628" s="3">
        <f>HYPERLINK("https://www.codechef.com/problems/REACTMCQ98", "https://www.codechef.com/problems/REACTMCQ98")</f>
        <v/>
      </c>
      <c r="K628" s="2" t="inlineStr"/>
      <c r="L628" s="2" t="inlineStr"/>
      <c r="M628" s="2" t="inlineStr"/>
      <c r="N628" s="2" t="inlineStr">
        <is>
          <t>No</t>
        </is>
      </c>
      <c r="O628" s="2" t="inlineStr">
        <is>
          <t>Unattempted</t>
        </is>
      </c>
    </row>
    <row r="629">
      <c r="A629" s="4" t="inlineStr">
        <is>
          <t>Interview Questions</t>
        </is>
      </c>
      <c r="B629" s="4" t="inlineStr">
        <is>
          <t>React Interview Questions</t>
        </is>
      </c>
      <c r="C629" s="4" t="inlineStr">
        <is>
          <t>Prepare for your React job interview with our list of common questions and answers. Cover key topics from JSX basics to advanced hooks, and boost your confidence for that big day by reading detailed explanations!</t>
        </is>
      </c>
      <c r="D629" s="4" t="inlineStr">
        <is>
          <t>Context API - Context API</t>
        </is>
      </c>
      <c r="E629" s="4" t="n">
        <v>97</v>
      </c>
      <c r="F629" s="4" t="inlineStr">
        <is>
          <t>Multiple Contexts</t>
        </is>
      </c>
      <c r="G629" s="4" t="inlineStr">
        <is>
          <t>REACTMCQ99</t>
        </is>
      </c>
      <c r="H629" s="4" t="inlineStr"/>
      <c r="I629" s="4" t="inlineStr">
        <is>
          <t>Medium</t>
        </is>
      </c>
      <c r="J629" s="5">
        <f>HYPERLINK("https://www.codechef.com/problems/REACTMCQ99", "https://www.codechef.com/problems/REACTMCQ99")</f>
        <v/>
      </c>
      <c r="K629" s="4" t="inlineStr"/>
      <c r="L629" s="4" t="inlineStr"/>
      <c r="M629" s="4" t="inlineStr"/>
      <c r="N629" s="4" t="inlineStr">
        <is>
          <t>No</t>
        </is>
      </c>
      <c r="O629" s="4" t="inlineStr">
        <is>
          <t>Unattempted</t>
        </is>
      </c>
    </row>
    <row r="630">
      <c r="A630" s="2" t="inlineStr">
        <is>
          <t>Interview Questions</t>
        </is>
      </c>
      <c r="B630" s="2" t="inlineStr">
        <is>
          <t>React Interview Questions</t>
        </is>
      </c>
      <c r="C630" s="2" t="inlineStr">
        <is>
          <t>Prepare for your React job interview with our list of common questions and answers. Cover key topics from JSX basics to advanced hooks, and boost your confidence for that big day by reading detailed explanations!</t>
        </is>
      </c>
      <c r="D630" s="2" t="inlineStr">
        <is>
          <t>Context API - Context API</t>
        </is>
      </c>
      <c r="E630" s="2" t="n">
        <v>98</v>
      </c>
      <c r="F630" s="2" t="inlineStr">
        <is>
          <t>Context Performance</t>
        </is>
      </c>
      <c r="G630" s="2" t="inlineStr">
        <is>
          <t>REACTMCQ100</t>
        </is>
      </c>
      <c r="H630" s="2" t="inlineStr"/>
      <c r="I630" s="2" t="inlineStr">
        <is>
          <t>Medium</t>
        </is>
      </c>
      <c r="J630" s="3">
        <f>HYPERLINK("https://www.codechef.com/problems/REACTMCQ100", "https://www.codechef.com/problems/REACTMCQ100")</f>
        <v/>
      </c>
      <c r="K630" s="2" t="inlineStr"/>
      <c r="L630" s="2" t="inlineStr"/>
      <c r="M630" s="2" t="inlineStr"/>
      <c r="N630" s="2" t="inlineStr">
        <is>
          <t>No</t>
        </is>
      </c>
      <c r="O630" s="2" t="inlineStr">
        <is>
          <t>Unattempted</t>
        </is>
      </c>
    </row>
    <row r="631">
      <c r="A631" s="4" t="inlineStr">
        <is>
          <t>Interview Questions</t>
        </is>
      </c>
      <c r="B631" s="4" t="inlineStr">
        <is>
          <t>React Interview Questions</t>
        </is>
      </c>
      <c r="C631" s="4" t="inlineStr">
        <is>
          <t>Prepare for your React job interview with our list of common questions and answers. Cover key topics from JSX basics to advanced hooks, and boost your confidence for that big day by reading detailed explanations!</t>
        </is>
      </c>
      <c r="D631" s="4" t="inlineStr">
        <is>
          <t>Context API - Context API</t>
        </is>
      </c>
      <c r="E631" s="4" t="n">
        <v>99</v>
      </c>
      <c r="F631" s="4" t="inlineStr">
        <is>
          <t>Context Limitations</t>
        </is>
      </c>
      <c r="G631" s="4" t="inlineStr">
        <is>
          <t>REACTMCQ101</t>
        </is>
      </c>
      <c r="H631" s="4" t="inlineStr"/>
      <c r="I631" s="4" t="inlineStr">
        <is>
          <t>Medium</t>
        </is>
      </c>
      <c r="J631" s="5">
        <f>HYPERLINK("https://www.codechef.com/problems/REACTMCQ101", "https://www.codechef.com/problems/REACTMCQ101")</f>
        <v/>
      </c>
      <c r="K631" s="4" t="inlineStr"/>
      <c r="L631" s="4" t="inlineStr"/>
      <c r="M631" s="4" t="inlineStr"/>
      <c r="N631" s="4" t="inlineStr">
        <is>
          <t>No</t>
        </is>
      </c>
      <c r="O631" s="4" t="inlineStr">
        <is>
          <t>Unattempted</t>
        </is>
      </c>
    </row>
    <row r="632">
      <c r="A632" s="2" t="inlineStr">
        <is>
          <t>Interview Questions</t>
        </is>
      </c>
      <c r="B632" s="2" t="inlineStr">
        <is>
          <t>React Interview Questions</t>
        </is>
      </c>
      <c r="C632" s="2" t="inlineStr">
        <is>
          <t>Prepare for your React job interview with our list of common questions and answers. Cover key topics from JSX basics to advanced hooks, and boost your confidence for that big day by reading detailed explanations!</t>
        </is>
      </c>
      <c r="D632" s="2" t="inlineStr">
        <is>
          <t>Context API - Context API</t>
        </is>
      </c>
      <c r="E632" s="2" t="n">
        <v>100</v>
      </c>
      <c r="F632" s="2" t="inlineStr">
        <is>
          <t>Default Context Value</t>
        </is>
      </c>
      <c r="G632" s="2" t="inlineStr">
        <is>
          <t>REACTMCQ102</t>
        </is>
      </c>
      <c r="H632" s="2" t="inlineStr"/>
      <c r="I632" s="2" t="inlineStr">
        <is>
          <t>Medium</t>
        </is>
      </c>
      <c r="J632" s="3">
        <f>HYPERLINK("https://www.codechef.com/problems/REACTMCQ102", "https://www.codechef.com/problems/REACTMCQ102")</f>
        <v/>
      </c>
      <c r="K632" s="2" t="inlineStr"/>
      <c r="L632" s="2" t="inlineStr"/>
      <c r="M632" s="2" t="inlineStr"/>
      <c r="N632" s="2" t="inlineStr">
        <is>
          <t>No</t>
        </is>
      </c>
      <c r="O632" s="2" t="inlineStr">
        <is>
          <t>Unattempted</t>
        </is>
      </c>
    </row>
    <row r="633">
      <c r="A633" s="4" t="inlineStr">
        <is>
          <t>Interview Questions</t>
        </is>
      </c>
      <c r="B633" s="4" t="inlineStr">
        <is>
          <t>React Interview Questions</t>
        </is>
      </c>
      <c r="C633" s="4" t="inlineStr">
        <is>
          <t>Prepare for your React job interview with our list of common questions and answers. Cover key topics from JSX basics to advanced hooks, and boost your confidence for that big day by reading detailed explanations!</t>
        </is>
      </c>
      <c r="D633" s="4" t="inlineStr">
        <is>
          <t>Higher-Order Components (HOCs) - Higher-Order Components (HOCs)</t>
        </is>
      </c>
      <c r="E633" s="4" t="n">
        <v>101</v>
      </c>
      <c r="F633" s="4" t="inlineStr">
        <is>
          <t>HOC Definition</t>
        </is>
      </c>
      <c r="G633" s="4" t="inlineStr">
        <is>
          <t>REACTMCQ103</t>
        </is>
      </c>
      <c r="H633" s="4" t="inlineStr"/>
      <c r="I633" s="4" t="inlineStr">
        <is>
          <t>Medium</t>
        </is>
      </c>
      <c r="J633" s="5">
        <f>HYPERLINK("https://www.codechef.com/problems/REACTMCQ103", "https://www.codechef.com/problems/REACTMCQ103")</f>
        <v/>
      </c>
      <c r="K633" s="4" t="inlineStr"/>
      <c r="L633" s="4" t="inlineStr"/>
      <c r="M633" s="4" t="inlineStr"/>
      <c r="N633" s="4" t="inlineStr">
        <is>
          <t>No</t>
        </is>
      </c>
      <c r="O633" s="4" t="inlineStr">
        <is>
          <t>Unattempted</t>
        </is>
      </c>
    </row>
    <row r="634">
      <c r="A634" s="2" t="inlineStr">
        <is>
          <t>Interview Questions</t>
        </is>
      </c>
      <c r="B634" s="2" t="inlineStr">
        <is>
          <t>React Interview Questions</t>
        </is>
      </c>
      <c r="C634" s="2" t="inlineStr">
        <is>
          <t>Prepare for your React job interview with our list of common questions and answers. Cover key topics from JSX basics to advanced hooks, and boost your confidence for that big day by reading detailed explanations!</t>
        </is>
      </c>
      <c r="D634" s="2" t="inlineStr">
        <is>
          <t>Higher-Order Components (HOCs) - Higher-Order Components (HOCs)</t>
        </is>
      </c>
      <c r="E634" s="2" t="n">
        <v>102</v>
      </c>
      <c r="F634" s="2" t="inlineStr">
        <is>
          <t>HOC Use Case</t>
        </is>
      </c>
      <c r="G634" s="2" t="inlineStr">
        <is>
          <t>REACTMCQ104</t>
        </is>
      </c>
      <c r="H634" s="2" t="inlineStr"/>
      <c r="I634" s="2" t="inlineStr">
        <is>
          <t>Medium</t>
        </is>
      </c>
      <c r="J634" s="3">
        <f>HYPERLINK("https://www.codechef.com/problems/REACTMCQ104", "https://www.codechef.com/problems/REACTMCQ104")</f>
        <v/>
      </c>
      <c r="K634" s="2" t="inlineStr"/>
      <c r="L634" s="2" t="inlineStr"/>
      <c r="M634" s="2" t="inlineStr"/>
      <c r="N634" s="2" t="inlineStr">
        <is>
          <t>No</t>
        </is>
      </c>
      <c r="O634" s="2" t="inlineStr">
        <is>
          <t>Unattempted</t>
        </is>
      </c>
    </row>
    <row r="635">
      <c r="A635" s="4" t="inlineStr">
        <is>
          <t>Interview Questions</t>
        </is>
      </c>
      <c r="B635" s="4" t="inlineStr">
        <is>
          <t>React Interview Questions</t>
        </is>
      </c>
      <c r="C635" s="4" t="inlineStr">
        <is>
          <t>Prepare for your React job interview with our list of common questions and answers. Cover key topics from JSX basics to advanced hooks, and boost your confidence for that big day by reading detailed explanations!</t>
        </is>
      </c>
      <c r="D635" s="4" t="inlineStr">
        <is>
          <t>Higher-Order Components (HOCs) - Higher-Order Components (HOCs)</t>
        </is>
      </c>
      <c r="E635" s="4" t="n">
        <v>103</v>
      </c>
      <c r="F635" s="4" t="inlineStr">
        <is>
          <t>Creating an HOC</t>
        </is>
      </c>
      <c r="G635" s="4" t="inlineStr">
        <is>
          <t>REACTMCQ105</t>
        </is>
      </c>
      <c r="H635" s="4" t="inlineStr"/>
      <c r="I635" s="4" t="inlineStr">
        <is>
          <t>Hard</t>
        </is>
      </c>
      <c r="J635" s="5">
        <f>HYPERLINK("https://www.codechef.com/problems/REACTMCQ105", "https://www.codechef.com/problems/REACTMCQ105")</f>
        <v/>
      </c>
      <c r="K635" s="4" t="inlineStr"/>
      <c r="L635" s="4" t="inlineStr"/>
      <c r="M635" s="4" t="inlineStr"/>
      <c r="N635" s="4" t="inlineStr">
        <is>
          <t>No</t>
        </is>
      </c>
      <c r="O635" s="4" t="inlineStr">
        <is>
          <t>Unattempted</t>
        </is>
      </c>
    </row>
    <row r="636">
      <c r="A636" s="2" t="inlineStr">
        <is>
          <t>Interview Questions</t>
        </is>
      </c>
      <c r="B636" s="2" t="inlineStr">
        <is>
          <t>React Interview Questions</t>
        </is>
      </c>
      <c r="C636" s="2" t="inlineStr">
        <is>
          <t>Prepare for your React job interview with our list of common questions and answers. Cover key topics from JSX basics to advanced hooks, and boost your confidence for that big day by reading detailed explanations!</t>
        </is>
      </c>
      <c r="D636" s="2" t="inlineStr">
        <is>
          <t>Higher-Order Components (HOCs) - Higher-Order Components (HOCs)</t>
        </is>
      </c>
      <c r="E636" s="2" t="n">
        <v>104</v>
      </c>
      <c r="F636" s="2" t="inlineStr">
        <is>
          <t>HOC Naming Convention</t>
        </is>
      </c>
      <c r="G636" s="2" t="inlineStr">
        <is>
          <t>REACTMCQ106</t>
        </is>
      </c>
      <c r="H636" s="2" t="inlineStr"/>
      <c r="I636" s="2" t="inlineStr">
        <is>
          <t>Easy</t>
        </is>
      </c>
      <c r="J636" s="3">
        <f>HYPERLINK("https://www.codechef.com/problems/REACTMCQ106", "https://www.codechef.com/problems/REACTMCQ106")</f>
        <v/>
      </c>
      <c r="K636" s="2" t="inlineStr"/>
      <c r="L636" s="2" t="inlineStr"/>
      <c r="M636" s="2" t="inlineStr"/>
      <c r="N636" s="2" t="inlineStr">
        <is>
          <t>No</t>
        </is>
      </c>
      <c r="O636" s="2" t="inlineStr">
        <is>
          <t>Unattempted</t>
        </is>
      </c>
    </row>
    <row r="637">
      <c r="A637" s="4" t="inlineStr">
        <is>
          <t>Interview Questions</t>
        </is>
      </c>
      <c r="B637" s="4" t="inlineStr">
        <is>
          <t>React Interview Questions</t>
        </is>
      </c>
      <c r="C637" s="4" t="inlineStr">
        <is>
          <t>Prepare for your React job interview with our list of common questions and answers. Cover key topics from JSX basics to advanced hooks, and boost your confidence for that big day by reading detailed explanations!</t>
        </is>
      </c>
      <c r="D637" s="4" t="inlineStr">
        <is>
          <t>Higher-Order Components (HOCs) - Higher-Order Components (HOCs)</t>
        </is>
      </c>
      <c r="E637" s="4" t="n">
        <v>105</v>
      </c>
      <c r="F637" s="4" t="inlineStr">
        <is>
          <t>HOC Composition</t>
        </is>
      </c>
      <c r="G637" s="4" t="inlineStr">
        <is>
          <t>REACTMCQ107</t>
        </is>
      </c>
      <c r="H637" s="4" t="inlineStr"/>
      <c r="I637" s="4" t="inlineStr">
        <is>
          <t>Hard</t>
        </is>
      </c>
      <c r="J637" s="5">
        <f>HYPERLINK("https://www.codechef.com/problems/REACTMCQ107", "https://www.codechef.com/problems/REACTMCQ107")</f>
        <v/>
      </c>
      <c r="K637" s="4" t="inlineStr"/>
      <c r="L637" s="4" t="inlineStr"/>
      <c r="M637" s="4" t="inlineStr"/>
      <c r="N637" s="4" t="inlineStr">
        <is>
          <t>No</t>
        </is>
      </c>
      <c r="O637" s="4" t="inlineStr">
        <is>
          <t>Unattempted</t>
        </is>
      </c>
    </row>
    <row r="638">
      <c r="A638" s="2" t="inlineStr">
        <is>
          <t>Interview Questions</t>
        </is>
      </c>
      <c r="B638" s="2" t="inlineStr">
        <is>
          <t>React Interview Questions</t>
        </is>
      </c>
      <c r="C638" s="2" t="inlineStr">
        <is>
          <t>Prepare for your React job interview with our list of common questions and answers. Cover key topics from JSX basics to advanced hooks, and boost your confidence for that big day by reading detailed explanations!</t>
        </is>
      </c>
      <c r="D638" s="2" t="inlineStr">
        <is>
          <t>Higher-Order Components (HOCs) - Higher-Order Components (HOCs)</t>
        </is>
      </c>
      <c r="E638" s="2" t="n">
        <v>106</v>
      </c>
      <c r="F638" s="2" t="inlineStr">
        <is>
          <t>HOC vs Hooks</t>
        </is>
      </c>
      <c r="G638" s="2" t="inlineStr">
        <is>
          <t>REACTMCQ108</t>
        </is>
      </c>
      <c r="H638" s="2" t="inlineStr"/>
      <c r="I638" s="2" t="inlineStr">
        <is>
          <t>Medium</t>
        </is>
      </c>
      <c r="J638" s="3">
        <f>HYPERLINK("https://www.codechef.com/problems/REACTMCQ108", "https://www.codechef.com/problems/REACTMCQ108")</f>
        <v/>
      </c>
      <c r="K638" s="2" t="inlineStr"/>
      <c r="L638" s="2" t="inlineStr"/>
      <c r="M638" s="2" t="inlineStr"/>
      <c r="N638" s="2" t="inlineStr">
        <is>
          <t>No</t>
        </is>
      </c>
      <c r="O638" s="2" t="inlineStr">
        <is>
          <t>Unattempted</t>
        </is>
      </c>
    </row>
    <row r="639">
      <c r="A639" s="4" t="inlineStr">
        <is>
          <t>Interview Questions</t>
        </is>
      </c>
      <c r="B639" s="4" t="inlineStr">
        <is>
          <t>React Interview Questions</t>
        </is>
      </c>
      <c r="C639" s="4" t="inlineStr">
        <is>
          <t>Prepare for your React job interview with our list of common questions and answers. Cover key topics from JSX basics to advanced hooks, and boost your confidence for that big day by reading detailed explanations!</t>
        </is>
      </c>
      <c r="D639" s="4" t="inlineStr">
        <is>
          <t>Higher-Order Components (HOCs) - Higher-Order Components (HOCs)</t>
        </is>
      </c>
      <c r="E639" s="4" t="n">
        <v>107</v>
      </c>
      <c r="F639" s="4" t="inlineStr">
        <is>
          <t>HOC Pitfall</t>
        </is>
      </c>
      <c r="G639" s="4" t="inlineStr">
        <is>
          <t>REACTMCQ109</t>
        </is>
      </c>
      <c r="H639" s="4" t="inlineStr"/>
      <c r="I639" s="4" t="inlineStr">
        <is>
          <t>Hard</t>
        </is>
      </c>
      <c r="J639" s="5">
        <f>HYPERLINK("https://www.codechef.com/problems/REACTMCQ109", "https://www.codechef.com/problems/REACTMCQ109")</f>
        <v/>
      </c>
      <c r="K639" s="4" t="inlineStr"/>
      <c r="L639" s="4" t="inlineStr"/>
      <c r="M639" s="4" t="inlineStr"/>
      <c r="N639" s="4" t="inlineStr">
        <is>
          <t>No</t>
        </is>
      </c>
      <c r="O639" s="4" t="inlineStr">
        <is>
          <t>Unattempted</t>
        </is>
      </c>
    </row>
    <row r="640">
      <c r="A640" s="2" t="inlineStr">
        <is>
          <t>Interview Questions</t>
        </is>
      </c>
      <c r="B640" s="2" t="inlineStr">
        <is>
          <t>React Interview Questions</t>
        </is>
      </c>
      <c r="C640" s="2" t="inlineStr">
        <is>
          <t>Prepare for your React job interview with our list of common questions and answers. Cover key topics from JSX basics to advanced hooks, and boost your confidence for that big day by reading detailed explanations!</t>
        </is>
      </c>
      <c r="D640" s="2" t="inlineStr">
        <is>
          <t>Higher-Order Components (HOCs) - Higher-Order Components (HOCs)</t>
        </is>
      </c>
      <c r="E640" s="2" t="n">
        <v>108</v>
      </c>
      <c r="F640" s="2" t="inlineStr">
        <is>
          <t>HOC and Ref Forwarding</t>
        </is>
      </c>
      <c r="G640" s="2" t="inlineStr">
        <is>
          <t>REACTMCQ110</t>
        </is>
      </c>
      <c r="H640" s="2" t="inlineStr"/>
      <c r="I640" s="2" t="inlineStr">
        <is>
          <t>Hard</t>
        </is>
      </c>
      <c r="J640" s="3">
        <f>HYPERLINK("https://www.codechef.com/problems/REACTMCQ110", "https://www.codechef.com/problems/REACTMCQ110")</f>
        <v/>
      </c>
      <c r="K640" s="2" t="inlineStr"/>
      <c r="L640" s="2" t="inlineStr"/>
      <c r="M640" s="2" t="inlineStr"/>
      <c r="N640" s="2" t="inlineStr">
        <is>
          <t>No</t>
        </is>
      </c>
      <c r="O640" s="2" t="inlineStr">
        <is>
          <t>Unattempted</t>
        </is>
      </c>
    </row>
    <row r="641">
      <c r="A641" s="4" t="inlineStr">
        <is>
          <t>Interview Questions</t>
        </is>
      </c>
      <c r="B641" s="4" t="inlineStr">
        <is>
          <t>React Interview Questions</t>
        </is>
      </c>
      <c r="C641" s="4" t="inlineStr">
        <is>
          <t>Prepare for your React job interview with our list of common questions and answers. Cover key topics from JSX basics to advanced hooks, and boost your confidence for that big day by reading detailed explanations!</t>
        </is>
      </c>
      <c r="D641" s="4" t="inlineStr">
        <is>
          <t>Higher-Order Components (HOCs) - Higher-Order Components (HOCs)</t>
        </is>
      </c>
      <c r="E641" s="4" t="n">
        <v>109</v>
      </c>
      <c r="F641" s="4" t="inlineStr">
        <is>
          <t>HOC and Static Methods</t>
        </is>
      </c>
      <c r="G641" s="4" t="inlineStr">
        <is>
          <t>REACTMCQ111</t>
        </is>
      </c>
      <c r="H641" s="4" t="inlineStr"/>
      <c r="I641" s="4" t="inlineStr">
        <is>
          <t>Hard</t>
        </is>
      </c>
      <c r="J641" s="5">
        <f>HYPERLINK("https://www.codechef.com/problems/REACTMCQ111", "https://www.codechef.com/problems/REACTMCQ111")</f>
        <v/>
      </c>
      <c r="K641" s="4" t="inlineStr"/>
      <c r="L641" s="4" t="inlineStr"/>
      <c r="M641" s="4" t="inlineStr"/>
      <c r="N641" s="4" t="inlineStr">
        <is>
          <t>No</t>
        </is>
      </c>
      <c r="O641" s="4" t="inlineStr">
        <is>
          <t>Unattempted</t>
        </is>
      </c>
    </row>
    <row r="642">
      <c r="A642" s="2" t="inlineStr">
        <is>
          <t>Interview Questions</t>
        </is>
      </c>
      <c r="B642" s="2" t="inlineStr">
        <is>
          <t>React Interview Questions</t>
        </is>
      </c>
      <c r="C642" s="2" t="inlineStr">
        <is>
          <t>Prepare for your React job interview with our list of common questions and answers. Cover key topics from JSX basics to advanced hooks, and boost your confidence for that big day by reading detailed explanations!</t>
        </is>
      </c>
      <c r="D642" s="2" t="inlineStr">
        <is>
          <t>Higher-Order Components (HOCs) - Higher-Order Components (HOCs)</t>
        </is>
      </c>
      <c r="E642" s="2" t="n">
        <v>110</v>
      </c>
      <c r="F642" s="2" t="inlineStr">
        <is>
          <t>HOC and Component Display Name</t>
        </is>
      </c>
      <c r="G642" s="2" t="inlineStr">
        <is>
          <t>REACTMCQ112</t>
        </is>
      </c>
      <c r="H642" s="2" t="inlineStr"/>
      <c r="I642" s="2" t="inlineStr">
        <is>
          <t>Medium</t>
        </is>
      </c>
      <c r="J642" s="3">
        <f>HYPERLINK("https://www.codechef.com/problems/REACTMCQ112", "https://www.codechef.com/problems/REACTMCQ112")</f>
        <v/>
      </c>
      <c r="K642" s="2" t="inlineStr"/>
      <c r="L642" s="2" t="inlineStr"/>
      <c r="M642" s="2" t="inlineStr"/>
      <c r="N642" s="2" t="inlineStr">
        <is>
          <t>No</t>
        </is>
      </c>
      <c r="O642" s="2" t="inlineStr">
        <is>
          <t>Unattempted</t>
        </is>
      </c>
    </row>
    <row r="643">
      <c r="A643" s="4" t="inlineStr">
        <is>
          <t>Interview Questions</t>
        </is>
      </c>
      <c r="B643" s="4" t="inlineStr">
        <is>
          <t>React Interview Questions</t>
        </is>
      </c>
      <c r="C643" s="4" t="inlineStr">
        <is>
          <t>Prepare for your React job interview with our list of common questions and answers. Cover key topics from JSX basics to advanced hooks, and boost your confidence for that big day by reading detailed explanations!</t>
        </is>
      </c>
      <c r="D643" s="4" t="inlineStr">
        <is>
          <t>Render props - Render props</t>
        </is>
      </c>
      <c r="E643" s="4" t="n">
        <v>111</v>
      </c>
      <c r="F643" s="4" t="inlineStr">
        <is>
          <t>Render Prop Definition</t>
        </is>
      </c>
      <c r="G643" s="4" t="inlineStr">
        <is>
          <t>REACTMCQ113</t>
        </is>
      </c>
      <c r="H643" s="4" t="inlineStr"/>
      <c r="I643" s="4" t="inlineStr">
        <is>
          <t>Medium</t>
        </is>
      </c>
      <c r="J643" s="5">
        <f>HYPERLINK("https://www.codechef.com/problems/REACTMCQ113", "https://www.codechef.com/problems/REACTMCQ113")</f>
        <v/>
      </c>
      <c r="K643" s="4" t="inlineStr"/>
      <c r="L643" s="4" t="inlineStr"/>
      <c r="M643" s="4" t="inlineStr"/>
      <c r="N643" s="4" t="inlineStr">
        <is>
          <t>No</t>
        </is>
      </c>
      <c r="O643" s="4" t="inlineStr">
        <is>
          <t>Unattempted</t>
        </is>
      </c>
    </row>
    <row r="644">
      <c r="A644" s="2" t="inlineStr">
        <is>
          <t>Interview Questions</t>
        </is>
      </c>
      <c r="B644" s="2" t="inlineStr">
        <is>
          <t>React Interview Questions</t>
        </is>
      </c>
      <c r="C644" s="2" t="inlineStr">
        <is>
          <t>Prepare for your React job interview with our list of common questions and answers. Cover key topics from JSX basics to advanced hooks, and boost your confidence for that big day by reading detailed explanations!</t>
        </is>
      </c>
      <c r="D644" s="2" t="inlineStr">
        <is>
          <t>Render props - Render props</t>
        </is>
      </c>
      <c r="E644" s="2" t="n">
        <v>112</v>
      </c>
      <c r="F644" s="2" t="inlineStr">
        <is>
          <t>Render Prop Implementation</t>
        </is>
      </c>
      <c r="G644" s="2" t="inlineStr">
        <is>
          <t>REACTMCQ114</t>
        </is>
      </c>
      <c r="H644" s="2" t="inlineStr"/>
      <c r="I644" s="2" t="inlineStr">
        <is>
          <t>Medium</t>
        </is>
      </c>
      <c r="J644" s="3">
        <f>HYPERLINK("https://www.codechef.com/problems/REACTMCQ114", "https://www.codechef.com/problems/REACTMCQ114")</f>
        <v/>
      </c>
      <c r="K644" s="2" t="inlineStr"/>
      <c r="L644" s="2" t="inlineStr"/>
      <c r="M644" s="2" t="inlineStr"/>
      <c r="N644" s="2" t="inlineStr">
        <is>
          <t>No</t>
        </is>
      </c>
      <c r="O644" s="2" t="inlineStr">
        <is>
          <t>Unattempted</t>
        </is>
      </c>
    </row>
    <row r="645">
      <c r="A645" s="4" t="inlineStr">
        <is>
          <t>Interview Questions</t>
        </is>
      </c>
      <c r="B645" s="4" t="inlineStr">
        <is>
          <t>React Interview Questions</t>
        </is>
      </c>
      <c r="C645" s="4" t="inlineStr">
        <is>
          <t>Prepare for your React job interview with our list of common questions and answers. Cover key topics from JSX basics to advanced hooks, and boost your confidence for that big day by reading detailed explanations!</t>
        </is>
      </c>
      <c r="D645" s="4" t="inlineStr">
        <is>
          <t>Render props - Render props</t>
        </is>
      </c>
      <c r="E645" s="4" t="n">
        <v>113</v>
      </c>
      <c r="F645" s="4" t="inlineStr">
        <is>
          <t>Render Prop vs HOC</t>
        </is>
      </c>
      <c r="G645" s="4" t="inlineStr">
        <is>
          <t>REACTMCQ115</t>
        </is>
      </c>
      <c r="H645" s="4" t="inlineStr"/>
      <c r="I645" s="4" t="inlineStr">
        <is>
          <t>Medium</t>
        </is>
      </c>
      <c r="J645" s="5">
        <f>HYPERLINK("https://www.codechef.com/problems/REACTMCQ115", "https://www.codechef.com/problems/REACTMCQ115")</f>
        <v/>
      </c>
      <c r="K645" s="4" t="inlineStr"/>
      <c r="L645" s="4" t="inlineStr"/>
      <c r="M645" s="4" t="inlineStr"/>
      <c r="N645" s="4" t="inlineStr">
        <is>
          <t>No</t>
        </is>
      </c>
      <c r="O645" s="4" t="inlineStr">
        <is>
          <t>Unattempted</t>
        </is>
      </c>
    </row>
    <row r="646">
      <c r="A646" s="2" t="inlineStr">
        <is>
          <t>Interview Questions</t>
        </is>
      </c>
      <c r="B646" s="2" t="inlineStr">
        <is>
          <t>React Interview Questions</t>
        </is>
      </c>
      <c r="C646" s="2" t="inlineStr">
        <is>
          <t>Prepare for your React job interview with our list of common questions and answers. Cover key topics from JSX basics to advanced hooks, and boost your confidence for that big day by reading detailed explanations!</t>
        </is>
      </c>
      <c r="D646" s="2" t="inlineStr">
        <is>
          <t>Render props - Render props</t>
        </is>
      </c>
      <c r="E646" s="2" t="n">
        <v>114</v>
      </c>
      <c r="F646" s="2" t="inlineStr">
        <is>
          <t>Children as a Function</t>
        </is>
      </c>
      <c r="G646" s="2" t="inlineStr">
        <is>
          <t>REACTMCQ116</t>
        </is>
      </c>
      <c r="H646" s="2" t="inlineStr"/>
      <c r="I646" s="2" t="inlineStr">
        <is>
          <t>Medium</t>
        </is>
      </c>
      <c r="J646" s="3">
        <f>HYPERLINK("https://www.codechef.com/problems/REACTMCQ116", "https://www.codechef.com/problems/REACTMCQ116")</f>
        <v/>
      </c>
      <c r="K646" s="2" t="inlineStr"/>
      <c r="L646" s="2" t="inlineStr"/>
      <c r="M646" s="2" t="inlineStr"/>
      <c r="N646" s="2" t="inlineStr">
        <is>
          <t>No</t>
        </is>
      </c>
      <c r="O646" s="2" t="inlineStr">
        <is>
          <t>Unattempted</t>
        </is>
      </c>
    </row>
    <row r="647">
      <c r="A647" s="4" t="inlineStr">
        <is>
          <t>Interview Questions</t>
        </is>
      </c>
      <c r="B647" s="4" t="inlineStr">
        <is>
          <t>React Interview Questions</t>
        </is>
      </c>
      <c r="C647" s="4" t="inlineStr">
        <is>
          <t>Prepare for your React job interview with our list of common questions and answers. Cover key topics from JSX basics to advanced hooks, and boost your confidence for that big day by reading detailed explanations!</t>
        </is>
      </c>
      <c r="D647" s="4" t="inlineStr">
        <is>
          <t>Render props - Render props</t>
        </is>
      </c>
      <c r="E647" s="4" t="n">
        <v>115</v>
      </c>
      <c r="F647" s="4" t="inlineStr">
        <is>
          <t>Code Reuse with Render Props</t>
        </is>
      </c>
      <c r="G647" s="4" t="inlineStr">
        <is>
          <t>REACTMCQ117</t>
        </is>
      </c>
      <c r="H647" s="4" t="inlineStr"/>
      <c r="I647" s="4" t="inlineStr">
        <is>
          <t>Medium</t>
        </is>
      </c>
      <c r="J647" s="5">
        <f>HYPERLINK("https://www.codechef.com/problems/REACTMCQ117", "https://www.codechef.com/problems/REACTMCQ117")</f>
        <v/>
      </c>
      <c r="K647" s="4" t="inlineStr"/>
      <c r="L647" s="4" t="inlineStr"/>
      <c r="M647" s="4" t="inlineStr"/>
      <c r="N647" s="4" t="inlineStr">
        <is>
          <t>No</t>
        </is>
      </c>
      <c r="O647" s="4" t="inlineStr">
        <is>
          <t>Unattempted</t>
        </is>
      </c>
    </row>
    <row r="648">
      <c r="A648" s="2" t="inlineStr">
        <is>
          <t>Interview Questions</t>
        </is>
      </c>
      <c r="B648" s="2" t="inlineStr">
        <is>
          <t>React Interview Questions</t>
        </is>
      </c>
      <c r="C648" s="2" t="inlineStr">
        <is>
          <t>Prepare for your React job interview with our list of common questions and answers. Cover key topics from JSX basics to advanced hooks, and boost your confidence for that big day by reading detailed explanations!</t>
        </is>
      </c>
      <c r="D648" s="2" t="inlineStr">
        <is>
          <t>Render props - Render props</t>
        </is>
      </c>
      <c r="E648" s="2" t="n">
        <v>116</v>
      </c>
      <c r="F648" s="2" t="inlineStr">
        <is>
          <t>Render Prop Performance</t>
        </is>
      </c>
      <c r="G648" s="2" t="inlineStr">
        <is>
          <t>REACTMCQ118</t>
        </is>
      </c>
      <c r="H648" s="2" t="inlineStr"/>
      <c r="I648" s="2" t="inlineStr">
        <is>
          <t>Medium</t>
        </is>
      </c>
      <c r="J648" s="3">
        <f>HYPERLINK("https://www.codechef.com/problems/REACTMCQ118", "https://www.codechef.com/problems/REACTMCQ118")</f>
        <v/>
      </c>
      <c r="K648" s="2" t="inlineStr"/>
      <c r="L648" s="2" t="inlineStr"/>
      <c r="M648" s="2" t="inlineStr"/>
      <c r="N648" s="2" t="inlineStr">
        <is>
          <t>No</t>
        </is>
      </c>
      <c r="O648" s="2" t="inlineStr">
        <is>
          <t>Unattempted</t>
        </is>
      </c>
    </row>
    <row r="649">
      <c r="A649" s="4" t="inlineStr">
        <is>
          <t>Interview Questions</t>
        </is>
      </c>
      <c r="B649" s="4" t="inlineStr">
        <is>
          <t>React Interview Questions</t>
        </is>
      </c>
      <c r="C649" s="4" t="inlineStr">
        <is>
          <t>Prepare for your React job interview with our list of common questions and answers. Cover key topics from JSX basics to advanced hooks, and boost your confidence for that big day by reading detailed explanations!</t>
        </is>
      </c>
      <c r="D649" s="4" t="inlineStr">
        <is>
          <t>Render props - Render props</t>
        </is>
      </c>
      <c r="E649" s="4" t="n">
        <v>117</v>
      </c>
      <c r="F649" s="4" t="inlineStr">
        <is>
          <t>Render Props and Context</t>
        </is>
      </c>
      <c r="G649" s="4" t="inlineStr">
        <is>
          <t>REACTMCQ119</t>
        </is>
      </c>
      <c r="H649" s="4" t="inlineStr"/>
      <c r="I649" s="4" t="inlineStr">
        <is>
          <t>Hard</t>
        </is>
      </c>
      <c r="J649" s="5">
        <f>HYPERLINK("https://www.codechef.com/problems/REACTMCQ119", "https://www.codechef.com/problems/REACTMCQ119")</f>
        <v/>
      </c>
      <c r="K649" s="4" t="inlineStr"/>
      <c r="L649" s="4" t="inlineStr"/>
      <c r="M649" s="4" t="inlineStr"/>
      <c r="N649" s="4" t="inlineStr">
        <is>
          <t>No</t>
        </is>
      </c>
      <c r="O649" s="4" t="inlineStr">
        <is>
          <t>Unattempted</t>
        </is>
      </c>
    </row>
    <row r="650">
      <c r="A650" s="2" t="inlineStr">
        <is>
          <t>Interview Questions</t>
        </is>
      </c>
      <c r="B650" s="2" t="inlineStr">
        <is>
          <t>React Interview Questions</t>
        </is>
      </c>
      <c r="C650" s="2" t="inlineStr">
        <is>
          <t>Prepare for your React job interview with our list of common questions and answers. Cover key topics from JSX basics to advanced hooks, and boost your confidence for that big day by reading detailed explanations!</t>
        </is>
      </c>
      <c r="D650" s="2" t="inlineStr">
        <is>
          <t>Render props - Render props</t>
        </is>
      </c>
      <c r="E650" s="2" t="n">
        <v>118</v>
      </c>
      <c r="F650" s="2" t="inlineStr">
        <is>
          <t>Render Props and Hooks</t>
        </is>
      </c>
      <c r="G650" s="2" t="inlineStr">
        <is>
          <t>REACTMCQ120</t>
        </is>
      </c>
      <c r="H650" s="2" t="inlineStr"/>
      <c r="I650" s="2" t="inlineStr">
        <is>
          <t>Medium</t>
        </is>
      </c>
      <c r="J650" s="3">
        <f>HYPERLINK("https://www.codechef.com/problems/REACTMCQ120", "https://www.codechef.com/problems/REACTMCQ120")</f>
        <v/>
      </c>
      <c r="K650" s="2" t="inlineStr"/>
      <c r="L650" s="2" t="inlineStr"/>
      <c r="M650" s="2" t="inlineStr"/>
      <c r="N650" s="2" t="inlineStr">
        <is>
          <t>No</t>
        </is>
      </c>
      <c r="O650" s="2" t="inlineStr">
        <is>
          <t>Unattempted</t>
        </is>
      </c>
    </row>
    <row r="651">
      <c r="A651" s="4" t="inlineStr">
        <is>
          <t>Interview Questions</t>
        </is>
      </c>
      <c r="B651" s="4" t="inlineStr">
        <is>
          <t>Data Structures Interview Questions</t>
        </is>
      </c>
      <c r="C651" s="4" t="inlineStr">
        <is>
          <t>Prepare yourselves for technical interview with a carefully curated set of problems that appeared in companies like Google, Facebook, Amazon, Microsoft, Adobe, Flipkart, OLX Group, Walmart Labs, eBay, Ola, LinkedIn &amp; more</t>
        </is>
      </c>
      <c r="D651" s="4" t="inlineStr">
        <is>
          <t>Basic programming - 1 - Basic programming-1</t>
        </is>
      </c>
      <c r="E651" s="4" t="n">
        <v>1</v>
      </c>
      <c r="F651" s="4" t="inlineStr">
        <is>
          <t>Defeat The Monster 1</t>
        </is>
      </c>
      <c r="G651" s="4" t="inlineStr">
        <is>
          <t>MONSTER1</t>
        </is>
      </c>
      <c r="H651" s="4" t="inlineStr"/>
      <c r="I651" s="4" t="inlineStr">
        <is>
          <t>Easy</t>
        </is>
      </c>
      <c r="J651" s="5">
        <f>HYPERLINK("https://www.codechef.com/problems/MONSTER1", "https://www.codechef.com/problems/MONSTER1")</f>
        <v/>
      </c>
      <c r="K651" s="4" t="inlineStr"/>
      <c r="L651" s="4" t="inlineStr"/>
      <c r="M651" s="4" t="inlineStr"/>
      <c r="N651" s="4" t="inlineStr">
        <is>
          <t>No</t>
        </is>
      </c>
      <c r="O651" s="4" t="inlineStr">
        <is>
          <t>Unattempted</t>
        </is>
      </c>
    </row>
    <row r="652">
      <c r="A652" s="2" t="inlineStr">
        <is>
          <t>Interview Questions</t>
        </is>
      </c>
      <c r="B652" s="2" t="inlineStr">
        <is>
          <t>Data Structures Interview Questions</t>
        </is>
      </c>
      <c r="C652" s="2" t="inlineStr">
        <is>
          <t>Prepare yourselves for technical interview with a carefully curated set of problems that appeared in companies like Google, Facebook, Amazon, Microsoft, Adobe, Flipkart, OLX Group, Walmart Labs, eBay, Ola, LinkedIn &amp; more</t>
        </is>
      </c>
      <c r="D652" s="2" t="inlineStr">
        <is>
          <t>Basic programming - 1 - Basic programming-1</t>
        </is>
      </c>
      <c r="E652" s="2" t="n">
        <v>2</v>
      </c>
      <c r="F652" s="2" t="inlineStr">
        <is>
          <t>Attack on Kingdom</t>
        </is>
      </c>
      <c r="G652" s="2" t="inlineStr">
        <is>
          <t>KNGATK</t>
        </is>
      </c>
      <c r="H652" s="2" t="inlineStr"/>
      <c r="I652" s="2" t="inlineStr">
        <is>
          <t>Easy</t>
        </is>
      </c>
      <c r="J652" s="3">
        <f>HYPERLINK("https://www.codechef.com/problems/KNGATK", "https://www.codechef.com/problems/KNGATK")</f>
        <v/>
      </c>
      <c r="K652" s="2" t="inlineStr"/>
      <c r="L652" s="2" t="inlineStr"/>
      <c r="M652" s="2" t="inlineStr"/>
      <c r="N652" s="2" t="inlineStr">
        <is>
          <t>No</t>
        </is>
      </c>
      <c r="O652" s="2" t="inlineStr">
        <is>
          <t>Unattempted</t>
        </is>
      </c>
    </row>
    <row r="653">
      <c r="A653" s="4" t="inlineStr">
        <is>
          <t>Interview Questions</t>
        </is>
      </c>
      <c r="B653" s="4" t="inlineStr">
        <is>
          <t>Data Structures Interview Questions</t>
        </is>
      </c>
      <c r="C653" s="4" t="inlineStr">
        <is>
          <t>Prepare yourselves for technical interview with a carefully curated set of problems that appeared in companies like Google, Facebook, Amazon, Microsoft, Adobe, Flipkart, OLX Group, Walmart Labs, eBay, Ola, LinkedIn &amp; more</t>
        </is>
      </c>
      <c r="D653" s="4" t="inlineStr">
        <is>
          <t>Basic programming - 1 - Basic programming-1</t>
        </is>
      </c>
      <c r="E653" s="4" t="n">
        <v>3</v>
      </c>
      <c r="F653" s="4" t="inlineStr">
        <is>
          <t>Three Number Expression</t>
        </is>
      </c>
      <c r="G653" s="4" t="inlineStr">
        <is>
          <t>EXPRESSION_3</t>
        </is>
      </c>
      <c r="H653" s="4" t="inlineStr"/>
      <c r="I653" s="4" t="inlineStr">
        <is>
          <t>Easy</t>
        </is>
      </c>
      <c r="J653" s="5">
        <f>HYPERLINK("https://www.codechef.com/problems/EXPRESSION_3", "https://www.codechef.com/problems/EXPRESSION_3")</f>
        <v/>
      </c>
      <c r="K653" s="4" t="inlineStr"/>
      <c r="L653" s="4" t="inlineStr"/>
      <c r="M653" s="4" t="inlineStr"/>
      <c r="N653" s="4" t="inlineStr">
        <is>
          <t>No</t>
        </is>
      </c>
      <c r="O653" s="4" t="inlineStr">
        <is>
          <t>Unattempted</t>
        </is>
      </c>
    </row>
    <row r="654">
      <c r="A654" s="2" t="inlineStr">
        <is>
          <t>Interview Questions</t>
        </is>
      </c>
      <c r="B654" s="2" t="inlineStr">
        <is>
          <t>Data Structures Interview Questions</t>
        </is>
      </c>
      <c r="C654" s="2" t="inlineStr">
        <is>
          <t>Prepare yourselves for technical interview with a carefully curated set of problems that appeared in companies like Google, Facebook, Amazon, Microsoft, Adobe, Flipkart, OLX Group, Walmart Labs, eBay, Ola, LinkedIn &amp; more</t>
        </is>
      </c>
      <c r="D654" s="2" t="inlineStr">
        <is>
          <t>Basic programming - 1 - Basic programming-1</t>
        </is>
      </c>
      <c r="E654" s="2" t="n">
        <v>4</v>
      </c>
      <c r="F654" s="2" t="inlineStr">
        <is>
          <t>Lucky Number</t>
        </is>
      </c>
      <c r="G654" s="2" t="inlineStr">
        <is>
          <t>LUCNUM</t>
        </is>
      </c>
      <c r="H654" s="2" t="inlineStr"/>
      <c r="I654" s="2" t="inlineStr">
        <is>
          <t>Easy</t>
        </is>
      </c>
      <c r="J654" s="3">
        <f>HYPERLINK("https://www.codechef.com/problems/LUCNUM", "https://www.codechef.com/problems/LUCNUM")</f>
        <v/>
      </c>
      <c r="K654" s="2" t="inlineStr"/>
      <c r="L654" s="2" t="inlineStr"/>
      <c r="M654" s="2" t="inlineStr"/>
      <c r="N654" s="2" t="inlineStr">
        <is>
          <t>No</t>
        </is>
      </c>
      <c r="O654" s="2" t="inlineStr">
        <is>
          <t>Unattempted</t>
        </is>
      </c>
    </row>
    <row r="655">
      <c r="A655" s="4" t="inlineStr">
        <is>
          <t>Interview Questions</t>
        </is>
      </c>
      <c r="B655" s="4" t="inlineStr">
        <is>
          <t>Data Structures Interview Questions</t>
        </is>
      </c>
      <c r="C655" s="4" t="inlineStr">
        <is>
          <t>Prepare yourselves for technical interview with a carefully curated set of problems that appeared in companies like Google, Facebook, Amazon, Microsoft, Adobe, Flipkart, OLX Group, Walmart Labs, eBay, Ola, LinkedIn &amp; more</t>
        </is>
      </c>
      <c r="D655" s="4" t="inlineStr">
        <is>
          <t>Basic programming - 1 - Basic programming-1</t>
        </is>
      </c>
      <c r="E655" s="4" t="n">
        <v>5</v>
      </c>
      <c r="F655" s="4" t="inlineStr">
        <is>
          <t>Pixel Damage</t>
        </is>
      </c>
      <c r="G655" s="4" t="inlineStr">
        <is>
          <t>PIXDAM</t>
        </is>
      </c>
      <c r="H655" s="4" t="inlineStr"/>
      <c r="I655" s="4" t="inlineStr">
        <is>
          <t>Easy</t>
        </is>
      </c>
      <c r="J655" s="5">
        <f>HYPERLINK("https://www.codechef.com/problems/PIXDAM", "https://www.codechef.com/problems/PIXDAM")</f>
        <v/>
      </c>
      <c r="K655" s="4" t="inlineStr"/>
      <c r="L655" s="4" t="inlineStr"/>
      <c r="M655" s="4" t="inlineStr"/>
      <c r="N655" s="4" t="inlineStr">
        <is>
          <t>No</t>
        </is>
      </c>
      <c r="O655" s="4" t="inlineStr">
        <is>
          <t>Unattempted</t>
        </is>
      </c>
    </row>
    <row r="656">
      <c r="A656" s="2" t="inlineStr">
        <is>
          <t>Interview Questions</t>
        </is>
      </c>
      <c r="B656" s="2" t="inlineStr">
        <is>
          <t>Data Structures Interview Questions</t>
        </is>
      </c>
      <c r="C656" s="2" t="inlineStr">
        <is>
          <t>Prepare yourselves for technical interview with a carefully curated set of problems that appeared in companies like Google, Facebook, Amazon, Microsoft, Adobe, Flipkart, OLX Group, Walmart Labs, eBay, Ola, LinkedIn &amp; more</t>
        </is>
      </c>
      <c r="D656" s="2" t="inlineStr">
        <is>
          <t>Basic programming - 1 - Basic programming-1</t>
        </is>
      </c>
      <c r="E656" s="2" t="n">
        <v>6</v>
      </c>
      <c r="F656" s="2" t="inlineStr">
        <is>
          <t>Emotional Proximity</t>
        </is>
      </c>
      <c r="G656" s="2" t="inlineStr">
        <is>
          <t>EMPR</t>
        </is>
      </c>
      <c r="H656" s="2" t="inlineStr"/>
      <c r="I656" s="2" t="inlineStr">
        <is>
          <t>Easy</t>
        </is>
      </c>
      <c r="J656" s="3">
        <f>HYPERLINK("https://www.codechef.com/problems/EMPR", "https://www.codechef.com/problems/EMPR")</f>
        <v/>
      </c>
      <c r="K656" s="2" t="inlineStr"/>
      <c r="L656" s="2" t="inlineStr"/>
      <c r="M656" s="2" t="inlineStr"/>
      <c r="N656" s="2" t="inlineStr">
        <is>
          <t>No</t>
        </is>
      </c>
      <c r="O656" s="2" t="inlineStr">
        <is>
          <t>Unattempted</t>
        </is>
      </c>
    </row>
    <row r="657">
      <c r="A657" s="4" t="inlineStr">
        <is>
          <t>Interview Questions</t>
        </is>
      </c>
      <c r="B657" s="4" t="inlineStr">
        <is>
          <t>Data Structures Interview Questions</t>
        </is>
      </c>
      <c r="C657" s="4" t="inlineStr">
        <is>
          <t>Prepare yourselves for technical interview with a carefully curated set of problems that appeared in companies like Google, Facebook, Amazon, Microsoft, Adobe, Flipkart, OLX Group, Walmart Labs, eBay, Ola, LinkedIn &amp; more</t>
        </is>
      </c>
      <c r="D657" s="4" t="inlineStr">
        <is>
          <t>Basic programming - 1 - Basic programming-1</t>
        </is>
      </c>
      <c r="E657" s="4" t="n">
        <v>7</v>
      </c>
      <c r="F657" s="4" t="inlineStr">
        <is>
          <t>Color the Cube</t>
        </is>
      </c>
      <c r="G657" s="4" t="inlineStr">
        <is>
          <t>COLOR8TEST</t>
        </is>
      </c>
      <c r="H657" s="4" t="inlineStr"/>
      <c r="I657" s="4" t="inlineStr">
        <is>
          <t>Easy</t>
        </is>
      </c>
      <c r="J657" s="5">
        <f>HYPERLINK("https://www.codechef.com/problems/COLOR8TEST", "https://www.codechef.com/problems/COLOR8TEST")</f>
        <v/>
      </c>
      <c r="K657" s="4" t="inlineStr"/>
      <c r="L657" s="4" t="inlineStr"/>
      <c r="M657" s="4" t="inlineStr"/>
      <c r="N657" s="4" t="inlineStr">
        <is>
          <t>No</t>
        </is>
      </c>
      <c r="O657" s="4" t="inlineStr">
        <is>
          <t>Unattempted</t>
        </is>
      </c>
    </row>
    <row r="658">
      <c r="A658" s="2" t="inlineStr">
        <is>
          <t>Interview Questions</t>
        </is>
      </c>
      <c r="B658" s="2" t="inlineStr">
        <is>
          <t>Data Structures Interview Questions</t>
        </is>
      </c>
      <c r="C658" s="2" t="inlineStr">
        <is>
          <t>Prepare yourselves for technical interview with a carefully curated set of problems that appeared in companies like Google, Facebook, Amazon, Microsoft, Adobe, Flipkart, OLX Group, Walmart Labs, eBay, Ola, LinkedIn &amp; more</t>
        </is>
      </c>
      <c r="D658" s="2" t="inlineStr">
        <is>
          <t>Basic programming - 1 - Basic programming-1</t>
        </is>
      </c>
      <c r="E658" s="2" t="n">
        <v>8</v>
      </c>
      <c r="F658" s="2" t="inlineStr">
        <is>
          <t>Taxi Cost</t>
        </is>
      </c>
      <c r="G658" s="2" t="inlineStr">
        <is>
          <t>RAIN8TEST</t>
        </is>
      </c>
      <c r="H658" s="2" t="inlineStr"/>
      <c r="I658" s="2" t="inlineStr">
        <is>
          <t>Easy</t>
        </is>
      </c>
      <c r="J658" s="3">
        <f>HYPERLINK("https://www.codechef.com/problems/RAIN8TEST", "https://www.codechef.com/problems/RAIN8TEST")</f>
        <v/>
      </c>
      <c r="K658" s="2" t="inlineStr"/>
      <c r="L658" s="2" t="inlineStr"/>
      <c r="M658" s="2" t="inlineStr"/>
      <c r="N658" s="2" t="inlineStr">
        <is>
          <t>No</t>
        </is>
      </c>
      <c r="O658" s="2" t="inlineStr">
        <is>
          <t>Unattempted</t>
        </is>
      </c>
    </row>
    <row r="659">
      <c r="A659" s="4" t="inlineStr">
        <is>
          <t>Interview Questions</t>
        </is>
      </c>
      <c r="B659" s="4" t="inlineStr">
        <is>
          <t>Data Structures Interview Questions</t>
        </is>
      </c>
      <c r="C659" s="4" t="inlineStr">
        <is>
          <t>Prepare yourselves for technical interview with a carefully curated set of problems that appeared in companies like Google, Facebook, Amazon, Microsoft, Adobe, Flipkart, OLX Group, Walmart Labs, eBay, Ola, LinkedIn &amp; more</t>
        </is>
      </c>
      <c r="D659" s="4" t="inlineStr">
        <is>
          <t>Basic programming - 1 - Basic programming-1</t>
        </is>
      </c>
      <c r="E659" s="4" t="n">
        <v>9</v>
      </c>
      <c r="F659" s="4" t="inlineStr">
        <is>
          <t>Number of Rectangles</t>
        </is>
      </c>
      <c r="G659" s="4" t="inlineStr">
        <is>
          <t>NUMREC</t>
        </is>
      </c>
      <c r="H659" s="4" t="inlineStr"/>
      <c r="I659" s="4" t="inlineStr">
        <is>
          <t>Medium</t>
        </is>
      </c>
      <c r="J659" s="5">
        <f>HYPERLINK("https://www.codechef.com/problems/NUMREC", "https://www.codechef.com/problems/NUMREC")</f>
        <v/>
      </c>
      <c r="K659" s="4" t="inlineStr"/>
      <c r="L659" s="4" t="inlineStr"/>
      <c r="M659" s="4" t="inlineStr"/>
      <c r="N659" s="4" t="inlineStr">
        <is>
          <t>No</t>
        </is>
      </c>
      <c r="O659" s="4" t="inlineStr">
        <is>
          <t>Unattempted</t>
        </is>
      </c>
    </row>
    <row r="660">
      <c r="A660" s="2" t="inlineStr">
        <is>
          <t>Interview Questions</t>
        </is>
      </c>
      <c r="B660" s="2" t="inlineStr">
        <is>
          <t>Data Structures Interview Questions</t>
        </is>
      </c>
      <c r="C660" s="2" t="inlineStr">
        <is>
          <t>Prepare yourselves for technical interview with a carefully curated set of problems that appeared in companies like Google, Facebook, Amazon, Microsoft, Adobe, Flipkart, OLX Group, Walmart Labs, eBay, Ola, LinkedIn &amp; more</t>
        </is>
      </c>
      <c r="D660" s="2" t="inlineStr">
        <is>
          <t>Basic programming - 1 - Basic programming-1</t>
        </is>
      </c>
      <c r="E660" s="2" t="n">
        <v>10</v>
      </c>
      <c r="F660" s="2" t="inlineStr">
        <is>
          <t>Power M divisibility by 7</t>
        </is>
      </c>
      <c r="G660" s="2" t="inlineStr">
        <is>
          <t>PMD7</t>
        </is>
      </c>
      <c r="H660" s="2" t="inlineStr"/>
      <c r="I660" s="2" t="inlineStr">
        <is>
          <t>Medium</t>
        </is>
      </c>
      <c r="J660" s="3">
        <f>HYPERLINK("https://www.codechef.com/problems/PMD7", "https://www.codechef.com/problems/PMD7")</f>
        <v/>
      </c>
      <c r="K660" s="2" t="inlineStr"/>
      <c r="L660" s="2" t="inlineStr"/>
      <c r="M660" s="2" t="inlineStr"/>
      <c r="N660" s="2" t="inlineStr">
        <is>
          <t>No</t>
        </is>
      </c>
      <c r="O660" s="2" t="inlineStr">
        <is>
          <t>Unattempted</t>
        </is>
      </c>
    </row>
    <row r="661">
      <c r="A661" s="4" t="inlineStr">
        <is>
          <t>Interview Questions</t>
        </is>
      </c>
      <c r="B661" s="4" t="inlineStr">
        <is>
          <t>Data Structures Interview Questions</t>
        </is>
      </c>
      <c r="C661" s="4" t="inlineStr">
        <is>
          <t>Prepare yourselves for technical interview with a carefully curated set of problems that appeared in companies like Google, Facebook, Amazon, Microsoft, Adobe, Flipkart, OLX Group, Walmart Labs, eBay, Ola, LinkedIn &amp; more</t>
        </is>
      </c>
      <c r="D661" s="4" t="inlineStr">
        <is>
          <t>Basic programming - 1 - Basic programming-1</t>
        </is>
      </c>
      <c r="E661" s="4" t="n">
        <v>11</v>
      </c>
      <c r="F661" s="4" t="inlineStr">
        <is>
          <t>Find Integer</t>
        </is>
      </c>
      <c r="G661" s="4" t="inlineStr">
        <is>
          <t>FNDINT</t>
        </is>
      </c>
      <c r="H661" s="4" t="inlineStr"/>
      <c r="I661" s="4" t="inlineStr">
        <is>
          <t>Medium</t>
        </is>
      </c>
      <c r="J661" s="5">
        <f>HYPERLINK("https://www.codechef.com/problems/FNDINT", "https://www.codechef.com/problems/FNDINT")</f>
        <v/>
      </c>
      <c r="K661" s="4" t="inlineStr"/>
      <c r="L661" s="4" t="inlineStr"/>
      <c r="M661" s="4" t="inlineStr"/>
      <c r="N661" s="4" t="inlineStr">
        <is>
          <t>No</t>
        </is>
      </c>
      <c r="O661" s="4" t="inlineStr">
        <is>
          <t>Unattempted</t>
        </is>
      </c>
    </row>
    <row r="662">
      <c r="A662" s="2" t="inlineStr">
        <is>
          <t>Interview Questions</t>
        </is>
      </c>
      <c r="B662" s="2" t="inlineStr">
        <is>
          <t>Data Structures Interview Questions</t>
        </is>
      </c>
      <c r="C662" s="2" t="inlineStr">
        <is>
          <t>Prepare yourselves for technical interview with a carefully curated set of problems that appeared in companies like Google, Facebook, Amazon, Microsoft, Adobe, Flipkart, OLX Group, Walmart Labs, eBay, Ola, LinkedIn &amp; more</t>
        </is>
      </c>
      <c r="D662" s="2" t="inlineStr">
        <is>
          <t>Basic programming - 1 - Basic programming-1</t>
        </is>
      </c>
      <c r="E662" s="2" t="n">
        <v>12</v>
      </c>
      <c r="F662" s="2" t="inlineStr">
        <is>
          <t>Asteroid Hit</t>
        </is>
      </c>
      <c r="G662" s="2" t="inlineStr">
        <is>
          <t>ASTHIT</t>
        </is>
      </c>
      <c r="H662" s="2" t="inlineStr"/>
      <c r="I662" s="2" t="inlineStr">
        <is>
          <t>Hard</t>
        </is>
      </c>
      <c r="J662" s="3">
        <f>HYPERLINK("https://www.codechef.com/problems/ASTHIT", "https://www.codechef.com/problems/ASTHIT")</f>
        <v/>
      </c>
      <c r="K662" s="2" t="inlineStr"/>
      <c r="L662" s="2" t="inlineStr"/>
      <c r="M662" s="2" t="inlineStr"/>
      <c r="N662" s="2" t="inlineStr">
        <is>
          <t>No</t>
        </is>
      </c>
      <c r="O662" s="2" t="inlineStr">
        <is>
          <t>Unattempted</t>
        </is>
      </c>
    </row>
    <row r="663">
      <c r="A663" s="4" t="inlineStr">
        <is>
          <t>Interview Questions</t>
        </is>
      </c>
      <c r="B663" s="4" t="inlineStr">
        <is>
          <t>Data Structures Interview Questions</t>
        </is>
      </c>
      <c r="C663" s="4" t="inlineStr">
        <is>
          <t>Prepare yourselves for technical interview with a carefully curated set of problems that appeared in companies like Google, Facebook, Amazon, Microsoft, Adobe, Flipkart, OLX Group, Walmart Labs, eBay, Ola, LinkedIn &amp; more</t>
        </is>
      </c>
      <c r="D663" s="4" t="inlineStr">
        <is>
          <t>Basic programming - 2 - Basic programming-2</t>
        </is>
      </c>
      <c r="E663" s="4" t="n">
        <v>13</v>
      </c>
      <c r="F663" s="4" t="inlineStr">
        <is>
          <t>School Assembly</t>
        </is>
      </c>
      <c r="G663" s="4" t="inlineStr">
        <is>
          <t>ASMBLY</t>
        </is>
      </c>
      <c r="H663" s="4" t="inlineStr"/>
      <c r="I663" s="4" t="inlineStr">
        <is>
          <t>Easy</t>
        </is>
      </c>
      <c r="J663" s="5">
        <f>HYPERLINK("https://www.codechef.com/problems/ASMBLY", "https://www.codechef.com/problems/ASMBLY")</f>
        <v/>
      </c>
      <c r="K663" s="4" t="inlineStr"/>
      <c r="L663" s="4" t="inlineStr"/>
      <c r="M663" s="4" t="inlineStr"/>
      <c r="N663" s="4" t="inlineStr">
        <is>
          <t>No</t>
        </is>
      </c>
      <c r="O663" s="4" t="inlineStr">
        <is>
          <t>Unattempted</t>
        </is>
      </c>
    </row>
    <row r="664">
      <c r="A664" s="2" t="inlineStr">
        <is>
          <t>Interview Questions</t>
        </is>
      </c>
      <c r="B664" s="2" t="inlineStr">
        <is>
          <t>Data Structures Interview Questions</t>
        </is>
      </c>
      <c r="C664" s="2" t="inlineStr">
        <is>
          <t>Prepare yourselves for technical interview with a carefully curated set of problems that appeared in companies like Google, Facebook, Amazon, Microsoft, Adobe, Flipkart, OLX Group, Walmart Labs, eBay, Ola, LinkedIn &amp; more</t>
        </is>
      </c>
      <c r="D664" s="2" t="inlineStr">
        <is>
          <t>Basic programming - 2 - Basic programming-2</t>
        </is>
      </c>
      <c r="E664" s="2" t="n">
        <v>14</v>
      </c>
      <c r="F664" s="2" t="inlineStr">
        <is>
          <t>0xxx1</t>
        </is>
      </c>
      <c r="G664" s="2" t="inlineStr">
        <is>
          <t>CNTBIN</t>
        </is>
      </c>
      <c r="H664" s="2" t="inlineStr"/>
      <c r="I664" s="2" t="inlineStr">
        <is>
          <t>Medium</t>
        </is>
      </c>
      <c r="J664" s="3">
        <f>HYPERLINK("https://www.codechef.com/problems/CNTBIN", "https://www.codechef.com/problems/CNTBIN")</f>
        <v/>
      </c>
      <c r="K664" s="2" t="inlineStr"/>
      <c r="L664" s="2" t="inlineStr"/>
      <c r="M664" s="2" t="inlineStr"/>
      <c r="N664" s="2" t="inlineStr">
        <is>
          <t>No</t>
        </is>
      </c>
      <c r="O664" s="2" t="inlineStr">
        <is>
          <t>Unattempted</t>
        </is>
      </c>
    </row>
    <row r="665">
      <c r="A665" s="4" t="inlineStr">
        <is>
          <t>Interview Questions</t>
        </is>
      </c>
      <c r="B665" s="4" t="inlineStr">
        <is>
          <t>Data Structures Interview Questions</t>
        </is>
      </c>
      <c r="C665" s="4" t="inlineStr">
        <is>
          <t>Prepare yourselves for technical interview with a carefully curated set of problems that appeared in companies like Google, Facebook, Amazon, Microsoft, Adobe, Flipkart, OLX Group, Walmart Labs, eBay, Ola, LinkedIn &amp; more</t>
        </is>
      </c>
      <c r="D665" s="4" t="inlineStr">
        <is>
          <t>Basic programming - 2 - Basic programming-2</t>
        </is>
      </c>
      <c r="E665" s="4" t="n">
        <v>15</v>
      </c>
      <c r="F665" s="4" t="inlineStr">
        <is>
          <t>Divisible and not divisible</t>
        </is>
      </c>
      <c r="G665" s="4" t="inlineStr">
        <is>
          <t>DIVNDIV</t>
        </is>
      </c>
      <c r="H665" s="4" t="inlineStr"/>
      <c r="I665" s="4" t="inlineStr">
        <is>
          <t>Medium</t>
        </is>
      </c>
      <c r="J665" s="5">
        <f>HYPERLINK("https://www.codechef.com/problems/DIVNDIV", "https://www.codechef.com/problems/DIVNDIV")</f>
        <v/>
      </c>
      <c r="K665" s="4" t="inlineStr"/>
      <c r="L665" s="4" t="inlineStr"/>
      <c r="M665" s="4" t="inlineStr"/>
      <c r="N665" s="4" t="inlineStr">
        <is>
          <t>No</t>
        </is>
      </c>
      <c r="O665" s="4" t="inlineStr">
        <is>
          <t>Unattempted</t>
        </is>
      </c>
    </row>
    <row r="666">
      <c r="A666" s="2" t="inlineStr">
        <is>
          <t>Interview Questions</t>
        </is>
      </c>
      <c r="B666" s="2" t="inlineStr">
        <is>
          <t>Data Structures Interview Questions</t>
        </is>
      </c>
      <c r="C666" s="2" t="inlineStr">
        <is>
          <t>Prepare yourselves for technical interview with a carefully curated set of problems that appeared in companies like Google, Facebook, Amazon, Microsoft, Adobe, Flipkart, OLX Group, Walmart Labs, eBay, Ola, LinkedIn &amp; more</t>
        </is>
      </c>
      <c r="D666" s="2" t="inlineStr">
        <is>
          <t>Basic programming - 2 - Basic programming-2</t>
        </is>
      </c>
      <c r="E666" s="2" t="n">
        <v>16</v>
      </c>
      <c r="F666" s="2" t="inlineStr">
        <is>
          <t>RestroPay</t>
        </is>
      </c>
      <c r="G666" s="2" t="inlineStr">
        <is>
          <t>SHARE</t>
        </is>
      </c>
      <c r="H666" s="2" t="inlineStr"/>
      <c r="I666" s="2" t="inlineStr">
        <is>
          <t>Easy</t>
        </is>
      </c>
      <c r="J666" s="3">
        <f>HYPERLINK("https://www.codechef.com/problems/SHARE", "https://www.codechef.com/problems/SHARE")</f>
        <v/>
      </c>
      <c r="K666" s="2" t="inlineStr"/>
      <c r="L666" s="2" t="inlineStr"/>
      <c r="M666" s="2" t="inlineStr"/>
      <c r="N666" s="2" t="inlineStr">
        <is>
          <t>No</t>
        </is>
      </c>
      <c r="O666" s="2" t="inlineStr">
        <is>
          <t>Unattempted</t>
        </is>
      </c>
    </row>
    <row r="667">
      <c r="A667" s="4" t="inlineStr">
        <is>
          <t>Interview Questions</t>
        </is>
      </c>
      <c r="B667" s="4" t="inlineStr">
        <is>
          <t>Data Structures Interview Questions</t>
        </is>
      </c>
      <c r="C667" s="4" t="inlineStr">
        <is>
          <t>Prepare yourselves for technical interview with a carefully curated set of problems that appeared in companies like Google, Facebook, Amazon, Microsoft, Adobe, Flipkart, OLX Group, Walmart Labs, eBay, Ola, LinkedIn &amp; more</t>
        </is>
      </c>
      <c r="D667" s="4" t="inlineStr">
        <is>
          <t>Basic programming - 2 - Basic programming-2</t>
        </is>
      </c>
      <c r="E667" s="4" t="n">
        <v>17</v>
      </c>
      <c r="F667" s="4" t="inlineStr">
        <is>
          <t>Kth Number</t>
        </is>
      </c>
      <c r="G667" s="4" t="inlineStr">
        <is>
          <t>GUESNUMK</t>
        </is>
      </c>
      <c r="H667" s="4" t="inlineStr"/>
      <c r="I667" s="4" t="inlineStr">
        <is>
          <t>Medium</t>
        </is>
      </c>
      <c r="J667" s="5">
        <f>HYPERLINK("https://www.codechef.com/problems/GUESNUMK", "https://www.codechef.com/problems/GUESNUMK")</f>
        <v/>
      </c>
      <c r="K667" s="4" t="inlineStr"/>
      <c r="L667" s="4" t="inlineStr"/>
      <c r="M667" s="4" t="inlineStr"/>
      <c r="N667" s="4" t="inlineStr">
        <is>
          <t>No</t>
        </is>
      </c>
      <c r="O667" s="4" t="inlineStr">
        <is>
          <t>Unattempted</t>
        </is>
      </c>
    </row>
    <row r="668">
      <c r="A668" s="2" t="inlineStr">
        <is>
          <t>Interview Questions</t>
        </is>
      </c>
      <c r="B668" s="2" t="inlineStr">
        <is>
          <t>Data Structures Interview Questions</t>
        </is>
      </c>
      <c r="C668" s="2" t="inlineStr">
        <is>
          <t>Prepare yourselves for technical interview with a carefully curated set of problems that appeared in companies like Google, Facebook, Amazon, Microsoft, Adobe, Flipkart, OLX Group, Walmart Labs, eBay, Ola, LinkedIn &amp; more</t>
        </is>
      </c>
      <c r="D668" s="2" t="inlineStr">
        <is>
          <t>Basic programming - 2 - Basic programming-2</t>
        </is>
      </c>
      <c r="E668" s="2" t="n">
        <v>18</v>
      </c>
      <c r="F668" s="2" t="inlineStr">
        <is>
          <t>Defeat The Monster 2</t>
        </is>
      </c>
      <c r="G668" s="2" t="inlineStr">
        <is>
          <t>MONSTER2</t>
        </is>
      </c>
      <c r="H668" s="2" t="inlineStr"/>
      <c r="I668" s="2" t="inlineStr">
        <is>
          <t>Medium</t>
        </is>
      </c>
      <c r="J668" s="3">
        <f>HYPERLINK("https://www.codechef.com/problems/MONSTER2", "https://www.codechef.com/problems/MONSTER2")</f>
        <v/>
      </c>
      <c r="K668" s="2" t="inlineStr"/>
      <c r="L668" s="2" t="inlineStr"/>
      <c r="M668" s="2" t="inlineStr"/>
      <c r="N668" s="2" t="inlineStr">
        <is>
          <t>No</t>
        </is>
      </c>
      <c r="O668" s="2" t="inlineStr">
        <is>
          <t>Unattempted</t>
        </is>
      </c>
    </row>
    <row r="669">
      <c r="A669" s="4" t="inlineStr">
        <is>
          <t>Interview Questions</t>
        </is>
      </c>
      <c r="B669" s="4" t="inlineStr">
        <is>
          <t>Data Structures Interview Questions</t>
        </is>
      </c>
      <c r="C669" s="4" t="inlineStr">
        <is>
          <t>Prepare yourselves for technical interview with a carefully curated set of problems that appeared in companies like Google, Facebook, Amazon, Microsoft, Adobe, Flipkart, OLX Group, Walmart Labs, eBay, Ola, LinkedIn &amp; more</t>
        </is>
      </c>
      <c r="D669" s="4" t="inlineStr">
        <is>
          <t>Basic programming - 2 - Basic programming-2</t>
        </is>
      </c>
      <c r="E669" s="4" t="n">
        <v>19</v>
      </c>
      <c r="F669" s="4" t="inlineStr">
        <is>
          <t>Subsequences_007</t>
        </is>
      </c>
      <c r="G669" s="4" t="inlineStr">
        <is>
          <t>SUB_007</t>
        </is>
      </c>
      <c r="H669" s="4" t="inlineStr"/>
      <c r="I669" s="4" t="inlineStr">
        <is>
          <t>Medium</t>
        </is>
      </c>
      <c r="J669" s="5">
        <f>HYPERLINK("https://www.codechef.com/problems/SUB_007", "https://www.codechef.com/problems/SUB_007")</f>
        <v/>
      </c>
      <c r="K669" s="4" t="inlineStr"/>
      <c r="L669" s="4" t="inlineStr"/>
      <c r="M669" s="4" t="inlineStr"/>
      <c r="N669" s="4" t="inlineStr">
        <is>
          <t>No</t>
        </is>
      </c>
      <c r="O669" s="4" t="inlineStr">
        <is>
          <t>Unattempted</t>
        </is>
      </c>
    </row>
    <row r="670">
      <c r="A670" s="2" t="inlineStr">
        <is>
          <t>Interview Questions</t>
        </is>
      </c>
      <c r="B670" s="2" t="inlineStr">
        <is>
          <t>Data Structures Interview Questions</t>
        </is>
      </c>
      <c r="C670" s="2" t="inlineStr">
        <is>
          <t>Prepare yourselves for technical interview with a carefully curated set of problems that appeared in companies like Google, Facebook, Amazon, Microsoft, Adobe, Flipkart, OLX Group, Walmart Labs, eBay, Ola, LinkedIn &amp; more</t>
        </is>
      </c>
      <c r="D670" s="2" t="inlineStr">
        <is>
          <t>Basic programming - 2 - Basic programming-2</t>
        </is>
      </c>
      <c r="E670" s="2" t="n">
        <v>20</v>
      </c>
      <c r="F670" s="2" t="inlineStr">
        <is>
          <t>Recover The Permutation</t>
        </is>
      </c>
      <c r="G670" s="2" t="inlineStr">
        <is>
          <t>RECPERM</t>
        </is>
      </c>
      <c r="H670" s="2" t="inlineStr"/>
      <c r="I670" s="2" t="inlineStr">
        <is>
          <t>Hard</t>
        </is>
      </c>
      <c r="J670" s="3">
        <f>HYPERLINK("https://www.codechef.com/problems/RECPERM", "https://www.codechef.com/problems/RECPERM")</f>
        <v/>
      </c>
      <c r="K670" s="2" t="inlineStr"/>
      <c r="L670" s="2" t="inlineStr"/>
      <c r="M670" s="2" t="inlineStr"/>
      <c r="N670" s="2" t="inlineStr">
        <is>
          <t>No</t>
        </is>
      </c>
      <c r="O670" s="2" t="inlineStr">
        <is>
          <t>Unattempted</t>
        </is>
      </c>
    </row>
    <row r="671">
      <c r="A671" s="4" t="inlineStr">
        <is>
          <t>Interview Questions</t>
        </is>
      </c>
      <c r="B671" s="4" t="inlineStr">
        <is>
          <t>Data Structures Interview Questions</t>
        </is>
      </c>
      <c r="C671" s="4" t="inlineStr">
        <is>
          <t>Prepare yourselves for technical interview with a carefully curated set of problems that appeared in companies like Google, Facebook, Amazon, Microsoft, Adobe, Flipkart, OLX Group, Walmart Labs, eBay, Ola, LinkedIn &amp; more</t>
        </is>
      </c>
      <c r="D671" s="4" t="inlineStr">
        <is>
          <t>Basic programming - 2 - Basic programming-2</t>
        </is>
      </c>
      <c r="E671" s="4" t="n">
        <v>21</v>
      </c>
      <c r="F671" s="4" t="inlineStr">
        <is>
          <t>Minimum Integer</t>
        </is>
      </c>
      <c r="G671" s="4" t="inlineStr">
        <is>
          <t>MNINT</t>
        </is>
      </c>
      <c r="H671" s="4" t="inlineStr"/>
      <c r="I671" s="4" t="inlineStr">
        <is>
          <t>Medium</t>
        </is>
      </c>
      <c r="J671" s="5">
        <f>HYPERLINK("https://www.codechef.com/problems/MNINT", "https://www.codechef.com/problems/MNINT")</f>
        <v/>
      </c>
      <c r="K671" s="4" t="inlineStr"/>
      <c r="L671" s="4" t="inlineStr"/>
      <c r="M671" s="4" t="inlineStr"/>
      <c r="N671" s="4" t="inlineStr">
        <is>
          <t>No</t>
        </is>
      </c>
      <c r="O671" s="4" t="inlineStr">
        <is>
          <t>Unattempted</t>
        </is>
      </c>
    </row>
    <row r="672">
      <c r="A672" s="2" t="inlineStr">
        <is>
          <t>Interview Questions</t>
        </is>
      </c>
      <c r="B672" s="2" t="inlineStr">
        <is>
          <t>Data Structures Interview Questions</t>
        </is>
      </c>
      <c r="C672" s="2" t="inlineStr">
        <is>
          <t>Prepare yourselves for technical interview with a carefully curated set of problems that appeared in companies like Google, Facebook, Amazon, Microsoft, Adobe, Flipkart, OLX Group, Walmart Labs, eBay, Ola, LinkedIn &amp; more</t>
        </is>
      </c>
      <c r="D672" s="2" t="inlineStr">
        <is>
          <t>Basic programming - 2 - Basic programming-2</t>
        </is>
      </c>
      <c r="E672" s="2" t="n">
        <v>22</v>
      </c>
      <c r="F672" s="2" t="inlineStr">
        <is>
          <t>Make smaller bigger</t>
        </is>
      </c>
      <c r="G672" s="2" t="inlineStr">
        <is>
          <t>MSB</t>
        </is>
      </c>
      <c r="H672" s="2" t="inlineStr"/>
      <c r="I672" s="2" t="inlineStr">
        <is>
          <t>Medium</t>
        </is>
      </c>
      <c r="J672" s="3">
        <f>HYPERLINK("https://www.codechef.com/problems/MSB", "https://www.codechef.com/problems/MSB")</f>
        <v/>
      </c>
      <c r="K672" s="2" t="inlineStr"/>
      <c r="L672" s="2" t="inlineStr"/>
      <c r="M672" s="2" t="inlineStr"/>
      <c r="N672" s="2" t="inlineStr">
        <is>
          <t>No</t>
        </is>
      </c>
      <c r="O672" s="2" t="inlineStr">
        <is>
          <t>Unattempted</t>
        </is>
      </c>
    </row>
    <row r="673">
      <c r="A673" s="4" t="inlineStr">
        <is>
          <t>Interview Questions</t>
        </is>
      </c>
      <c r="B673" s="4" t="inlineStr">
        <is>
          <t>Data Structures Interview Questions</t>
        </is>
      </c>
      <c r="C673" s="4" t="inlineStr">
        <is>
          <t>Prepare yourselves for technical interview with a carefully curated set of problems that appeared in companies like Google, Facebook, Amazon, Microsoft, Adobe, Flipkart, OLX Group, Walmart Labs, eBay, Ola, LinkedIn &amp; more</t>
        </is>
      </c>
      <c r="D673" s="4" t="inlineStr">
        <is>
          <t>Basic programming - 2 - Basic programming-2</t>
        </is>
      </c>
      <c r="E673" s="4" t="n">
        <v>23</v>
      </c>
      <c r="F673" s="4" t="inlineStr">
        <is>
          <t>Maximum Peak</t>
        </is>
      </c>
      <c r="G673" s="4" t="inlineStr">
        <is>
          <t>MAXPEAK</t>
        </is>
      </c>
      <c r="H673" s="4" t="inlineStr"/>
      <c r="I673" s="4" t="inlineStr">
        <is>
          <t>Medium</t>
        </is>
      </c>
      <c r="J673" s="5">
        <f>HYPERLINK("https://www.codechef.com/problems/MAXPEAK", "https://www.codechef.com/problems/MAXPEAK")</f>
        <v/>
      </c>
      <c r="K673" s="4" t="inlineStr"/>
      <c r="L673" s="4" t="inlineStr"/>
      <c r="M673" s="4" t="inlineStr"/>
      <c r="N673" s="4" t="inlineStr">
        <is>
          <t>No</t>
        </is>
      </c>
      <c r="O673" s="4" t="inlineStr">
        <is>
          <t>Unattempted</t>
        </is>
      </c>
    </row>
    <row r="674">
      <c r="A674" s="2" t="inlineStr">
        <is>
          <t>Interview Questions</t>
        </is>
      </c>
      <c r="B674" s="2" t="inlineStr">
        <is>
          <t>Data Structures Interview Questions</t>
        </is>
      </c>
      <c r="C674" s="2" t="inlineStr">
        <is>
          <t>Prepare yourselves for technical interview with a carefully curated set of problems that appeared in companies like Google, Facebook, Amazon, Microsoft, Adobe, Flipkart, OLX Group, Walmart Labs, eBay, Ola, LinkedIn &amp; more</t>
        </is>
      </c>
      <c r="D674" s="2" t="inlineStr">
        <is>
          <t>Basic programming - 2 - Basic programming-2</t>
        </is>
      </c>
      <c r="E674" s="2" t="n">
        <v>24</v>
      </c>
      <c r="F674" s="2" t="inlineStr">
        <is>
          <t>Strongest still weakest</t>
        </is>
      </c>
      <c r="G674" s="2" t="inlineStr">
        <is>
          <t>STWK8TEST</t>
        </is>
      </c>
      <c r="H674" s="2" t="inlineStr"/>
      <c r="I674" s="2" t="inlineStr">
        <is>
          <t>Medium</t>
        </is>
      </c>
      <c r="J674" s="3">
        <f>HYPERLINK("https://www.codechef.com/problems/STWK8TEST", "https://www.codechef.com/problems/STWK8TEST")</f>
        <v/>
      </c>
      <c r="K674" s="2" t="inlineStr"/>
      <c r="L674" s="2" t="inlineStr"/>
      <c r="M674" s="2" t="inlineStr"/>
      <c r="N674" s="2" t="inlineStr">
        <is>
          <t>No</t>
        </is>
      </c>
      <c r="O674" s="2" t="inlineStr">
        <is>
          <t>Unattempted</t>
        </is>
      </c>
    </row>
    <row r="675">
      <c r="A675" s="4" t="inlineStr">
        <is>
          <t>Interview Questions</t>
        </is>
      </c>
      <c r="B675" s="4" t="inlineStr">
        <is>
          <t>Data Structures Interview Questions</t>
        </is>
      </c>
      <c r="C675" s="4" t="inlineStr">
        <is>
          <t>Prepare yourselves for technical interview with a carefully curated set of problems that appeared in companies like Google, Facebook, Amazon, Microsoft, Adobe, Flipkart, OLX Group, Walmart Labs, eBay, Ola, LinkedIn &amp; more</t>
        </is>
      </c>
      <c r="D675" s="4" t="inlineStr">
        <is>
          <t>Arrays - Arrays</t>
        </is>
      </c>
      <c r="E675" s="4" t="n">
        <v>25</v>
      </c>
      <c r="F675" s="4" t="inlineStr">
        <is>
          <t>Jump To The End</t>
        </is>
      </c>
      <c r="G675" s="4" t="inlineStr">
        <is>
          <t>JUMPEND</t>
        </is>
      </c>
      <c r="H675" s="4" t="inlineStr"/>
      <c r="I675" s="4" t="inlineStr">
        <is>
          <t>Medium</t>
        </is>
      </c>
      <c r="J675" s="5">
        <f>HYPERLINK("https://www.codechef.com/problems/JUMPEND", "https://www.codechef.com/problems/JUMPEND")</f>
        <v/>
      </c>
      <c r="K675" s="4" t="inlineStr"/>
      <c r="L675" s="4" t="inlineStr"/>
      <c r="M675" s="4" t="inlineStr"/>
      <c r="N675" s="4" t="inlineStr">
        <is>
          <t>No</t>
        </is>
      </c>
      <c r="O675" s="4" t="inlineStr">
        <is>
          <t>Unattempted</t>
        </is>
      </c>
    </row>
    <row r="676">
      <c r="A676" s="2" t="inlineStr">
        <is>
          <t>Interview Questions</t>
        </is>
      </c>
      <c r="B676" s="2" t="inlineStr">
        <is>
          <t>Data Structures Interview Questions</t>
        </is>
      </c>
      <c r="C676" s="2" t="inlineStr">
        <is>
          <t>Prepare yourselves for technical interview with a carefully curated set of problems that appeared in companies like Google, Facebook, Amazon, Microsoft, Adobe, Flipkart, OLX Group, Walmart Labs, eBay, Ola, LinkedIn &amp; more</t>
        </is>
      </c>
      <c r="D676" s="2" t="inlineStr">
        <is>
          <t>Arrays - Arrays</t>
        </is>
      </c>
      <c r="E676" s="2" t="n">
        <v>26</v>
      </c>
      <c r="F676" s="2" t="inlineStr">
        <is>
          <t>Array - Pascals or Khayyams triangle</t>
        </is>
      </c>
      <c r="G676" s="2" t="inlineStr">
        <is>
          <t>PREP01</t>
        </is>
      </c>
      <c r="H676" s="2" t="inlineStr"/>
      <c r="I676" s="2" t="inlineStr">
        <is>
          <t>Medium</t>
        </is>
      </c>
      <c r="J676" s="3">
        <f>HYPERLINK("https://www.codechef.com/problems/PREP01", "https://www.codechef.com/problems/PREP01")</f>
        <v/>
      </c>
      <c r="K676" s="2" t="inlineStr"/>
      <c r="L676" s="2" t="inlineStr"/>
      <c r="M676" s="2" t="inlineStr"/>
      <c r="N676" s="2" t="inlineStr">
        <is>
          <t>No</t>
        </is>
      </c>
      <c r="O676" s="2" t="inlineStr">
        <is>
          <t>Unattempted</t>
        </is>
      </c>
    </row>
    <row r="677">
      <c r="A677" s="4" t="inlineStr">
        <is>
          <t>Interview Questions</t>
        </is>
      </c>
      <c r="B677" s="4" t="inlineStr">
        <is>
          <t>Data Structures Interview Questions</t>
        </is>
      </c>
      <c r="C677" s="4" t="inlineStr">
        <is>
          <t>Prepare yourselves for technical interview with a carefully curated set of problems that appeared in companies like Google, Facebook, Amazon, Microsoft, Adobe, Flipkart, OLX Group, Walmart Labs, eBay, Ola, LinkedIn &amp; more</t>
        </is>
      </c>
      <c r="D677" s="4" t="inlineStr">
        <is>
          <t>Arrays - Arrays</t>
        </is>
      </c>
      <c r="E677" s="4" t="n">
        <v>27</v>
      </c>
      <c r="F677" s="4" t="inlineStr">
        <is>
          <t>Maximum Partition</t>
        </is>
      </c>
      <c r="G677" s="4" t="inlineStr">
        <is>
          <t>MXPART</t>
        </is>
      </c>
      <c r="H677" s="4" t="inlineStr"/>
      <c r="I677" s="4" t="inlineStr">
        <is>
          <t>Medium</t>
        </is>
      </c>
      <c r="J677" s="5">
        <f>HYPERLINK("https://www.codechef.com/problems/MXPART", "https://www.codechef.com/problems/MXPART")</f>
        <v/>
      </c>
      <c r="K677" s="4" t="inlineStr"/>
      <c r="L677" s="4" t="inlineStr"/>
      <c r="M677" s="4" t="inlineStr"/>
      <c r="N677" s="4" t="inlineStr">
        <is>
          <t>No</t>
        </is>
      </c>
      <c r="O677" s="4" t="inlineStr">
        <is>
          <t>Unattempted</t>
        </is>
      </c>
    </row>
    <row r="678">
      <c r="A678" s="2" t="inlineStr">
        <is>
          <t>Interview Questions</t>
        </is>
      </c>
      <c r="B678" s="2" t="inlineStr">
        <is>
          <t>Data Structures Interview Questions</t>
        </is>
      </c>
      <c r="C678" s="2" t="inlineStr">
        <is>
          <t>Prepare yourselves for technical interview with a carefully curated set of problems that appeared in companies like Google, Facebook, Amazon, Microsoft, Adobe, Flipkart, OLX Group, Walmart Labs, eBay, Ola, LinkedIn &amp; more</t>
        </is>
      </c>
      <c r="D678" s="2" t="inlineStr">
        <is>
          <t>Arrays - Arrays</t>
        </is>
      </c>
      <c r="E678" s="2" t="n">
        <v>28</v>
      </c>
      <c r="F678" s="2" t="inlineStr">
        <is>
          <t>Array - Wave Array</t>
        </is>
      </c>
      <c r="G678" s="2" t="inlineStr">
        <is>
          <t>PREP06</t>
        </is>
      </c>
      <c r="H678" s="2" t="inlineStr"/>
      <c r="I678" s="2" t="inlineStr">
        <is>
          <t>Medium</t>
        </is>
      </c>
      <c r="J678" s="3">
        <f>HYPERLINK("https://www.codechef.com/problems/PREP06", "https://www.codechef.com/problems/PREP06")</f>
        <v/>
      </c>
      <c r="K678" s="2" t="inlineStr"/>
      <c r="L678" s="2" t="inlineStr"/>
      <c r="M678" s="2" t="inlineStr"/>
      <c r="N678" s="2" t="inlineStr">
        <is>
          <t>No</t>
        </is>
      </c>
      <c r="O678" s="2" t="inlineStr">
        <is>
          <t>Unattempted</t>
        </is>
      </c>
    </row>
    <row r="679">
      <c r="A679" s="4" t="inlineStr">
        <is>
          <t>Interview Questions</t>
        </is>
      </c>
      <c r="B679" s="4" t="inlineStr">
        <is>
          <t>Data Structures Interview Questions</t>
        </is>
      </c>
      <c r="C679" s="4" t="inlineStr">
        <is>
          <t>Prepare yourselves for technical interview with a carefully curated set of problems that appeared in companies like Google, Facebook, Amazon, Microsoft, Adobe, Flipkart, OLX Group, Walmart Labs, eBay, Ola, LinkedIn &amp; more</t>
        </is>
      </c>
      <c r="D679" s="4" t="inlineStr">
        <is>
          <t>Arrays - Arrays</t>
        </is>
      </c>
      <c r="E679" s="4" t="n">
        <v>29</v>
      </c>
      <c r="F679" s="4" t="inlineStr">
        <is>
          <t>Petrol ki Problem</t>
        </is>
      </c>
      <c r="G679" s="4" t="inlineStr">
        <is>
          <t>PTRLP</t>
        </is>
      </c>
      <c r="H679" s="4" t="inlineStr"/>
      <c r="I679" s="4" t="inlineStr">
        <is>
          <t>Medium</t>
        </is>
      </c>
      <c r="J679" s="5">
        <f>HYPERLINK("https://www.codechef.com/problems/PTRLP", "https://www.codechef.com/problems/PTRLP")</f>
        <v/>
      </c>
      <c r="K679" s="4" t="inlineStr"/>
      <c r="L679" s="4" t="inlineStr"/>
      <c r="M679" s="4" t="inlineStr"/>
      <c r="N679" s="4" t="inlineStr">
        <is>
          <t>No</t>
        </is>
      </c>
      <c r="O679" s="4" t="inlineStr">
        <is>
          <t>Unattempted</t>
        </is>
      </c>
    </row>
    <row r="680">
      <c r="A680" s="2" t="inlineStr">
        <is>
          <t>Interview Questions</t>
        </is>
      </c>
      <c r="B680" s="2" t="inlineStr">
        <is>
          <t>Data Structures Interview Questions</t>
        </is>
      </c>
      <c r="C680" s="2" t="inlineStr">
        <is>
          <t>Prepare yourselves for technical interview with a carefully curated set of problems that appeared in companies like Google, Facebook, Amazon, Microsoft, Adobe, Flipkart, OLX Group, Walmart Labs, eBay, Ola, LinkedIn &amp; more</t>
        </is>
      </c>
      <c r="D680" s="2" t="inlineStr">
        <is>
          <t>Arrays - Arrays</t>
        </is>
      </c>
      <c r="E680" s="2" t="n">
        <v>30</v>
      </c>
      <c r="F680" s="2" t="inlineStr">
        <is>
          <t>Tunnel Switch</t>
        </is>
      </c>
      <c r="G680" s="2" t="inlineStr">
        <is>
          <t>MINHOUS</t>
        </is>
      </c>
      <c r="H680" s="2" t="inlineStr"/>
      <c r="I680" s="2" t="inlineStr">
        <is>
          <t>Medium</t>
        </is>
      </c>
      <c r="J680" s="3">
        <f>HYPERLINK("https://www.codechef.com/problems/MINHOUS", "https://www.codechef.com/problems/MINHOUS")</f>
        <v/>
      </c>
      <c r="K680" s="2" t="inlineStr"/>
      <c r="L680" s="2" t="inlineStr"/>
      <c r="M680" s="2" t="inlineStr"/>
      <c r="N680" s="2" t="inlineStr">
        <is>
          <t>No</t>
        </is>
      </c>
      <c r="O680" s="2" t="inlineStr">
        <is>
          <t>Unattempted</t>
        </is>
      </c>
    </row>
    <row r="681">
      <c r="A681" s="4" t="inlineStr">
        <is>
          <t>Interview Questions</t>
        </is>
      </c>
      <c r="B681" s="4" t="inlineStr">
        <is>
          <t>Data Structures Interview Questions</t>
        </is>
      </c>
      <c r="C681" s="4" t="inlineStr">
        <is>
          <t>Prepare yourselves for technical interview with a carefully curated set of problems that appeared in companies like Google, Facebook, Amazon, Microsoft, Adobe, Flipkart, OLX Group, Walmart Labs, eBay, Ola, LinkedIn &amp; more</t>
        </is>
      </c>
      <c r="D681" s="4" t="inlineStr">
        <is>
          <t>Arrays - Arrays</t>
        </is>
      </c>
      <c r="E681" s="4" t="n">
        <v>31</v>
      </c>
      <c r="F681" s="4" t="inlineStr">
        <is>
          <t>Maximum power of two</t>
        </is>
      </c>
      <c r="G681" s="4" t="inlineStr">
        <is>
          <t>MAX2POW</t>
        </is>
      </c>
      <c r="H681" s="4" t="inlineStr"/>
      <c r="I681" s="4" t="inlineStr">
        <is>
          <t>Hard</t>
        </is>
      </c>
      <c r="J681" s="5">
        <f>HYPERLINK("https://www.codechef.com/problems/MAX2POW", "https://www.codechef.com/problems/MAX2POW")</f>
        <v/>
      </c>
      <c r="K681" s="4" t="inlineStr"/>
      <c r="L681" s="4" t="inlineStr"/>
      <c r="M681" s="4" t="inlineStr"/>
      <c r="N681" s="4" t="inlineStr">
        <is>
          <t>No</t>
        </is>
      </c>
      <c r="O681" s="4" t="inlineStr">
        <is>
          <t>Unattempted</t>
        </is>
      </c>
    </row>
    <row r="682">
      <c r="A682" s="2" t="inlineStr">
        <is>
          <t>Interview Questions</t>
        </is>
      </c>
      <c r="B682" s="2" t="inlineStr">
        <is>
          <t>Data Structures Interview Questions</t>
        </is>
      </c>
      <c r="C682" s="2" t="inlineStr">
        <is>
          <t>Prepare yourselves for technical interview with a carefully curated set of problems that appeared in companies like Google, Facebook, Amazon, Microsoft, Adobe, Flipkart, OLX Group, Walmart Labs, eBay, Ola, LinkedIn &amp; more</t>
        </is>
      </c>
      <c r="D682" s="2" t="inlineStr">
        <is>
          <t>Arrays - Arrays</t>
        </is>
      </c>
      <c r="E682" s="2" t="n">
        <v>32</v>
      </c>
      <c r="F682" s="2" t="inlineStr">
        <is>
          <t>Array - Addition</t>
        </is>
      </c>
      <c r="G682" s="2" t="inlineStr">
        <is>
          <t>PREP05</t>
        </is>
      </c>
      <c r="H682" s="2" t="inlineStr"/>
      <c r="I682" s="2" t="inlineStr">
        <is>
          <t>Easy</t>
        </is>
      </c>
      <c r="J682" s="3">
        <f>HYPERLINK("https://www.codechef.com/problems/PREP05", "https://www.codechef.com/problems/PREP05")</f>
        <v/>
      </c>
      <c r="K682" s="2" t="inlineStr"/>
      <c r="L682" s="2" t="inlineStr"/>
      <c r="M682" s="2" t="inlineStr"/>
      <c r="N682" s="2" t="inlineStr">
        <is>
          <t>No</t>
        </is>
      </c>
      <c r="O682" s="2" t="inlineStr">
        <is>
          <t>Unattempted</t>
        </is>
      </c>
    </row>
    <row r="683">
      <c r="A683" s="4" t="inlineStr">
        <is>
          <t>Interview Questions</t>
        </is>
      </c>
      <c r="B683" s="4" t="inlineStr">
        <is>
          <t>Data Structures Interview Questions</t>
        </is>
      </c>
      <c r="C683" s="4" t="inlineStr">
        <is>
          <t>Prepare yourselves for technical interview with a carefully curated set of problems that appeared in companies like Google, Facebook, Amazon, Microsoft, Adobe, Flipkart, OLX Group, Walmart Labs, eBay, Ola, LinkedIn &amp; more</t>
        </is>
      </c>
      <c r="D683" s="4" t="inlineStr">
        <is>
          <t>Arrays - Arrays</t>
        </is>
      </c>
      <c r="E683" s="4" t="n">
        <v>33</v>
      </c>
      <c r="F683" s="4" t="inlineStr">
        <is>
          <t>Locate The Product</t>
        </is>
      </c>
      <c r="G683" s="4" t="inlineStr">
        <is>
          <t>LTP</t>
        </is>
      </c>
      <c r="H683" s="4" t="inlineStr"/>
      <c r="I683" s="4" t="inlineStr">
        <is>
          <t>Hard</t>
        </is>
      </c>
      <c r="J683" s="5">
        <f>HYPERLINK("https://www.codechef.com/problems/LTP", "https://www.codechef.com/problems/LTP")</f>
        <v/>
      </c>
      <c r="K683" s="4" t="inlineStr"/>
      <c r="L683" s="4" t="inlineStr"/>
      <c r="M683" s="4" t="inlineStr"/>
      <c r="N683" s="4" t="inlineStr">
        <is>
          <t>No</t>
        </is>
      </c>
      <c r="O683" s="4" t="inlineStr">
        <is>
          <t>Unattempted</t>
        </is>
      </c>
    </row>
    <row r="684">
      <c r="A684" s="2" t="inlineStr">
        <is>
          <t>Interview Questions</t>
        </is>
      </c>
      <c r="B684" s="2" t="inlineStr">
        <is>
          <t>Data Structures Interview Questions</t>
        </is>
      </c>
      <c r="C684" s="2" t="inlineStr">
        <is>
          <t>Prepare yourselves for technical interview with a carefully curated set of problems that appeared in companies like Google, Facebook, Amazon, Microsoft, Adobe, Flipkart, OLX Group, Walmart Labs, eBay, Ola, LinkedIn &amp; more</t>
        </is>
      </c>
      <c r="D684" s="2" t="inlineStr">
        <is>
          <t>Arrays - Arrays</t>
        </is>
      </c>
      <c r="E684" s="2" t="n">
        <v>34</v>
      </c>
      <c r="F684" s="2" t="inlineStr">
        <is>
          <t>Array - Matrix operations</t>
        </is>
      </c>
      <c r="G684" s="2" t="inlineStr">
        <is>
          <t>PREP02</t>
        </is>
      </c>
      <c r="H684" s="2" t="inlineStr"/>
      <c r="I684" s="2" t="inlineStr">
        <is>
          <t>Easy</t>
        </is>
      </c>
      <c r="J684" s="3">
        <f>HYPERLINK("https://www.codechef.com/problems/PREP02", "https://www.codechef.com/problems/PREP02")</f>
        <v/>
      </c>
      <c r="K684" s="2" t="inlineStr"/>
      <c r="L684" s="2" t="inlineStr"/>
      <c r="M684" s="2" t="inlineStr"/>
      <c r="N684" s="2" t="inlineStr">
        <is>
          <t>No</t>
        </is>
      </c>
      <c r="O684" s="2" t="inlineStr">
        <is>
          <t>Unattempted</t>
        </is>
      </c>
    </row>
    <row r="685">
      <c r="A685" s="4" t="inlineStr">
        <is>
          <t>Interview Questions</t>
        </is>
      </c>
      <c r="B685" s="4" t="inlineStr">
        <is>
          <t>Data Structures Interview Questions</t>
        </is>
      </c>
      <c r="C685" s="4" t="inlineStr">
        <is>
          <t>Prepare yourselves for technical interview with a carefully curated set of problems that appeared in companies like Google, Facebook, Amazon, Microsoft, Adobe, Flipkart, OLX Group, Walmart Labs, eBay, Ola, LinkedIn &amp; more</t>
        </is>
      </c>
      <c r="D685" s="4" t="inlineStr">
        <is>
          <t>Sorting - Sorting</t>
        </is>
      </c>
      <c r="E685" s="4" t="n">
        <v>35</v>
      </c>
      <c r="F685" s="4" t="inlineStr">
        <is>
          <t>Least pair sum k elements</t>
        </is>
      </c>
      <c r="G685" s="4" t="inlineStr">
        <is>
          <t>LSTKELE</t>
        </is>
      </c>
      <c r="H685" s="4" t="inlineStr"/>
      <c r="I685" s="4" t="inlineStr">
        <is>
          <t>Easy</t>
        </is>
      </c>
      <c r="J685" s="5">
        <f>HYPERLINK("https://www.codechef.com/problems/LSTKELE", "https://www.codechef.com/problems/LSTKELE")</f>
        <v/>
      </c>
      <c r="K685" s="4" t="inlineStr"/>
      <c r="L685" s="4" t="inlineStr"/>
      <c r="M685" s="4" t="inlineStr"/>
      <c r="N685" s="4" t="inlineStr">
        <is>
          <t>No</t>
        </is>
      </c>
      <c r="O685" s="4" t="inlineStr">
        <is>
          <t>Unattempted</t>
        </is>
      </c>
    </row>
    <row r="686">
      <c r="A686" s="2" t="inlineStr">
        <is>
          <t>Interview Questions</t>
        </is>
      </c>
      <c r="B686" s="2" t="inlineStr">
        <is>
          <t>Data Structures Interview Questions</t>
        </is>
      </c>
      <c r="C686" s="2" t="inlineStr">
        <is>
          <t>Prepare yourselves for technical interview with a carefully curated set of problems that appeared in companies like Google, Facebook, Amazon, Microsoft, Adobe, Flipkart, OLX Group, Walmart Labs, eBay, Ola, LinkedIn &amp; more</t>
        </is>
      </c>
      <c r="D686" s="2" t="inlineStr">
        <is>
          <t>Sorting - Sorting</t>
        </is>
      </c>
      <c r="E686" s="2" t="n">
        <v>36</v>
      </c>
      <c r="F686" s="2" t="inlineStr">
        <is>
          <t>Array Reordering</t>
        </is>
      </c>
      <c r="G686" s="2" t="inlineStr">
        <is>
          <t>ARRAYREOR</t>
        </is>
      </c>
      <c r="H686" s="2" t="inlineStr">
        <is>
          <t>1250</t>
        </is>
      </c>
      <c r="I686" s="2" t="inlineStr">
        <is>
          <t>Easy</t>
        </is>
      </c>
      <c r="J686" s="3">
        <f>HYPERLINK("https://www.codechef.com/problems/ARRAYREOR", "https://www.codechef.com/problems/ARRAYREOR")</f>
        <v/>
      </c>
      <c r="K686" s="2" t="inlineStr"/>
      <c r="L686" s="2" t="inlineStr"/>
      <c r="M686" s="2" t="inlineStr"/>
      <c r="N686" s="2" t="inlineStr">
        <is>
          <t>No</t>
        </is>
      </c>
      <c r="O686" s="2" t="inlineStr">
        <is>
          <t>Unattempted</t>
        </is>
      </c>
    </row>
    <row r="687">
      <c r="A687" s="4" t="inlineStr">
        <is>
          <t>Interview Questions</t>
        </is>
      </c>
      <c r="B687" s="4" t="inlineStr">
        <is>
          <t>Data Structures Interview Questions</t>
        </is>
      </c>
      <c r="C687" s="4" t="inlineStr">
        <is>
          <t>Prepare yourselves for technical interview with a carefully curated set of problems that appeared in companies like Google, Facebook, Amazon, Microsoft, Adobe, Flipkart, OLX Group, Walmart Labs, eBay, Ola, LinkedIn &amp; more</t>
        </is>
      </c>
      <c r="D687" s="4" t="inlineStr">
        <is>
          <t>Sorting - Sorting</t>
        </is>
      </c>
      <c r="E687" s="4" t="n">
        <v>37</v>
      </c>
      <c r="F687" s="4" t="inlineStr">
        <is>
          <t>Seating Arrangement</t>
        </is>
      </c>
      <c r="G687" s="4" t="inlineStr">
        <is>
          <t>SEATING</t>
        </is>
      </c>
      <c r="H687" s="4" t="inlineStr"/>
      <c r="I687" s="4" t="inlineStr">
        <is>
          <t>Medium</t>
        </is>
      </c>
      <c r="J687" s="5">
        <f>HYPERLINK("https://www.codechef.com/problems/SEATING", "https://www.codechef.com/problems/SEATING")</f>
        <v/>
      </c>
      <c r="K687" s="4" t="inlineStr"/>
      <c r="L687" s="4" t="inlineStr"/>
      <c r="M687" s="4" t="inlineStr"/>
      <c r="N687" s="4" t="inlineStr">
        <is>
          <t>No</t>
        </is>
      </c>
      <c r="O687" s="4" t="inlineStr">
        <is>
          <t>Unattempted</t>
        </is>
      </c>
    </row>
    <row r="688">
      <c r="A688" s="2" t="inlineStr">
        <is>
          <t>Interview Questions</t>
        </is>
      </c>
      <c r="B688" s="2" t="inlineStr">
        <is>
          <t>Data Structures Interview Questions</t>
        </is>
      </c>
      <c r="C688" s="2" t="inlineStr">
        <is>
          <t>Prepare yourselves for technical interview with a carefully curated set of problems that appeared in companies like Google, Facebook, Amazon, Microsoft, Adobe, Flipkart, OLX Group, Walmart Labs, eBay, Ola, LinkedIn &amp; more</t>
        </is>
      </c>
      <c r="D688" s="2" t="inlineStr">
        <is>
          <t>Sorting - Sorting</t>
        </is>
      </c>
      <c r="E688" s="2" t="n">
        <v>38</v>
      </c>
      <c r="F688" s="2" t="inlineStr">
        <is>
          <t>Alice and Bob</t>
        </is>
      </c>
      <c r="G688" s="2" t="inlineStr">
        <is>
          <t>TOYDESIRE</t>
        </is>
      </c>
      <c r="H688" s="2" t="inlineStr"/>
      <c r="I688" s="2" t="inlineStr">
        <is>
          <t>Medium</t>
        </is>
      </c>
      <c r="J688" s="3">
        <f>HYPERLINK("https://www.codechef.com/problems/TOYDESIRE", "https://www.codechef.com/problems/TOYDESIRE")</f>
        <v/>
      </c>
      <c r="K688" s="2" t="inlineStr"/>
      <c r="L688" s="2" t="inlineStr"/>
      <c r="M688" s="2" t="inlineStr"/>
      <c r="N688" s="2" t="inlineStr">
        <is>
          <t>No</t>
        </is>
      </c>
      <c r="O688" s="2" t="inlineStr">
        <is>
          <t>Unattempted</t>
        </is>
      </c>
    </row>
    <row r="689">
      <c r="A689" s="4" t="inlineStr">
        <is>
          <t>Interview Questions</t>
        </is>
      </c>
      <c r="B689" s="4" t="inlineStr">
        <is>
          <t>Data Structures Interview Questions</t>
        </is>
      </c>
      <c r="C689" s="4" t="inlineStr">
        <is>
          <t>Prepare yourselves for technical interview with a carefully curated set of problems that appeared in companies like Google, Facebook, Amazon, Microsoft, Adobe, Flipkart, OLX Group, Walmart Labs, eBay, Ola, LinkedIn &amp; more</t>
        </is>
      </c>
      <c r="D689" s="4" t="inlineStr">
        <is>
          <t>Sorting - Sorting</t>
        </is>
      </c>
      <c r="E689" s="4" t="n">
        <v>39</v>
      </c>
      <c r="F689" s="4" t="inlineStr">
        <is>
          <t>Sum of Maximums</t>
        </is>
      </c>
      <c r="G689" s="4" t="inlineStr">
        <is>
          <t>ALLMAX</t>
        </is>
      </c>
      <c r="H689" s="4" t="inlineStr"/>
      <c r="I689" s="4" t="inlineStr">
        <is>
          <t>Hard</t>
        </is>
      </c>
      <c r="J689" s="5">
        <f>HYPERLINK("https://www.codechef.com/problems/ALLMAX", "https://www.codechef.com/problems/ALLMAX")</f>
        <v/>
      </c>
      <c r="K689" s="4" t="inlineStr"/>
      <c r="L689" s="4" t="inlineStr"/>
      <c r="M689" s="4" t="inlineStr"/>
      <c r="N689" s="4" t="inlineStr">
        <is>
          <t>No</t>
        </is>
      </c>
      <c r="O689" s="4" t="inlineStr">
        <is>
          <t>Unattempted</t>
        </is>
      </c>
    </row>
    <row r="690">
      <c r="A690" s="2" t="inlineStr">
        <is>
          <t>Interview Questions</t>
        </is>
      </c>
      <c r="B690" s="2" t="inlineStr">
        <is>
          <t>Data Structures Interview Questions</t>
        </is>
      </c>
      <c r="C690" s="2" t="inlineStr">
        <is>
          <t>Prepare yourselves for technical interview with a carefully curated set of problems that appeared in companies like Google, Facebook, Amazon, Microsoft, Adobe, Flipkart, OLX Group, Walmart Labs, eBay, Ola, LinkedIn &amp; more</t>
        </is>
      </c>
      <c r="D690" s="2" t="inlineStr">
        <is>
          <t>Sorting - Sorting</t>
        </is>
      </c>
      <c r="E690" s="2" t="n">
        <v>40</v>
      </c>
      <c r="F690" s="2" t="inlineStr">
        <is>
          <t>Sort the array</t>
        </is>
      </c>
      <c r="G690" s="2" t="inlineStr">
        <is>
          <t>SRT</t>
        </is>
      </c>
      <c r="H690" s="2" t="inlineStr"/>
      <c r="I690" s="2" t="inlineStr">
        <is>
          <t>Medium</t>
        </is>
      </c>
      <c r="J690" s="3">
        <f>HYPERLINK("https://www.codechef.com/problems/SRT", "https://www.codechef.com/problems/SRT")</f>
        <v/>
      </c>
      <c r="K690" s="2" t="inlineStr"/>
      <c r="L690" s="2" t="inlineStr"/>
      <c r="M690" s="2" t="inlineStr"/>
      <c r="N690" s="2" t="inlineStr">
        <is>
          <t>No</t>
        </is>
      </c>
      <c r="O690" s="2" t="inlineStr">
        <is>
          <t>Unattempted</t>
        </is>
      </c>
    </row>
    <row r="691">
      <c r="A691" s="4" t="inlineStr">
        <is>
          <t>Interview Questions</t>
        </is>
      </c>
      <c r="B691" s="4" t="inlineStr">
        <is>
          <t>Data Structures Interview Questions</t>
        </is>
      </c>
      <c r="C691" s="4" t="inlineStr">
        <is>
          <t>Prepare yourselves for technical interview with a carefully curated set of problems that appeared in companies like Google, Facebook, Amazon, Microsoft, Adobe, Flipkart, OLX Group, Walmart Labs, eBay, Ola, LinkedIn &amp; more</t>
        </is>
      </c>
      <c r="D691" s="4" t="inlineStr">
        <is>
          <t>Sorting - Sorting</t>
        </is>
      </c>
      <c r="E691" s="4" t="n">
        <v>41</v>
      </c>
      <c r="F691" s="4" t="inlineStr">
        <is>
          <t>Reordering Strings</t>
        </is>
      </c>
      <c r="G691" s="4" t="inlineStr">
        <is>
          <t>REORDERING</t>
        </is>
      </c>
      <c r="H691" s="4" t="inlineStr"/>
      <c r="I691" s="4" t="inlineStr">
        <is>
          <t>Medium</t>
        </is>
      </c>
      <c r="J691" s="5">
        <f>HYPERLINK("https://www.codechef.com/problems/REORDERING", "https://www.codechef.com/problems/REORDERING")</f>
        <v/>
      </c>
      <c r="K691" s="4" t="inlineStr"/>
      <c r="L691" s="4" t="inlineStr"/>
      <c r="M691" s="4" t="inlineStr"/>
      <c r="N691" s="4" t="inlineStr">
        <is>
          <t>No</t>
        </is>
      </c>
      <c r="O691" s="4" t="inlineStr">
        <is>
          <t>Unattempted</t>
        </is>
      </c>
    </row>
    <row r="692">
      <c r="A692" s="2" t="inlineStr">
        <is>
          <t>Interview Questions</t>
        </is>
      </c>
      <c r="B692" s="2" t="inlineStr">
        <is>
          <t>Data Structures Interview Questions</t>
        </is>
      </c>
      <c r="C692" s="2" t="inlineStr">
        <is>
          <t>Prepare yourselves for technical interview with a carefully curated set of problems that appeared in companies like Google, Facebook, Amazon, Microsoft, Adobe, Flipkart, OLX Group, Walmart Labs, eBay, Ola, LinkedIn &amp; more</t>
        </is>
      </c>
      <c r="D692" s="2" t="inlineStr">
        <is>
          <t>Sorting - Sorting</t>
        </is>
      </c>
      <c r="E692" s="2" t="n">
        <v>42</v>
      </c>
      <c r="F692" s="2" t="inlineStr">
        <is>
          <t>Optimal Soldier Reorder</t>
        </is>
      </c>
      <c r="G692" s="2" t="inlineStr">
        <is>
          <t>OPTIMRDR</t>
        </is>
      </c>
      <c r="H692" s="2" t="inlineStr"/>
      <c r="I692" s="2" t="inlineStr">
        <is>
          <t>Medium</t>
        </is>
      </c>
      <c r="J692" s="3">
        <f>HYPERLINK("https://www.codechef.com/problems/OPTIMRDR", "https://www.codechef.com/problems/OPTIMRDR")</f>
        <v/>
      </c>
      <c r="K692" s="2" t="inlineStr"/>
      <c r="L692" s="2" t="inlineStr"/>
      <c r="M692" s="2" t="inlineStr"/>
      <c r="N692" s="2" t="inlineStr">
        <is>
          <t>No</t>
        </is>
      </c>
      <c r="O692" s="2" t="inlineStr">
        <is>
          <t>Unattempted</t>
        </is>
      </c>
    </row>
    <row r="693">
      <c r="A693" s="4" t="inlineStr">
        <is>
          <t>Interview Questions</t>
        </is>
      </c>
      <c r="B693" s="4" t="inlineStr">
        <is>
          <t>Data Structures Interview Questions</t>
        </is>
      </c>
      <c r="C693" s="4" t="inlineStr">
        <is>
          <t>Prepare yourselves for technical interview with a carefully curated set of problems that appeared in companies like Google, Facebook, Amazon, Microsoft, Adobe, Flipkart, OLX Group, Walmart Labs, eBay, Ola, LinkedIn &amp; more</t>
        </is>
      </c>
      <c r="D693" s="4" t="inlineStr">
        <is>
          <t>Sorting - Sorting</t>
        </is>
      </c>
      <c r="E693" s="4" t="n">
        <v>43</v>
      </c>
      <c r="F693" s="4" t="inlineStr">
        <is>
          <t>Sum of Smaller Elements</t>
        </is>
      </c>
      <c r="G693" s="4" t="inlineStr">
        <is>
          <t>SMLSUM</t>
        </is>
      </c>
      <c r="H693" s="4" t="inlineStr"/>
      <c r="I693" s="4" t="inlineStr">
        <is>
          <t>Medium</t>
        </is>
      </c>
      <c r="J693" s="5">
        <f>HYPERLINK("https://www.codechef.com/problems/SMLSUM", "https://www.codechef.com/problems/SMLSUM")</f>
        <v/>
      </c>
      <c r="K693" s="4" t="inlineStr"/>
      <c r="L693" s="4" t="inlineStr"/>
      <c r="M693" s="4" t="inlineStr"/>
      <c r="N693" s="4" t="inlineStr">
        <is>
          <t>No</t>
        </is>
      </c>
      <c r="O693" s="4" t="inlineStr">
        <is>
          <t>Unattempted</t>
        </is>
      </c>
    </row>
    <row r="694">
      <c r="A694" s="2" t="inlineStr">
        <is>
          <t>Interview Questions</t>
        </is>
      </c>
      <c r="B694" s="2" t="inlineStr">
        <is>
          <t>Data Structures Interview Questions</t>
        </is>
      </c>
      <c r="C694" s="2" t="inlineStr">
        <is>
          <t>Prepare yourselves for technical interview with a carefully curated set of problems that appeared in companies like Google, Facebook, Amazon, Microsoft, Adobe, Flipkart, OLX Group, Walmart Labs, eBay, Ola, LinkedIn &amp; more</t>
        </is>
      </c>
      <c r="D694" s="2" t="inlineStr">
        <is>
          <t>Sorting - Sorting</t>
        </is>
      </c>
      <c r="E694" s="2" t="n">
        <v>44</v>
      </c>
      <c r="F694" s="2" t="inlineStr">
        <is>
          <t>Good Queue</t>
        </is>
      </c>
      <c r="G694" s="2" t="inlineStr">
        <is>
          <t>GOODQU</t>
        </is>
      </c>
      <c r="H694" s="2" t="inlineStr"/>
      <c r="I694" s="2" t="inlineStr">
        <is>
          <t>Medium</t>
        </is>
      </c>
      <c r="J694" s="3">
        <f>HYPERLINK("https://www.codechef.com/problems/GOODQU", "https://www.codechef.com/problems/GOODQU")</f>
        <v/>
      </c>
      <c r="K694" s="2" t="inlineStr"/>
      <c r="L694" s="2" t="inlineStr"/>
      <c r="M694" s="2" t="inlineStr"/>
      <c r="N694" s="2" t="inlineStr">
        <is>
          <t>No</t>
        </is>
      </c>
      <c r="O694" s="2" t="inlineStr">
        <is>
          <t>Unattempted</t>
        </is>
      </c>
    </row>
    <row r="695">
      <c r="A695" s="4" t="inlineStr">
        <is>
          <t>Interview Questions</t>
        </is>
      </c>
      <c r="B695" s="4" t="inlineStr">
        <is>
          <t>Data Structures Interview Questions</t>
        </is>
      </c>
      <c r="C695" s="4" t="inlineStr">
        <is>
          <t>Prepare yourselves for technical interview with a carefully curated set of problems that appeared in companies like Google, Facebook, Amazon, Microsoft, Adobe, Flipkart, OLX Group, Walmart Labs, eBay, Ola, LinkedIn &amp; more</t>
        </is>
      </c>
      <c r="D695" s="4" t="inlineStr">
        <is>
          <t>Sorting - Sorting</t>
        </is>
      </c>
      <c r="E695" s="4" t="n">
        <v>45</v>
      </c>
      <c r="F695" s="4" t="inlineStr">
        <is>
          <t>Lists in ranges</t>
        </is>
      </c>
      <c r="G695" s="4" t="inlineStr">
        <is>
          <t>KLISTS</t>
        </is>
      </c>
      <c r="H695" s="4" t="inlineStr"/>
      <c r="I695" s="4" t="inlineStr">
        <is>
          <t>Medium</t>
        </is>
      </c>
      <c r="J695" s="5">
        <f>HYPERLINK("https://www.codechef.com/problems/KLISTS", "https://www.codechef.com/problems/KLISTS")</f>
        <v/>
      </c>
      <c r="K695" s="4" t="inlineStr"/>
      <c r="L695" s="4" t="inlineStr"/>
      <c r="M695" s="4" t="inlineStr"/>
      <c r="N695" s="4" t="inlineStr">
        <is>
          <t>No</t>
        </is>
      </c>
      <c r="O695" s="4" t="inlineStr">
        <is>
          <t>Unattempted</t>
        </is>
      </c>
    </row>
    <row r="696">
      <c r="A696" s="2" t="inlineStr">
        <is>
          <t>Interview Questions</t>
        </is>
      </c>
      <c r="B696" s="2" t="inlineStr">
        <is>
          <t>Data Structures Interview Questions</t>
        </is>
      </c>
      <c r="C696" s="2" t="inlineStr">
        <is>
          <t>Prepare yourselves for technical interview with a carefully curated set of problems that appeared in companies like Google, Facebook, Amazon, Microsoft, Adobe, Flipkart, OLX Group, Walmart Labs, eBay, Ola, LinkedIn &amp; more</t>
        </is>
      </c>
      <c r="D696" s="2" t="inlineStr">
        <is>
          <t>Sorting - Sorting</t>
        </is>
      </c>
      <c r="E696" s="2" t="n">
        <v>46</v>
      </c>
      <c r="F696" s="2" t="inlineStr">
        <is>
          <t>Minimize the Absolute Difference</t>
        </is>
      </c>
      <c r="G696" s="2" t="inlineStr">
        <is>
          <t>ABSDIF</t>
        </is>
      </c>
      <c r="H696" s="2" t="inlineStr"/>
      <c r="I696" s="2" t="inlineStr">
        <is>
          <t>Hard</t>
        </is>
      </c>
      <c r="J696" s="3">
        <f>HYPERLINK("https://www.codechef.com/problems/ABSDIF", "https://www.codechef.com/problems/ABSDIF")</f>
        <v/>
      </c>
      <c r="K696" s="2" t="inlineStr"/>
      <c r="L696" s="2" t="inlineStr"/>
      <c r="M696" s="2" t="inlineStr"/>
      <c r="N696" s="2" t="inlineStr">
        <is>
          <t>No</t>
        </is>
      </c>
      <c r="O696" s="2" t="inlineStr">
        <is>
          <t>Unattempted</t>
        </is>
      </c>
    </row>
    <row r="697">
      <c r="A697" s="4" t="inlineStr">
        <is>
          <t>Interview Questions</t>
        </is>
      </c>
      <c r="B697" s="4" t="inlineStr">
        <is>
          <t>Data Structures Interview Questions</t>
        </is>
      </c>
      <c r="C697" s="4" t="inlineStr">
        <is>
          <t>Prepare yourselves for technical interview with a carefully curated set of problems that appeared in companies like Google, Facebook, Amazon, Microsoft, Adobe, Flipkart, OLX Group, Walmart Labs, eBay, Ola, LinkedIn &amp; more</t>
        </is>
      </c>
      <c r="D697" s="4" t="inlineStr">
        <is>
          <t>Strings - Strings</t>
        </is>
      </c>
      <c r="E697" s="4" t="n">
        <v>47</v>
      </c>
      <c r="F697" s="4" t="inlineStr">
        <is>
          <t>Find the Pattern</t>
        </is>
      </c>
      <c r="G697" s="4" t="inlineStr">
        <is>
          <t>PATSEARCH</t>
        </is>
      </c>
      <c r="H697" s="4" t="inlineStr"/>
      <c r="I697" s="4" t="inlineStr">
        <is>
          <t>Medium</t>
        </is>
      </c>
      <c r="J697" s="5">
        <f>HYPERLINK("https://www.codechef.com/problems/PATSEARCH", "https://www.codechef.com/problems/PATSEARCH")</f>
        <v/>
      </c>
      <c r="K697" s="4" t="inlineStr"/>
      <c r="L697" s="4" t="inlineStr"/>
      <c r="M697" s="4" t="inlineStr"/>
      <c r="N697" s="4" t="inlineStr">
        <is>
          <t>No</t>
        </is>
      </c>
      <c r="O697" s="4" t="inlineStr">
        <is>
          <t>Unattempted</t>
        </is>
      </c>
    </row>
    <row r="698">
      <c r="A698" s="2" t="inlineStr">
        <is>
          <t>Interview Questions</t>
        </is>
      </c>
      <c r="B698" s="2" t="inlineStr">
        <is>
          <t>Data Structures Interview Questions</t>
        </is>
      </c>
      <c r="C698" s="2" t="inlineStr">
        <is>
          <t>Prepare yourselves for technical interview with a carefully curated set of problems that appeared in companies like Google, Facebook, Amazon, Microsoft, Adobe, Flipkart, OLX Group, Walmart Labs, eBay, Ola, LinkedIn &amp; more</t>
        </is>
      </c>
      <c r="D698" s="2" t="inlineStr">
        <is>
          <t>Strings - Strings</t>
        </is>
      </c>
      <c r="E698" s="2" t="n">
        <v>48</v>
      </c>
      <c r="F698" s="2" t="inlineStr">
        <is>
          <t>Add One</t>
        </is>
      </c>
      <c r="G698" s="2" t="inlineStr">
        <is>
          <t>ADDONE</t>
        </is>
      </c>
      <c r="H698" s="2" t="inlineStr">
        <is>
          <t>940</t>
        </is>
      </c>
      <c r="I698" s="2" t="inlineStr">
        <is>
          <t>Easy</t>
        </is>
      </c>
      <c r="J698" s="3">
        <f>HYPERLINK("https://www.codechef.com/problems/ADDONE", "https://www.codechef.com/problems/ADDONE")</f>
        <v/>
      </c>
      <c r="K698" s="2" t="inlineStr"/>
      <c r="L698" s="2" t="inlineStr"/>
      <c r="M698" s="2" t="inlineStr"/>
      <c r="N698" s="2" t="inlineStr">
        <is>
          <t>No</t>
        </is>
      </c>
      <c r="O698" s="2" t="inlineStr">
        <is>
          <t>Unattempted</t>
        </is>
      </c>
    </row>
    <row r="699">
      <c r="A699" s="4" t="inlineStr">
        <is>
          <t>Interview Questions</t>
        </is>
      </c>
      <c r="B699" s="4" t="inlineStr">
        <is>
          <t>Data Structures Interview Questions</t>
        </is>
      </c>
      <c r="C699" s="4" t="inlineStr">
        <is>
          <t>Prepare yourselves for technical interview with a carefully curated set of problems that appeared in companies like Google, Facebook, Amazon, Microsoft, Adobe, Flipkart, OLX Group, Walmart Labs, eBay, Ola, LinkedIn &amp; more</t>
        </is>
      </c>
      <c r="D699" s="4" t="inlineStr">
        <is>
          <t>Strings - Strings</t>
        </is>
      </c>
      <c r="E699" s="4" t="n">
        <v>49</v>
      </c>
      <c r="F699" s="4" t="inlineStr">
        <is>
          <t>Password Chef</t>
        </is>
      </c>
      <c r="G699" s="4" t="inlineStr">
        <is>
          <t>PSWDCHEF</t>
        </is>
      </c>
      <c r="H699" s="4" t="inlineStr"/>
      <c r="I699" s="4" t="inlineStr">
        <is>
          <t>Easy</t>
        </is>
      </c>
      <c r="J699" s="5">
        <f>HYPERLINK("https://www.codechef.com/problems/PSWDCHEF", "https://www.codechef.com/problems/PSWDCHEF")</f>
        <v/>
      </c>
      <c r="K699" s="4" t="inlineStr"/>
      <c r="L699" s="4" t="inlineStr"/>
      <c r="M699" s="4" t="inlineStr"/>
      <c r="N699" s="4" t="inlineStr">
        <is>
          <t>No</t>
        </is>
      </c>
      <c r="O699" s="4" t="inlineStr">
        <is>
          <t>Unattempted</t>
        </is>
      </c>
    </row>
    <row r="700">
      <c r="A700" s="2" t="inlineStr">
        <is>
          <t>Interview Questions</t>
        </is>
      </c>
      <c r="B700" s="2" t="inlineStr">
        <is>
          <t>Data Structures Interview Questions</t>
        </is>
      </c>
      <c r="C700" s="2" t="inlineStr">
        <is>
          <t>Prepare yourselves for technical interview with a carefully curated set of problems that appeared in companies like Google, Facebook, Amazon, Microsoft, Adobe, Flipkart, OLX Group, Walmart Labs, eBay, Ola, LinkedIn &amp; more</t>
        </is>
      </c>
      <c r="D700" s="2" t="inlineStr">
        <is>
          <t>Strings - Strings</t>
        </is>
      </c>
      <c r="E700" s="2" t="n">
        <v>50</v>
      </c>
      <c r="F700" s="2" t="inlineStr">
        <is>
          <t>Dispute Resolving</t>
        </is>
      </c>
      <c r="G700" s="2" t="inlineStr">
        <is>
          <t>PAL_STRING</t>
        </is>
      </c>
      <c r="H700" s="2" t="inlineStr"/>
      <c r="I700" s="2" t="inlineStr">
        <is>
          <t>Medium</t>
        </is>
      </c>
      <c r="J700" s="3">
        <f>HYPERLINK("https://www.codechef.com/problems/PAL_STRING", "https://www.codechef.com/problems/PAL_STRING")</f>
        <v/>
      </c>
      <c r="K700" s="2" t="inlineStr"/>
      <c r="L700" s="2" t="inlineStr"/>
      <c r="M700" s="2" t="inlineStr"/>
      <c r="N700" s="2" t="inlineStr">
        <is>
          <t>No</t>
        </is>
      </c>
      <c r="O700" s="2" t="inlineStr">
        <is>
          <t>Unattempted</t>
        </is>
      </c>
    </row>
    <row r="701">
      <c r="A701" s="4" t="inlineStr">
        <is>
          <t>Interview Questions</t>
        </is>
      </c>
      <c r="B701" s="4" t="inlineStr">
        <is>
          <t>Data Structures Interview Questions</t>
        </is>
      </c>
      <c r="C701" s="4" t="inlineStr">
        <is>
          <t>Prepare yourselves for technical interview with a carefully curated set of problems that appeared in companies like Google, Facebook, Amazon, Microsoft, Adobe, Flipkart, OLX Group, Walmart Labs, eBay, Ola, LinkedIn &amp; more</t>
        </is>
      </c>
      <c r="D701" s="4" t="inlineStr">
        <is>
          <t>Strings - Strings</t>
        </is>
      </c>
      <c r="E701" s="4" t="n">
        <v>51</v>
      </c>
      <c r="F701" s="4" t="inlineStr">
        <is>
          <t>Balance the String</t>
        </is>
      </c>
      <c r="G701" s="4" t="inlineStr">
        <is>
          <t>BALSTR</t>
        </is>
      </c>
      <c r="H701" s="4" t="inlineStr"/>
      <c r="I701" s="4" t="inlineStr">
        <is>
          <t>Medium</t>
        </is>
      </c>
      <c r="J701" s="5">
        <f>HYPERLINK("https://www.codechef.com/problems/BALSTR", "https://www.codechef.com/problems/BALSTR")</f>
        <v/>
      </c>
      <c r="K701" s="4" t="inlineStr"/>
      <c r="L701" s="4" t="inlineStr"/>
      <c r="M701" s="4" t="inlineStr"/>
      <c r="N701" s="4" t="inlineStr">
        <is>
          <t>No</t>
        </is>
      </c>
      <c r="O701" s="4" t="inlineStr">
        <is>
          <t>Unattempted</t>
        </is>
      </c>
    </row>
    <row r="702">
      <c r="A702" s="2" t="inlineStr">
        <is>
          <t>Interview Questions</t>
        </is>
      </c>
      <c r="B702" s="2" t="inlineStr">
        <is>
          <t>Data Structures Interview Questions</t>
        </is>
      </c>
      <c r="C702" s="2" t="inlineStr">
        <is>
          <t>Prepare yourselves for technical interview with a carefully curated set of problems that appeared in companies like Google, Facebook, Amazon, Microsoft, Adobe, Flipkart, OLX Group, Walmart Labs, eBay, Ola, LinkedIn &amp; more</t>
        </is>
      </c>
      <c r="D702" s="2" t="inlineStr">
        <is>
          <t>Strings - Strings</t>
        </is>
      </c>
      <c r="E702" s="2" t="n">
        <v>52</v>
      </c>
      <c r="F702" s="2" t="inlineStr">
        <is>
          <t>Rearrange String</t>
        </is>
      </c>
      <c r="G702" s="2" t="inlineStr">
        <is>
          <t>RESTR</t>
        </is>
      </c>
      <c r="H702" s="2" t="inlineStr"/>
      <c r="I702" s="2" t="inlineStr">
        <is>
          <t>Medium</t>
        </is>
      </c>
      <c r="J702" s="3">
        <f>HYPERLINK("https://www.codechef.com/problems/RESTR", "https://www.codechef.com/problems/RESTR")</f>
        <v/>
      </c>
      <c r="K702" s="2" t="inlineStr"/>
      <c r="L702" s="2" t="inlineStr"/>
      <c r="M702" s="2" t="inlineStr"/>
      <c r="N702" s="2" t="inlineStr">
        <is>
          <t>No</t>
        </is>
      </c>
      <c r="O702" s="2" t="inlineStr">
        <is>
          <t>Unattempted</t>
        </is>
      </c>
    </row>
    <row r="703">
      <c r="A703" s="4" t="inlineStr">
        <is>
          <t>Interview Questions</t>
        </is>
      </c>
      <c r="B703" s="4" t="inlineStr">
        <is>
          <t>Data Structures Interview Questions</t>
        </is>
      </c>
      <c r="C703" s="4" t="inlineStr">
        <is>
          <t>Prepare yourselves for technical interview with a carefully curated set of problems that appeared in companies like Google, Facebook, Amazon, Microsoft, Adobe, Flipkart, OLX Group, Walmart Labs, eBay, Ola, LinkedIn &amp; more</t>
        </is>
      </c>
      <c r="D703" s="4" t="inlineStr">
        <is>
          <t>Strings - Strings</t>
        </is>
      </c>
      <c r="E703" s="4" t="n">
        <v>53</v>
      </c>
      <c r="F703" s="4" t="inlineStr">
        <is>
          <t>Typing Letter</t>
        </is>
      </c>
      <c r="G703" s="4" t="inlineStr">
        <is>
          <t>TYPE</t>
        </is>
      </c>
      <c r="H703" s="4" t="inlineStr">
        <is>
          <t>1250</t>
        </is>
      </c>
      <c r="I703" s="4" t="inlineStr">
        <is>
          <t>Easy</t>
        </is>
      </c>
      <c r="J703" s="5">
        <f>HYPERLINK("https://www.codechef.com/problems/TYPE", "https://www.codechef.com/problems/TYPE")</f>
        <v/>
      </c>
      <c r="K703" s="4" t="inlineStr"/>
      <c r="L703" s="4" t="inlineStr"/>
      <c r="M703" s="4" t="inlineStr"/>
      <c r="N703" s="4" t="inlineStr">
        <is>
          <t>No</t>
        </is>
      </c>
      <c r="O703" s="4" t="inlineStr">
        <is>
          <t>Unattempted</t>
        </is>
      </c>
    </row>
    <row r="704">
      <c r="A704" s="2" t="inlineStr">
        <is>
          <t>Interview Questions</t>
        </is>
      </c>
      <c r="B704" s="2" t="inlineStr">
        <is>
          <t>Data Structures Interview Questions</t>
        </is>
      </c>
      <c r="C704" s="2" t="inlineStr">
        <is>
          <t>Prepare yourselves for technical interview with a carefully curated set of problems that appeared in companies like Google, Facebook, Amazon, Microsoft, Adobe, Flipkart, OLX Group, Walmart Labs, eBay, Ola, LinkedIn &amp; more</t>
        </is>
      </c>
      <c r="D704" s="2" t="inlineStr">
        <is>
          <t>Strings - Strings</t>
        </is>
      </c>
      <c r="E704" s="2" t="n">
        <v>54</v>
      </c>
      <c r="F704" s="2" t="inlineStr">
        <is>
          <t>Merge The Milk</t>
        </is>
      </c>
      <c r="G704" s="2" t="inlineStr">
        <is>
          <t>MTM</t>
        </is>
      </c>
      <c r="H704" s="2" t="inlineStr"/>
      <c r="I704" s="2" t="inlineStr">
        <is>
          <t>Medium</t>
        </is>
      </c>
      <c r="J704" s="3">
        <f>HYPERLINK("https://www.codechef.com/problems/MTM", "https://www.codechef.com/problems/MTM")</f>
        <v/>
      </c>
      <c r="K704" s="2" t="inlineStr"/>
      <c r="L704" s="2" t="inlineStr"/>
      <c r="M704" s="2" t="inlineStr"/>
      <c r="N704" s="2" t="inlineStr">
        <is>
          <t>No</t>
        </is>
      </c>
      <c r="O704" s="2" t="inlineStr">
        <is>
          <t>Unattempted</t>
        </is>
      </c>
    </row>
    <row r="705">
      <c r="A705" s="4" t="inlineStr">
        <is>
          <t>Interview Questions</t>
        </is>
      </c>
      <c r="B705" s="4" t="inlineStr">
        <is>
          <t>Data Structures Interview Questions</t>
        </is>
      </c>
      <c r="C705" s="4" t="inlineStr">
        <is>
          <t>Prepare yourselves for technical interview with a carefully curated set of problems that appeared in companies like Google, Facebook, Amazon, Microsoft, Adobe, Flipkart, OLX Group, Walmart Labs, eBay, Ola, LinkedIn &amp; more</t>
        </is>
      </c>
      <c r="D705" s="4" t="inlineStr">
        <is>
          <t>Strings - Strings</t>
        </is>
      </c>
      <c r="E705" s="4" t="n">
        <v>55</v>
      </c>
      <c r="F705" s="4" t="inlineStr">
        <is>
          <t>Make Valid</t>
        </is>
      </c>
      <c r="G705" s="4" t="inlineStr">
        <is>
          <t>MKVLD</t>
        </is>
      </c>
      <c r="H705" s="4" t="inlineStr"/>
      <c r="I705" s="4" t="inlineStr">
        <is>
          <t>Hard</t>
        </is>
      </c>
      <c r="J705" s="5">
        <f>HYPERLINK("https://www.codechef.com/problems/MKVLD", "https://www.codechef.com/problems/MKVLD")</f>
        <v/>
      </c>
      <c r="K705" s="4" t="inlineStr"/>
      <c r="L705" s="4" t="inlineStr"/>
      <c r="M705" s="4" t="inlineStr"/>
      <c r="N705" s="4" t="inlineStr">
        <is>
          <t>No</t>
        </is>
      </c>
      <c r="O705" s="4" t="inlineStr">
        <is>
          <t>Unattempted</t>
        </is>
      </c>
    </row>
    <row r="706">
      <c r="A706" s="2" t="inlineStr">
        <is>
          <t>Interview Questions</t>
        </is>
      </c>
      <c r="B706" s="2" t="inlineStr">
        <is>
          <t>Data Structures Interview Questions</t>
        </is>
      </c>
      <c r="C706" s="2" t="inlineStr">
        <is>
          <t>Prepare yourselves for technical interview with a carefully curated set of problems that appeared in companies like Google, Facebook, Amazon, Microsoft, Adobe, Flipkart, OLX Group, Walmart Labs, eBay, Ola, LinkedIn &amp; more</t>
        </is>
      </c>
      <c r="D706" s="2" t="inlineStr">
        <is>
          <t>Strings - Strings</t>
        </is>
      </c>
      <c r="E706" s="2" t="n">
        <v>56</v>
      </c>
      <c r="F706" s="2" t="inlineStr">
        <is>
          <t>Really Secret Algorithm</t>
        </is>
      </c>
      <c r="G706" s="2" t="inlineStr">
        <is>
          <t>RSA</t>
        </is>
      </c>
      <c r="H706" s="2" t="inlineStr"/>
      <c r="I706" s="2" t="inlineStr">
        <is>
          <t>Medium</t>
        </is>
      </c>
      <c r="J706" s="3">
        <f>HYPERLINK("https://www.codechef.com/problems/RSA", "https://www.codechef.com/problems/RSA")</f>
        <v/>
      </c>
      <c r="K706" s="2" t="inlineStr"/>
      <c r="L706" s="2" t="inlineStr"/>
      <c r="M706" s="2" t="inlineStr"/>
      <c r="N706" s="2" t="inlineStr">
        <is>
          <t>No</t>
        </is>
      </c>
      <c r="O706" s="2" t="inlineStr">
        <is>
          <t>Unattempted</t>
        </is>
      </c>
    </row>
    <row r="707">
      <c r="A707" s="4" t="inlineStr">
        <is>
          <t>Interview Questions</t>
        </is>
      </c>
      <c r="B707" s="4" t="inlineStr">
        <is>
          <t>Data Structures Interview Questions</t>
        </is>
      </c>
      <c r="C707" s="4" t="inlineStr">
        <is>
          <t>Prepare yourselves for technical interview with a carefully curated set of problems that appeared in companies like Google, Facebook, Amazon, Microsoft, Adobe, Flipkart, OLX Group, Walmart Labs, eBay, Ola, LinkedIn &amp; more</t>
        </is>
      </c>
      <c r="D707" s="4" t="inlineStr">
        <is>
          <t>Strings - Strings</t>
        </is>
      </c>
      <c r="E707" s="4" t="n">
        <v>57</v>
      </c>
      <c r="F707" s="4" t="inlineStr">
        <is>
          <t>John Nash Pattern</t>
        </is>
      </c>
      <c r="G707" s="4" t="inlineStr">
        <is>
          <t>JNP</t>
        </is>
      </c>
      <c r="H707" s="4" t="inlineStr"/>
      <c r="I707" s="4" t="inlineStr">
        <is>
          <t>Medium</t>
        </is>
      </c>
      <c r="J707" s="5">
        <f>HYPERLINK("https://www.codechef.com/problems/JNP", "https://www.codechef.com/problems/JNP")</f>
        <v/>
      </c>
      <c r="K707" s="4" t="inlineStr"/>
      <c r="L707" s="4" t="inlineStr"/>
      <c r="M707" s="4" t="inlineStr"/>
      <c r="N707" s="4" t="inlineStr">
        <is>
          <t>No</t>
        </is>
      </c>
      <c r="O707" s="4" t="inlineStr">
        <is>
          <t>Unattempted</t>
        </is>
      </c>
    </row>
    <row r="708">
      <c r="A708" s="2" t="inlineStr">
        <is>
          <t>Interview Questions</t>
        </is>
      </c>
      <c r="B708" s="2" t="inlineStr">
        <is>
          <t>Data Structures Interview Questions</t>
        </is>
      </c>
      <c r="C708" s="2" t="inlineStr">
        <is>
          <t>Prepare yourselves for technical interview with a carefully curated set of problems that appeared in companies like Google, Facebook, Amazon, Microsoft, Adobe, Flipkart, OLX Group, Walmart Labs, eBay, Ola, LinkedIn &amp; more</t>
        </is>
      </c>
      <c r="D708" s="2" t="inlineStr">
        <is>
          <t>Linkedlist - Linkedlist</t>
        </is>
      </c>
      <c r="E708" s="2" t="n">
        <v>58</v>
      </c>
      <c r="F708" s="2" t="inlineStr">
        <is>
          <t>Reverse a Linked List</t>
        </is>
      </c>
      <c r="G708" s="2" t="inlineStr">
        <is>
          <t>RTLL</t>
        </is>
      </c>
      <c r="H708" s="2" t="inlineStr">
        <is>
          <t>1400</t>
        </is>
      </c>
      <c r="I708" s="2" t="inlineStr">
        <is>
          <t>Medium</t>
        </is>
      </c>
      <c r="J708" s="3">
        <f>HYPERLINK("https://www.codechef.com/problems/RTLL", "https://www.codechef.com/problems/RTLL")</f>
        <v/>
      </c>
      <c r="K708" s="2" t="inlineStr"/>
      <c r="L708" s="2" t="inlineStr"/>
      <c r="M708" s="2" t="inlineStr"/>
      <c r="N708" s="2" t="inlineStr">
        <is>
          <t>No</t>
        </is>
      </c>
      <c r="O708" s="2" t="inlineStr">
        <is>
          <t>Unattempted</t>
        </is>
      </c>
    </row>
    <row r="709">
      <c r="A709" s="4" t="inlineStr">
        <is>
          <t>Interview Questions</t>
        </is>
      </c>
      <c r="B709" s="4" t="inlineStr">
        <is>
          <t>Data Structures Interview Questions</t>
        </is>
      </c>
      <c r="C709" s="4" t="inlineStr">
        <is>
          <t>Prepare yourselves for technical interview with a carefully curated set of problems that appeared in companies like Google, Facebook, Amazon, Microsoft, Adobe, Flipkart, OLX Group, Walmart Labs, eBay, Ola, LinkedIn &amp; more</t>
        </is>
      </c>
      <c r="D709" s="4" t="inlineStr">
        <is>
          <t>Linkedlist - Linkedlist</t>
        </is>
      </c>
      <c r="E709" s="4" t="n">
        <v>59</v>
      </c>
      <c r="F709" s="4" t="inlineStr">
        <is>
          <t>Find Middle Element of Linked List</t>
        </is>
      </c>
      <c r="G709" s="4" t="inlineStr">
        <is>
          <t>LLMID</t>
        </is>
      </c>
      <c r="H709" s="4" t="inlineStr">
        <is>
          <t>1200</t>
        </is>
      </c>
      <c r="I709" s="4" t="inlineStr">
        <is>
          <t>Easy</t>
        </is>
      </c>
      <c r="J709" s="5">
        <f>HYPERLINK("https://www.codechef.com/problems/LLMID", "https://www.codechef.com/problems/LLMID")</f>
        <v/>
      </c>
      <c r="K709" s="4" t="inlineStr"/>
      <c r="L709" s="4" t="inlineStr"/>
      <c r="M709" s="4" t="inlineStr"/>
      <c r="N709" s="4" t="inlineStr">
        <is>
          <t>No</t>
        </is>
      </c>
      <c r="O709" s="4" t="inlineStr">
        <is>
          <t>Unattempted</t>
        </is>
      </c>
    </row>
    <row r="710">
      <c r="A710" s="2" t="inlineStr">
        <is>
          <t>Interview Questions</t>
        </is>
      </c>
      <c r="B710" s="2" t="inlineStr">
        <is>
          <t>Data Structures Interview Questions</t>
        </is>
      </c>
      <c r="C710" s="2" t="inlineStr">
        <is>
          <t>Prepare yourselves for technical interview with a carefully curated set of problems that appeared in companies like Google, Facebook, Amazon, Microsoft, Adobe, Flipkart, OLX Group, Walmart Labs, eBay, Ola, LinkedIn &amp; more</t>
        </is>
      </c>
      <c r="D710" s="2" t="inlineStr">
        <is>
          <t>Linkedlist - Linkedlist</t>
        </is>
      </c>
      <c r="E710" s="2" t="n">
        <v>60</v>
      </c>
      <c r="F710" s="2" t="inlineStr">
        <is>
          <t>Remove Duplicates</t>
        </is>
      </c>
      <c r="G710" s="2" t="inlineStr">
        <is>
          <t>REMDUP</t>
        </is>
      </c>
      <c r="H710" s="2" t="inlineStr">
        <is>
          <t>1100</t>
        </is>
      </c>
      <c r="I710" s="2" t="inlineStr">
        <is>
          <t>Easy</t>
        </is>
      </c>
      <c r="J710" s="3">
        <f>HYPERLINK("https://www.codechef.com/problems/REMDUP", "https://www.codechef.com/problems/REMDUP")</f>
        <v/>
      </c>
      <c r="K710" s="2" t="inlineStr"/>
      <c r="L710" s="2" t="inlineStr"/>
      <c r="M710" s="2" t="inlineStr"/>
      <c r="N710" s="2" t="inlineStr">
        <is>
          <t>No</t>
        </is>
      </c>
      <c r="O710" s="2" t="inlineStr">
        <is>
          <t>Unattempted</t>
        </is>
      </c>
    </row>
    <row r="711">
      <c r="A711" s="4" t="inlineStr">
        <is>
          <t>Interview Questions</t>
        </is>
      </c>
      <c r="B711" s="4" t="inlineStr">
        <is>
          <t>Data Structures Interview Questions</t>
        </is>
      </c>
      <c r="C711" s="4" t="inlineStr">
        <is>
          <t>Prepare yourselves for technical interview with a carefully curated set of problems that appeared in companies like Google, Facebook, Amazon, Microsoft, Adobe, Flipkart, OLX Group, Walmart Labs, eBay, Ola, LinkedIn &amp; more</t>
        </is>
      </c>
      <c r="D711" s="4" t="inlineStr">
        <is>
          <t>Linkedlist - Linkedlist</t>
        </is>
      </c>
      <c r="E711" s="4" t="n">
        <v>61</v>
      </c>
      <c r="F711" s="4" t="inlineStr">
        <is>
          <t>Rotate the List</t>
        </is>
      </c>
      <c r="G711" s="4" t="inlineStr">
        <is>
          <t>ROTLIST</t>
        </is>
      </c>
      <c r="H711" s="4" t="inlineStr">
        <is>
          <t>1300</t>
        </is>
      </c>
      <c r="I711" s="4" t="inlineStr">
        <is>
          <t>Easy</t>
        </is>
      </c>
      <c r="J711" s="5">
        <f>HYPERLINK("https://www.codechef.com/problems/ROTLIST", "https://www.codechef.com/problems/ROTLIST")</f>
        <v/>
      </c>
      <c r="K711" s="4" t="inlineStr"/>
      <c r="L711" s="4" t="inlineStr"/>
      <c r="M711" s="4" t="inlineStr"/>
      <c r="N711" s="4" t="inlineStr">
        <is>
          <t>No</t>
        </is>
      </c>
      <c r="O711" s="4" t="inlineStr">
        <is>
          <t>Unattempted</t>
        </is>
      </c>
    </row>
    <row r="712">
      <c r="A712" s="2" t="inlineStr">
        <is>
          <t>Interview Questions</t>
        </is>
      </c>
      <c r="B712" s="2" t="inlineStr">
        <is>
          <t>Data Structures Interview Questions</t>
        </is>
      </c>
      <c r="C712" s="2" t="inlineStr">
        <is>
          <t>Prepare yourselves for technical interview with a carefully curated set of problems that appeared in companies like Google, Facebook, Amazon, Microsoft, Adobe, Flipkart, OLX Group, Walmart Labs, eBay, Ola, LinkedIn &amp; more</t>
        </is>
      </c>
      <c r="D712" s="2" t="inlineStr">
        <is>
          <t>Linkedlist - Linkedlist</t>
        </is>
      </c>
      <c r="E712" s="2" t="n">
        <v>62</v>
      </c>
      <c r="F712" s="2" t="inlineStr">
        <is>
          <t>Insert Remove Nodes</t>
        </is>
      </c>
      <c r="G712" s="2" t="inlineStr">
        <is>
          <t>NODEAD</t>
        </is>
      </c>
      <c r="H712" s="2" t="inlineStr">
        <is>
          <t>1300</t>
        </is>
      </c>
      <c r="I712" s="2" t="inlineStr">
        <is>
          <t>Easy</t>
        </is>
      </c>
      <c r="J712" s="3">
        <f>HYPERLINK("https://www.codechef.com/problems/NODEAD", "https://www.codechef.com/problems/NODEAD")</f>
        <v/>
      </c>
      <c r="K712" s="2" t="inlineStr"/>
      <c r="L712" s="2" t="inlineStr"/>
      <c r="M712" s="2" t="inlineStr"/>
      <c r="N712" s="2" t="inlineStr">
        <is>
          <t>No</t>
        </is>
      </c>
      <c r="O712" s="2" t="inlineStr">
        <is>
          <t>Unattempted</t>
        </is>
      </c>
    </row>
    <row r="713">
      <c r="A713" s="4" t="inlineStr">
        <is>
          <t>Interview Questions</t>
        </is>
      </c>
      <c r="B713" s="4" t="inlineStr">
        <is>
          <t>Data Structures Interview Questions</t>
        </is>
      </c>
      <c r="C713" s="4" t="inlineStr">
        <is>
          <t>Prepare yourselves for technical interview with a carefully curated set of problems that appeared in companies like Google, Facebook, Amazon, Microsoft, Adobe, Flipkart, OLX Group, Walmart Labs, eBay, Ola, LinkedIn &amp; more</t>
        </is>
      </c>
      <c r="D713" s="4" t="inlineStr">
        <is>
          <t>Linkedlist - Linkedlist</t>
        </is>
      </c>
      <c r="E713" s="4" t="n">
        <v>63</v>
      </c>
      <c r="F713" s="4" t="inlineStr">
        <is>
          <t>Separate Even and Odd values in a linked list</t>
        </is>
      </c>
      <c r="G713" s="4" t="inlineStr">
        <is>
          <t>SEGEO</t>
        </is>
      </c>
      <c r="H713" s="4" t="inlineStr">
        <is>
          <t>1300</t>
        </is>
      </c>
      <c r="I713" s="4" t="inlineStr">
        <is>
          <t>Easy</t>
        </is>
      </c>
      <c r="J713" s="5">
        <f>HYPERLINK("https://www.codechef.com/problems/SEGEO", "https://www.codechef.com/problems/SEGEO")</f>
        <v/>
      </c>
      <c r="K713" s="4" t="inlineStr"/>
      <c r="L713" s="4" t="inlineStr"/>
      <c r="M713" s="4" t="inlineStr"/>
      <c r="N713" s="4" t="inlineStr">
        <is>
          <t>No</t>
        </is>
      </c>
      <c r="O713" s="4" t="inlineStr">
        <is>
          <t>Unattempted</t>
        </is>
      </c>
    </row>
    <row r="714">
      <c r="A714" s="2" t="inlineStr">
        <is>
          <t>Interview Questions</t>
        </is>
      </c>
      <c r="B714" s="2" t="inlineStr">
        <is>
          <t>Data Structures Interview Questions</t>
        </is>
      </c>
      <c r="C714" s="2" t="inlineStr">
        <is>
          <t>Prepare yourselves for technical interview with a carefully curated set of problems that appeared in companies like Google, Facebook, Amazon, Microsoft, Adobe, Flipkart, OLX Group, Walmart Labs, eBay, Ola, LinkedIn &amp; more</t>
        </is>
      </c>
      <c r="D714" s="2" t="inlineStr">
        <is>
          <t>Linkedlist - Linkedlist</t>
        </is>
      </c>
      <c r="E714" s="2" t="n">
        <v>64</v>
      </c>
      <c r="F714" s="2" t="inlineStr">
        <is>
          <t>Insert and Delete in Doubly Linked List</t>
        </is>
      </c>
      <c r="G714" s="2" t="inlineStr">
        <is>
          <t>INSDELDLL</t>
        </is>
      </c>
      <c r="H714" s="2" t="inlineStr">
        <is>
          <t>1300</t>
        </is>
      </c>
      <c r="I714" s="2" t="inlineStr">
        <is>
          <t>Easy</t>
        </is>
      </c>
      <c r="J714" s="3">
        <f>HYPERLINK("https://www.codechef.com/problems/INSDELDLL", "https://www.codechef.com/problems/INSDELDLL")</f>
        <v/>
      </c>
      <c r="K714" s="2" t="inlineStr"/>
      <c r="L714" s="2" t="inlineStr"/>
      <c r="M714" s="2" t="inlineStr"/>
      <c r="N714" s="2" t="inlineStr">
        <is>
          <t>No</t>
        </is>
      </c>
      <c r="O714" s="2" t="inlineStr">
        <is>
          <t>Unattempted</t>
        </is>
      </c>
    </row>
    <row r="715">
      <c r="A715" s="4" t="inlineStr">
        <is>
          <t>Interview Questions</t>
        </is>
      </c>
      <c r="B715" s="4" t="inlineStr">
        <is>
          <t>Data Structures Interview Questions</t>
        </is>
      </c>
      <c r="C715" s="4" t="inlineStr">
        <is>
          <t>Prepare yourselves for technical interview with a carefully curated set of problems that appeared in companies like Google, Facebook, Amazon, Microsoft, Adobe, Flipkart, OLX Group, Walmart Labs, eBay, Ola, LinkedIn &amp; more</t>
        </is>
      </c>
      <c r="D715" s="4" t="inlineStr">
        <is>
          <t>Linkedlist - Linkedlist</t>
        </is>
      </c>
      <c r="E715" s="4" t="n">
        <v>65</v>
      </c>
      <c r="F715" s="4" t="inlineStr">
        <is>
          <t>Count loop length in Linked List</t>
        </is>
      </c>
      <c r="G715" s="4" t="inlineStr">
        <is>
          <t>LINKLP</t>
        </is>
      </c>
      <c r="H715" s="4" t="inlineStr">
        <is>
          <t>1300</t>
        </is>
      </c>
      <c r="I715" s="4" t="inlineStr">
        <is>
          <t>Easy</t>
        </is>
      </c>
      <c r="J715" s="5">
        <f>HYPERLINK("https://www.codechef.com/problems/LINKLP", "https://www.codechef.com/problems/LINKLP")</f>
        <v/>
      </c>
      <c r="K715" s="4" t="inlineStr"/>
      <c r="L715" s="4" t="inlineStr"/>
      <c r="M715" s="4" t="inlineStr"/>
      <c r="N715" s="4" t="inlineStr">
        <is>
          <t>No</t>
        </is>
      </c>
      <c r="O715" s="4" t="inlineStr">
        <is>
          <t>Unattempted</t>
        </is>
      </c>
    </row>
    <row r="716">
      <c r="A716" s="2" t="inlineStr">
        <is>
          <t>Interview Questions</t>
        </is>
      </c>
      <c r="B716" s="2" t="inlineStr">
        <is>
          <t>Data Structures Interview Questions</t>
        </is>
      </c>
      <c r="C716" s="2" t="inlineStr">
        <is>
          <t>Prepare yourselves for technical interview with a carefully curated set of problems that appeared in companies like Google, Facebook, Amazon, Microsoft, Adobe, Flipkart, OLX Group, Walmart Labs, eBay, Ola, LinkedIn &amp; more</t>
        </is>
      </c>
      <c r="D716" s="2" t="inlineStr">
        <is>
          <t>Linkedlist - Linkedlist</t>
        </is>
      </c>
      <c r="E716" s="2" t="n">
        <v>66</v>
      </c>
      <c r="F716" s="2" t="inlineStr">
        <is>
          <t>Reverse the Segment</t>
        </is>
      </c>
      <c r="G716" s="2" t="inlineStr">
        <is>
          <t>REVSEG</t>
        </is>
      </c>
      <c r="H716" s="2" t="inlineStr">
        <is>
          <t>1500</t>
        </is>
      </c>
      <c r="I716" s="2" t="inlineStr">
        <is>
          <t>Medium</t>
        </is>
      </c>
      <c r="J716" s="3">
        <f>HYPERLINK("https://www.codechef.com/problems/REVSEG", "https://www.codechef.com/problems/REVSEG")</f>
        <v/>
      </c>
      <c r="K716" s="2" t="inlineStr"/>
      <c r="L716" s="2" t="inlineStr"/>
      <c r="M716" s="2" t="inlineStr"/>
      <c r="N716" s="2" t="inlineStr">
        <is>
          <t>No</t>
        </is>
      </c>
      <c r="O716" s="2" t="inlineStr">
        <is>
          <t>Unattempted</t>
        </is>
      </c>
    </row>
    <row r="717">
      <c r="A717" s="4" t="inlineStr">
        <is>
          <t>Interview Questions</t>
        </is>
      </c>
      <c r="B717" s="4" t="inlineStr">
        <is>
          <t>Data Structures Interview Questions</t>
        </is>
      </c>
      <c r="C717" s="4" t="inlineStr">
        <is>
          <t>Prepare yourselves for technical interview with a carefully curated set of problems that appeared in companies like Google, Facebook, Amazon, Microsoft, Adobe, Flipkart, OLX Group, Walmart Labs, eBay, Ola, LinkedIn &amp; more</t>
        </is>
      </c>
      <c r="D717" s="4" t="inlineStr">
        <is>
          <t>Linkedlist - Linkedlist</t>
        </is>
      </c>
      <c r="E717" s="4" t="n">
        <v>67</v>
      </c>
      <c r="F717" s="4" t="inlineStr">
        <is>
          <t>Duplicate Removal</t>
        </is>
      </c>
      <c r="G717" s="4" t="inlineStr">
        <is>
          <t>DR</t>
        </is>
      </c>
      <c r="H717" s="4" t="inlineStr">
        <is>
          <t>1200</t>
        </is>
      </c>
      <c r="I717" s="4" t="inlineStr">
        <is>
          <t>Easy</t>
        </is>
      </c>
      <c r="J717" s="5">
        <f>HYPERLINK("https://www.codechef.com/problems/DR", "https://www.codechef.com/problems/DR")</f>
        <v/>
      </c>
      <c r="K717" s="4" t="inlineStr"/>
      <c r="L717" s="4" t="inlineStr"/>
      <c r="M717" s="4" t="inlineStr"/>
      <c r="N717" s="4" t="inlineStr">
        <is>
          <t>No</t>
        </is>
      </c>
      <c r="O717" s="4" t="inlineStr">
        <is>
          <t>Unattempted</t>
        </is>
      </c>
    </row>
    <row r="718">
      <c r="A718" s="2" t="inlineStr">
        <is>
          <t>Interview Questions</t>
        </is>
      </c>
      <c r="B718" s="2" t="inlineStr">
        <is>
          <t>Data Structures Interview Questions</t>
        </is>
      </c>
      <c r="C718" s="2" t="inlineStr">
        <is>
          <t>Prepare yourselves for technical interview with a carefully curated set of problems that appeared in companies like Google, Facebook, Amazon, Microsoft, Adobe, Flipkart, OLX Group, Walmart Labs, eBay, Ola, LinkedIn &amp; more</t>
        </is>
      </c>
      <c r="D718" s="2" t="inlineStr">
        <is>
          <t>Linkedlist - Linkedlist</t>
        </is>
      </c>
      <c r="E718" s="2" t="n">
        <v>68</v>
      </c>
      <c r="F718" s="2" t="inlineStr">
        <is>
          <t>Reverse m size groups</t>
        </is>
      </c>
      <c r="G718" s="2" t="inlineStr">
        <is>
          <t>KGRPREV</t>
        </is>
      </c>
      <c r="H718" s="2" t="inlineStr">
        <is>
          <t>1600</t>
        </is>
      </c>
      <c r="I718" s="2" t="inlineStr">
        <is>
          <t>Medium</t>
        </is>
      </c>
      <c r="J718" s="3">
        <f>HYPERLINK("https://www.codechef.com/problems/KGRPREV", "https://www.codechef.com/problems/KGRPREV")</f>
        <v/>
      </c>
      <c r="K718" s="2" t="inlineStr"/>
      <c r="L718" s="2" t="inlineStr"/>
      <c r="M718" s="2" t="inlineStr"/>
      <c r="N718" s="2" t="inlineStr">
        <is>
          <t>No</t>
        </is>
      </c>
      <c r="O718" s="2" t="inlineStr">
        <is>
          <t>Unattempted</t>
        </is>
      </c>
    </row>
    <row r="719">
      <c r="A719" s="4" t="inlineStr">
        <is>
          <t>Interview Questions</t>
        </is>
      </c>
      <c r="B719" s="4" t="inlineStr">
        <is>
          <t>Data Structures Interview Questions</t>
        </is>
      </c>
      <c r="C719" s="4" t="inlineStr">
        <is>
          <t>Prepare yourselves for technical interview with a carefully curated set of problems that appeared in companies like Google, Facebook, Amazon, Microsoft, Adobe, Flipkart, OLX Group, Walmart Labs, eBay, Ola, LinkedIn &amp; more</t>
        </is>
      </c>
      <c r="D719" s="4" t="inlineStr">
        <is>
          <t>Linkedlist - Linkedlist</t>
        </is>
      </c>
      <c r="E719" s="4" t="n">
        <v>69</v>
      </c>
      <c r="F719" s="4" t="inlineStr">
        <is>
          <t>Critical points in a Linked List</t>
        </is>
      </c>
      <c r="G719" s="4" t="inlineStr">
        <is>
          <t>CRITLIST</t>
        </is>
      </c>
      <c r="H719" s="4" t="inlineStr">
        <is>
          <t>1000</t>
        </is>
      </c>
      <c r="I719" s="4" t="inlineStr">
        <is>
          <t>Easy</t>
        </is>
      </c>
      <c r="J719" s="5">
        <f>HYPERLINK("https://www.codechef.com/problems/CRITLIST", "https://www.codechef.com/problems/CRITLIST")</f>
        <v/>
      </c>
      <c r="K719" s="4" t="inlineStr"/>
      <c r="L719" s="4" t="inlineStr"/>
      <c r="M719" s="4" t="inlineStr"/>
      <c r="N719" s="4" t="inlineStr">
        <is>
          <t>No</t>
        </is>
      </c>
      <c r="O719" s="4" t="inlineStr">
        <is>
          <t>Unattempted</t>
        </is>
      </c>
    </row>
    <row r="720">
      <c r="A720" s="2" t="inlineStr">
        <is>
          <t>Interview Questions</t>
        </is>
      </c>
      <c r="B720" s="2" t="inlineStr">
        <is>
          <t>Data Structures Interview Questions</t>
        </is>
      </c>
      <c r="C720" s="2" t="inlineStr">
        <is>
          <t>Prepare yourselves for technical interview with a carefully curated set of problems that appeared in companies like Google, Facebook, Amazon, Microsoft, Adobe, Flipkart, OLX Group, Walmart Labs, eBay, Ola, LinkedIn &amp; more</t>
        </is>
      </c>
      <c r="D720" s="2" t="inlineStr">
        <is>
          <t>Linkedlist - Linkedlist</t>
        </is>
      </c>
      <c r="E720" s="2" t="n">
        <v>70</v>
      </c>
      <c r="F720" s="2" t="inlineStr">
        <is>
          <t>Sort a linked list</t>
        </is>
      </c>
      <c r="G720" s="2" t="inlineStr">
        <is>
          <t>SRTLL</t>
        </is>
      </c>
      <c r="H720" s="2" t="inlineStr">
        <is>
          <t>1800</t>
        </is>
      </c>
      <c r="I720" s="2" t="inlineStr">
        <is>
          <t>Medium</t>
        </is>
      </c>
      <c r="J720" s="3">
        <f>HYPERLINK("https://www.codechef.com/problems/SRTLL", "https://www.codechef.com/problems/SRTLL")</f>
        <v/>
      </c>
      <c r="K720" s="2" t="inlineStr"/>
      <c r="L720" s="2" t="inlineStr"/>
      <c r="M720" s="2" t="inlineStr"/>
      <c r="N720" s="2" t="inlineStr">
        <is>
          <t>No</t>
        </is>
      </c>
      <c r="O720" s="2" t="inlineStr">
        <is>
          <t>Unattempted</t>
        </is>
      </c>
    </row>
    <row r="721">
      <c r="A721" s="4" t="inlineStr">
        <is>
          <t>Interview Questions</t>
        </is>
      </c>
      <c r="B721" s="4" t="inlineStr">
        <is>
          <t>Data Structures Interview Questions</t>
        </is>
      </c>
      <c r="C721" s="4" t="inlineStr">
        <is>
          <t>Prepare yourselves for technical interview with a carefully curated set of problems that appeared in companies like Google, Facebook, Amazon, Microsoft, Adobe, Flipkart, OLX Group, Walmart Labs, eBay, Ola, LinkedIn &amp; more</t>
        </is>
      </c>
      <c r="D721" s="4" t="inlineStr">
        <is>
          <t>Linkedlist - Linkedlist</t>
        </is>
      </c>
      <c r="E721" s="4" t="n">
        <v>71</v>
      </c>
      <c r="F721" s="4" t="inlineStr">
        <is>
          <t>Flatten a Linked List</t>
        </is>
      </c>
      <c r="G721" s="4" t="inlineStr">
        <is>
          <t>STRANGELIST</t>
        </is>
      </c>
      <c r="H721" s="4" t="inlineStr">
        <is>
          <t>1600</t>
        </is>
      </c>
      <c r="I721" s="4" t="inlineStr">
        <is>
          <t>Medium</t>
        </is>
      </c>
      <c r="J721" s="5">
        <f>HYPERLINK("https://www.codechef.com/problems/STRANGELIST", "https://www.codechef.com/problems/STRANGELIST")</f>
        <v/>
      </c>
      <c r="K721" s="4" t="inlineStr"/>
      <c r="L721" s="4" t="inlineStr"/>
      <c r="M721" s="4" t="inlineStr"/>
      <c r="N721" s="4" t="inlineStr">
        <is>
          <t>No</t>
        </is>
      </c>
      <c r="O721" s="4" t="inlineStr">
        <is>
          <t>Unattempted</t>
        </is>
      </c>
    </row>
    <row r="722">
      <c r="A722" s="2" t="inlineStr">
        <is>
          <t>Interview Questions</t>
        </is>
      </c>
      <c r="B722" s="2" t="inlineStr">
        <is>
          <t>Data Structures Interview Questions</t>
        </is>
      </c>
      <c r="C722" s="2" t="inlineStr">
        <is>
          <t>Prepare yourselves for technical interview with a carefully curated set of problems that appeared in companies like Google, Facebook, Amazon, Microsoft, Adobe, Flipkart, OLX Group, Walmart Labs, eBay, Ola, LinkedIn &amp; more</t>
        </is>
      </c>
      <c r="D722" s="2" t="inlineStr">
        <is>
          <t>Linkedlist - Linkedlist</t>
        </is>
      </c>
      <c r="E722" s="2" t="n">
        <v>72</v>
      </c>
      <c r="F722" s="2" t="inlineStr">
        <is>
          <t>Find Next Smaller value in Linked List</t>
        </is>
      </c>
      <c r="G722" s="2" t="inlineStr">
        <is>
          <t>NSELL</t>
        </is>
      </c>
      <c r="H722" s="2" t="inlineStr">
        <is>
          <t>1600</t>
        </is>
      </c>
      <c r="I722" s="2" t="inlineStr">
        <is>
          <t>Medium</t>
        </is>
      </c>
      <c r="J722" s="3">
        <f>HYPERLINK("https://www.codechef.com/problems/NSELL", "https://www.codechef.com/problems/NSELL")</f>
        <v/>
      </c>
      <c r="K722" s="2" t="inlineStr"/>
      <c r="L722" s="2" t="inlineStr"/>
      <c r="M722" s="2" t="inlineStr"/>
      <c r="N722" s="2" t="inlineStr">
        <is>
          <t>No</t>
        </is>
      </c>
      <c r="O722" s="2" t="inlineStr">
        <is>
          <t>Unattempted</t>
        </is>
      </c>
    </row>
    <row r="723">
      <c r="A723" s="4" t="inlineStr">
        <is>
          <t>Interview Questions</t>
        </is>
      </c>
      <c r="B723" s="4" t="inlineStr">
        <is>
          <t>Data Structures Interview Questions</t>
        </is>
      </c>
      <c r="C723" s="4" t="inlineStr">
        <is>
          <t>Prepare yourselves for technical interview with a carefully curated set of problems that appeared in companies like Google, Facebook, Amazon, Microsoft, Adobe, Flipkart, OLX Group, Walmart Labs, eBay, Ola, LinkedIn &amp; more</t>
        </is>
      </c>
      <c r="D723" s="4" t="inlineStr">
        <is>
          <t>Linkedlist - Linkedlist</t>
        </is>
      </c>
      <c r="E723" s="4" t="n">
        <v>73</v>
      </c>
      <c r="F723" s="4" t="inlineStr">
        <is>
          <t>Train Loop</t>
        </is>
      </c>
      <c r="G723" s="4" t="inlineStr">
        <is>
          <t>TRAINLOOP</t>
        </is>
      </c>
      <c r="H723" s="4" t="inlineStr"/>
      <c r="I723" s="4" t="inlineStr">
        <is>
          <t>Medium</t>
        </is>
      </c>
      <c r="J723" s="5">
        <f>HYPERLINK("https://www.codechef.com/problems/TRAINLOOP", "https://www.codechef.com/problems/TRAINLOOP")</f>
        <v/>
      </c>
      <c r="K723" s="4" t="inlineStr"/>
      <c r="L723" s="4" t="inlineStr"/>
      <c r="M723" s="4" t="inlineStr"/>
      <c r="N723" s="4" t="inlineStr">
        <is>
          <t>No</t>
        </is>
      </c>
      <c r="O723" s="4" t="inlineStr">
        <is>
          <t>Unattempted</t>
        </is>
      </c>
    </row>
    <row r="724">
      <c r="A724" s="2" t="inlineStr">
        <is>
          <t>Interview Questions</t>
        </is>
      </c>
      <c r="B724" s="2" t="inlineStr">
        <is>
          <t>Data Structures Interview Questions</t>
        </is>
      </c>
      <c r="C724" s="2" t="inlineStr">
        <is>
          <t>Prepare yourselves for technical interview with a carefully curated set of problems that appeared in companies like Google, Facebook, Amazon, Microsoft, Adobe, Flipkart, OLX Group, Walmart Labs, eBay, Ola, LinkedIn &amp; more</t>
        </is>
      </c>
      <c r="D724" s="2" t="inlineStr">
        <is>
          <t>Linkedlist - Linkedlist</t>
        </is>
      </c>
      <c r="E724" s="2" t="n">
        <v>74</v>
      </c>
      <c r="F724" s="2" t="inlineStr">
        <is>
          <t>Remove Duplicates from Sorted List</t>
        </is>
      </c>
      <c r="G724" s="2" t="inlineStr">
        <is>
          <t>PREP55</t>
        </is>
      </c>
      <c r="H724" s="2" t="inlineStr">
        <is>
          <t>900</t>
        </is>
      </c>
      <c r="I724" s="2" t="inlineStr">
        <is>
          <t>Easy</t>
        </is>
      </c>
      <c r="J724" s="3">
        <f>HYPERLINK("https://www.codechef.com/problems/PREP55", "https://www.codechef.com/problems/PREP55")</f>
        <v/>
      </c>
      <c r="K724" s="2" t="inlineStr"/>
      <c r="L724" s="2" t="inlineStr"/>
      <c r="M724" s="2" t="inlineStr"/>
      <c r="N724" s="2" t="inlineStr">
        <is>
          <t>No</t>
        </is>
      </c>
      <c r="O724" s="2" t="inlineStr">
        <is>
          <t>Unattempted</t>
        </is>
      </c>
    </row>
    <row r="725">
      <c r="A725" s="4" t="inlineStr">
        <is>
          <t>Interview Questions</t>
        </is>
      </c>
      <c r="B725" s="4" t="inlineStr">
        <is>
          <t>Data Structures Interview Questions</t>
        </is>
      </c>
      <c r="C725" s="4" t="inlineStr">
        <is>
          <t>Prepare yourselves for technical interview with a carefully curated set of problems that appeared in companies like Google, Facebook, Amazon, Microsoft, Adobe, Flipkart, OLX Group, Walmart Labs, eBay, Ola, LinkedIn &amp; more</t>
        </is>
      </c>
      <c r="D725" s="4" t="inlineStr">
        <is>
          <t>Linkedlist - Linkedlist</t>
        </is>
      </c>
      <c r="E725" s="4" t="n">
        <v>75</v>
      </c>
      <c r="F725" s="4" t="inlineStr">
        <is>
          <t>Cycle in a linked list</t>
        </is>
      </c>
      <c r="G725" s="4" t="inlineStr">
        <is>
          <t>PREP58</t>
        </is>
      </c>
      <c r="H725" s="4" t="inlineStr">
        <is>
          <t>1100</t>
        </is>
      </c>
      <c r="I725" s="4" t="inlineStr">
        <is>
          <t>Easy</t>
        </is>
      </c>
      <c r="J725" s="5">
        <f>HYPERLINK("https://www.codechef.com/problems/PREP58", "https://www.codechef.com/problems/PREP58")</f>
        <v/>
      </c>
      <c r="K725" s="4" t="inlineStr"/>
      <c r="L725" s="4" t="inlineStr"/>
      <c r="M725" s="4" t="inlineStr"/>
      <c r="N725" s="4" t="inlineStr">
        <is>
          <t>No</t>
        </is>
      </c>
      <c r="O725" s="4" t="inlineStr">
        <is>
          <t>Unattempted</t>
        </is>
      </c>
    </row>
    <row r="726">
      <c r="A726" s="2" t="inlineStr">
        <is>
          <t>Interview Questions</t>
        </is>
      </c>
      <c r="B726" s="2" t="inlineStr">
        <is>
          <t>Data Structures Interview Questions</t>
        </is>
      </c>
      <c r="C726" s="2" t="inlineStr">
        <is>
          <t>Prepare yourselves for technical interview with a carefully curated set of problems that appeared in companies like Google, Facebook, Amazon, Microsoft, Adobe, Flipkart, OLX Group, Walmart Labs, eBay, Ola, LinkedIn &amp; more</t>
        </is>
      </c>
      <c r="D726" s="2" t="inlineStr">
        <is>
          <t>Linkedlist - Linkedlist</t>
        </is>
      </c>
      <c r="E726" s="2" t="n">
        <v>76</v>
      </c>
      <c r="F726" s="2" t="inlineStr">
        <is>
          <t>Linked List - Intersection of Linked Lists</t>
        </is>
      </c>
      <c r="G726" s="2" t="inlineStr">
        <is>
          <t>PREP56</t>
        </is>
      </c>
      <c r="H726" s="2" t="inlineStr"/>
      <c r="I726" s="2" t="inlineStr">
        <is>
          <t>Medium</t>
        </is>
      </c>
      <c r="J726" s="3">
        <f>HYPERLINK("https://www.codechef.com/problems/PREP56", "https://www.codechef.com/problems/PREP56")</f>
        <v/>
      </c>
      <c r="K726" s="2" t="inlineStr"/>
      <c r="L726" s="2" t="inlineStr"/>
      <c r="M726" s="2" t="inlineStr"/>
      <c r="N726" s="2" t="inlineStr">
        <is>
          <t>No</t>
        </is>
      </c>
      <c r="O726" s="2" t="inlineStr">
        <is>
          <t>Unattempted</t>
        </is>
      </c>
    </row>
    <row r="727">
      <c r="A727" s="4" t="inlineStr">
        <is>
          <t>Interview Questions</t>
        </is>
      </c>
      <c r="B727" s="4" t="inlineStr">
        <is>
          <t>Data Structures Interview Questions</t>
        </is>
      </c>
      <c r="C727" s="4" t="inlineStr">
        <is>
          <t>Prepare yourselves for technical interview with a carefully curated set of problems that appeared in companies like Google, Facebook, Amazon, Microsoft, Adobe, Flipkart, OLX Group, Walmart Labs, eBay, Ola, LinkedIn &amp; more</t>
        </is>
      </c>
      <c r="D727" s="4" t="inlineStr">
        <is>
          <t>Linkedlist - Linkedlist</t>
        </is>
      </c>
      <c r="E727" s="4" t="n">
        <v>77</v>
      </c>
      <c r="F727" s="4" t="inlineStr">
        <is>
          <t>Linked List - Add Two Numbers As Lists</t>
        </is>
      </c>
      <c r="G727" s="4" t="inlineStr">
        <is>
          <t>PREP57</t>
        </is>
      </c>
      <c r="H727" s="4" t="inlineStr"/>
      <c r="I727" s="4" t="inlineStr">
        <is>
          <t>Medium</t>
        </is>
      </c>
      <c r="J727" s="5">
        <f>HYPERLINK("https://www.codechef.com/problems/PREP57", "https://www.codechef.com/problems/PREP57")</f>
        <v/>
      </c>
      <c r="K727" s="4" t="inlineStr"/>
      <c r="L727" s="4" t="inlineStr"/>
      <c r="M727" s="4" t="inlineStr"/>
      <c r="N727" s="4" t="inlineStr">
        <is>
          <t>No</t>
        </is>
      </c>
      <c r="O727" s="4" t="inlineStr">
        <is>
          <t>Unattempted</t>
        </is>
      </c>
    </row>
    <row r="728">
      <c r="A728" s="2" t="inlineStr">
        <is>
          <t>Interview Questions</t>
        </is>
      </c>
      <c r="B728" s="2" t="inlineStr">
        <is>
          <t>Data Structures Interview Questions</t>
        </is>
      </c>
      <c r="C728" s="2" t="inlineStr">
        <is>
          <t>Prepare yourselves for technical interview with a carefully curated set of problems that appeared in companies like Google, Facebook, Amazon, Microsoft, Adobe, Flipkart, OLX Group, Walmart Labs, eBay, Ola, LinkedIn &amp; more</t>
        </is>
      </c>
      <c r="D728" s="2" t="inlineStr">
        <is>
          <t>Linkedlist - Linkedlist</t>
        </is>
      </c>
      <c r="E728" s="2" t="n">
        <v>78</v>
      </c>
      <c r="F728" s="2" t="inlineStr">
        <is>
          <t>Linked List - Swap nodes in pairs</t>
        </is>
      </c>
      <c r="G728" s="2" t="inlineStr">
        <is>
          <t>PREP54</t>
        </is>
      </c>
      <c r="H728" s="2" t="inlineStr"/>
      <c r="I728" s="2" t="inlineStr">
        <is>
          <t>Medium</t>
        </is>
      </c>
      <c r="J728" s="3">
        <f>HYPERLINK("https://www.codechef.com/problems/PREP54", "https://www.codechef.com/problems/PREP54")</f>
        <v/>
      </c>
      <c r="K728" s="2" t="inlineStr"/>
      <c r="L728" s="2" t="inlineStr"/>
      <c r="M728" s="2" t="inlineStr"/>
      <c r="N728" s="2" t="inlineStr">
        <is>
          <t>No</t>
        </is>
      </c>
      <c r="O728" s="2" t="inlineStr">
        <is>
          <t>Unattempted</t>
        </is>
      </c>
    </row>
    <row r="729">
      <c r="A729" s="4" t="inlineStr">
        <is>
          <t>Interview Questions</t>
        </is>
      </c>
      <c r="B729" s="4" t="inlineStr">
        <is>
          <t>Data Structures Interview Questions</t>
        </is>
      </c>
      <c r="C729" s="4" t="inlineStr">
        <is>
          <t>Prepare yourselves for technical interview with a carefully curated set of problems that appeared in companies like Google, Facebook, Amazon, Microsoft, Adobe, Flipkart, OLX Group, Walmart Labs, eBay, Ola, LinkedIn &amp; more</t>
        </is>
      </c>
      <c r="D729" s="4" t="inlineStr">
        <is>
          <t>Stacks - Stacks</t>
        </is>
      </c>
      <c r="E729" s="4" t="n">
        <v>79</v>
      </c>
      <c r="F729" s="4" t="inlineStr">
        <is>
          <t>Stack Sort</t>
        </is>
      </c>
      <c r="G729" s="4" t="inlineStr">
        <is>
          <t>STKSORT</t>
        </is>
      </c>
      <c r="H729" s="4" t="inlineStr">
        <is>
          <t>1400</t>
        </is>
      </c>
      <c r="I729" s="4" t="inlineStr">
        <is>
          <t>Medium</t>
        </is>
      </c>
      <c r="J729" s="5">
        <f>HYPERLINK("https://www.codechef.com/problems/STKSORT", "https://www.codechef.com/problems/STKSORT")</f>
        <v/>
      </c>
      <c r="K729" s="4" t="inlineStr"/>
      <c r="L729" s="4" t="inlineStr"/>
      <c r="M729" s="4" t="inlineStr"/>
      <c r="N729" s="4" t="inlineStr">
        <is>
          <t>No</t>
        </is>
      </c>
      <c r="O729" s="4" t="inlineStr">
        <is>
          <t>Unattempted</t>
        </is>
      </c>
    </row>
    <row r="730">
      <c r="A730" s="2" t="inlineStr">
        <is>
          <t>Interview Questions</t>
        </is>
      </c>
      <c r="B730" s="2" t="inlineStr">
        <is>
          <t>Data Structures Interview Questions</t>
        </is>
      </c>
      <c r="C730" s="2" t="inlineStr">
        <is>
          <t>Prepare yourselves for technical interview with a carefully curated set of problems that appeared in companies like Google, Facebook, Amazon, Microsoft, Adobe, Flipkart, OLX Group, Walmart Labs, eBay, Ola, LinkedIn &amp; more</t>
        </is>
      </c>
      <c r="D730" s="2" t="inlineStr">
        <is>
          <t>Stacks - Stacks</t>
        </is>
      </c>
      <c r="E730" s="2" t="n">
        <v>80</v>
      </c>
      <c r="F730" s="2" t="inlineStr">
        <is>
          <t>BFS Ordering</t>
        </is>
      </c>
      <c r="G730" s="2" t="inlineStr">
        <is>
          <t>BRFISE</t>
        </is>
      </c>
      <c r="H730" s="2" t="inlineStr"/>
      <c r="I730" s="2" t="inlineStr">
        <is>
          <t>Medium</t>
        </is>
      </c>
      <c r="J730" s="3">
        <f>HYPERLINK("https://www.codechef.com/problems/BRFISE", "https://www.codechef.com/problems/BRFISE")</f>
        <v/>
      </c>
      <c r="K730" s="2" t="inlineStr"/>
      <c r="L730" s="2" t="inlineStr"/>
      <c r="M730" s="2" t="inlineStr"/>
      <c r="N730" s="2" t="inlineStr">
        <is>
          <t>No</t>
        </is>
      </c>
      <c r="O730" s="2" t="inlineStr">
        <is>
          <t>Unattempted</t>
        </is>
      </c>
    </row>
    <row r="731">
      <c r="A731" s="4" t="inlineStr">
        <is>
          <t>Interview Questions</t>
        </is>
      </c>
      <c r="B731" s="4" t="inlineStr">
        <is>
          <t>Data Structures Interview Questions</t>
        </is>
      </c>
      <c r="C731" s="4" t="inlineStr">
        <is>
          <t>Prepare yourselves for technical interview with a carefully curated set of problems that appeared in companies like Google, Facebook, Amazon, Microsoft, Adobe, Flipkart, OLX Group, Walmart Labs, eBay, Ola, LinkedIn &amp; more</t>
        </is>
      </c>
      <c r="D731" s="4" t="inlineStr">
        <is>
          <t>Stacks - Stacks</t>
        </is>
      </c>
      <c r="E731" s="4" t="n">
        <v>81</v>
      </c>
      <c r="F731" s="4" t="inlineStr">
        <is>
          <t>Maximum water in a section</t>
        </is>
      </c>
      <c r="G731" s="4" t="inlineStr">
        <is>
          <t>MXWATR</t>
        </is>
      </c>
      <c r="H731" s="4" t="inlineStr">
        <is>
          <t>1700</t>
        </is>
      </c>
      <c r="I731" s="4" t="inlineStr">
        <is>
          <t>Medium</t>
        </is>
      </c>
      <c r="J731" s="5">
        <f>HYPERLINK("https://www.codechef.com/problems/MXWATR", "https://www.codechef.com/problems/MXWATR")</f>
        <v/>
      </c>
      <c r="K731" s="4" t="inlineStr"/>
      <c r="L731" s="4" t="inlineStr"/>
      <c r="M731" s="4" t="inlineStr"/>
      <c r="N731" s="4" t="inlineStr">
        <is>
          <t>No</t>
        </is>
      </c>
      <c r="O731" s="4" t="inlineStr">
        <is>
          <t>Unattempted</t>
        </is>
      </c>
    </row>
    <row r="732">
      <c r="A732" s="2" t="inlineStr">
        <is>
          <t>Interview Questions</t>
        </is>
      </c>
      <c r="B732" s="2" t="inlineStr">
        <is>
          <t>Data Structures Interview Questions</t>
        </is>
      </c>
      <c r="C732" s="2" t="inlineStr">
        <is>
          <t>Prepare yourselves for technical interview with a carefully curated set of problems that appeared in companies like Google, Facebook, Amazon, Microsoft, Adobe, Flipkart, OLX Group, Walmart Labs, eBay, Ola, LinkedIn &amp; more</t>
        </is>
      </c>
      <c r="D732" s="2" t="inlineStr">
        <is>
          <t>Stacks - Stacks</t>
        </is>
      </c>
      <c r="E732" s="2" t="n">
        <v>82</v>
      </c>
      <c r="F732" s="2" t="inlineStr">
        <is>
          <t>Maximum Area</t>
        </is>
      </c>
      <c r="G732" s="2" t="inlineStr">
        <is>
          <t>MAXREC</t>
        </is>
      </c>
      <c r="H732" s="2" t="inlineStr">
        <is>
          <t>1800</t>
        </is>
      </c>
      <c r="I732" s="2" t="inlineStr">
        <is>
          <t>Medium</t>
        </is>
      </c>
      <c r="J732" s="3">
        <f>HYPERLINK("https://www.codechef.com/problems/MAXREC", "https://www.codechef.com/problems/MAXREC")</f>
        <v/>
      </c>
      <c r="K732" s="2" t="inlineStr"/>
      <c r="L732" s="2" t="inlineStr"/>
      <c r="M732" s="2" t="inlineStr"/>
      <c r="N732" s="2" t="inlineStr">
        <is>
          <t>No</t>
        </is>
      </c>
      <c r="O732" s="2" t="inlineStr">
        <is>
          <t>Unattempted</t>
        </is>
      </c>
    </row>
    <row r="733">
      <c r="A733" s="4" t="inlineStr">
        <is>
          <t>Interview Questions</t>
        </is>
      </c>
      <c r="B733" s="4" t="inlineStr">
        <is>
          <t>Data Structures Interview Questions</t>
        </is>
      </c>
      <c r="C733" s="4" t="inlineStr">
        <is>
          <t>Prepare yourselves for technical interview with a carefully curated set of problems that appeared in companies like Google, Facebook, Amazon, Microsoft, Adobe, Flipkart, OLX Group, Walmart Labs, eBay, Ola, LinkedIn &amp; more</t>
        </is>
      </c>
      <c r="D733" s="4" t="inlineStr">
        <is>
          <t>Stacks - Stacks</t>
        </is>
      </c>
      <c r="E733" s="4" t="n">
        <v>83</v>
      </c>
      <c r="F733" s="4" t="inlineStr">
        <is>
          <t>Bracket Sequence Queries</t>
        </is>
      </c>
      <c r="G733" s="4" t="inlineStr">
        <is>
          <t>BRACQUER</t>
        </is>
      </c>
      <c r="H733" s="4" t="inlineStr"/>
      <c r="I733" s="4" t="inlineStr">
        <is>
          <t>Hard</t>
        </is>
      </c>
      <c r="J733" s="5">
        <f>HYPERLINK("https://www.codechef.com/problems/BRACQUER", "https://www.codechef.com/problems/BRACQUER")</f>
        <v/>
      </c>
      <c r="K733" s="4" t="inlineStr"/>
      <c r="L733" s="4" t="inlineStr"/>
      <c r="M733" s="4" t="inlineStr"/>
      <c r="N733" s="4" t="inlineStr">
        <is>
          <t>No</t>
        </is>
      </c>
      <c r="O733" s="4" t="inlineStr">
        <is>
          <t>Unattempted</t>
        </is>
      </c>
    </row>
    <row r="734">
      <c r="A734" s="2" t="inlineStr">
        <is>
          <t>Interview Questions</t>
        </is>
      </c>
      <c r="B734" s="2" t="inlineStr">
        <is>
          <t>Data Structures Interview Questions</t>
        </is>
      </c>
      <c r="C734" s="2" t="inlineStr">
        <is>
          <t>Prepare yourselves for technical interview with a carefully curated set of problems that appeared in companies like Google, Facebook, Amazon, Microsoft, Adobe, Flipkart, OLX Group, Walmart Labs, eBay, Ola, LinkedIn &amp; more</t>
        </is>
      </c>
      <c r="D734" s="2" t="inlineStr">
        <is>
          <t>Stacks - Stacks</t>
        </is>
      </c>
      <c r="E734" s="2" t="n">
        <v>84</v>
      </c>
      <c r="F734" s="2" t="inlineStr">
        <is>
          <t>Sub-array Sum</t>
        </is>
      </c>
      <c r="G734" s="2" t="inlineStr">
        <is>
          <t>SUBASUM</t>
        </is>
      </c>
      <c r="H734" s="2" t="inlineStr"/>
      <c r="I734" s="2" t="inlineStr">
        <is>
          <t>Hard</t>
        </is>
      </c>
      <c r="J734" s="3">
        <f>HYPERLINK("https://www.codechef.com/problems/SUBASUM", "https://www.codechef.com/problems/SUBASUM")</f>
        <v/>
      </c>
      <c r="K734" s="2" t="inlineStr"/>
      <c r="L734" s="2" t="inlineStr"/>
      <c r="M734" s="2" t="inlineStr"/>
      <c r="N734" s="2" t="inlineStr">
        <is>
          <t>No</t>
        </is>
      </c>
      <c r="O734" s="2" t="inlineStr">
        <is>
          <t>Unattempted</t>
        </is>
      </c>
    </row>
    <row r="735">
      <c r="A735" s="4" t="inlineStr">
        <is>
          <t>Interview Questions</t>
        </is>
      </c>
      <c r="B735" s="4" t="inlineStr">
        <is>
          <t>Data Structures Interview Questions</t>
        </is>
      </c>
      <c r="C735" s="4" t="inlineStr">
        <is>
          <t>Prepare yourselves for technical interview with a carefully curated set of problems that appeared in companies like Google, Facebook, Amazon, Microsoft, Adobe, Flipkart, OLX Group, Walmart Labs, eBay, Ola, LinkedIn &amp; more</t>
        </is>
      </c>
      <c r="D735" s="4" t="inlineStr">
        <is>
          <t>Stacks - Stacks</t>
        </is>
      </c>
      <c r="E735" s="4" t="n">
        <v>85</v>
      </c>
      <c r="F735" s="4" t="inlineStr">
        <is>
          <t>Maximum of Minimum</t>
        </is>
      </c>
      <c r="G735" s="4" t="inlineStr">
        <is>
          <t>MXMIN</t>
        </is>
      </c>
      <c r="H735" s="4" t="inlineStr"/>
      <c r="I735" s="4" t="inlineStr">
        <is>
          <t>Hard</t>
        </is>
      </c>
      <c r="J735" s="5">
        <f>HYPERLINK("https://www.codechef.com/problems/MXMIN", "https://www.codechef.com/problems/MXMIN")</f>
        <v/>
      </c>
      <c r="K735" s="4" t="inlineStr"/>
      <c r="L735" s="4" t="inlineStr"/>
      <c r="M735" s="4" t="inlineStr"/>
      <c r="N735" s="4" t="inlineStr">
        <is>
          <t>No</t>
        </is>
      </c>
      <c r="O735" s="4" t="inlineStr">
        <is>
          <t>Unattempted</t>
        </is>
      </c>
    </row>
    <row r="736">
      <c r="A736" s="2" t="inlineStr">
        <is>
          <t>Interview Questions</t>
        </is>
      </c>
      <c r="B736" s="2" t="inlineStr">
        <is>
          <t>Data Structures Interview Questions</t>
        </is>
      </c>
      <c r="C736" s="2" t="inlineStr">
        <is>
          <t>Prepare yourselves for technical interview with a carefully curated set of problems that appeared in companies like Google, Facebook, Amazon, Microsoft, Adobe, Flipkart, OLX Group, Walmart Labs, eBay, Ola, LinkedIn &amp; more</t>
        </is>
      </c>
      <c r="D736" s="2" t="inlineStr">
        <is>
          <t>Stacks - Stacks</t>
        </is>
      </c>
      <c r="E736" s="2" t="n">
        <v>86</v>
      </c>
      <c r="F736" s="2" t="inlineStr">
        <is>
          <t>Evaluate Expression</t>
        </is>
      </c>
      <c r="G736" s="2" t="inlineStr">
        <is>
          <t>PREP21</t>
        </is>
      </c>
      <c r="H736" s="2" t="inlineStr">
        <is>
          <t>1200</t>
        </is>
      </c>
      <c r="I736" s="2" t="inlineStr">
        <is>
          <t>Easy</t>
        </is>
      </c>
      <c r="J736" s="3">
        <f>HYPERLINK("https://www.codechef.com/problems/PREP21", "https://www.codechef.com/problems/PREP21")</f>
        <v/>
      </c>
      <c r="K736" s="2" t="inlineStr"/>
      <c r="L736" s="2" t="inlineStr"/>
      <c r="M736" s="2" t="inlineStr"/>
      <c r="N736" s="2" t="inlineStr">
        <is>
          <t>No</t>
        </is>
      </c>
      <c r="O736" s="2" t="inlineStr">
        <is>
          <t>Unattempted</t>
        </is>
      </c>
    </row>
    <row r="737">
      <c r="A737" s="4" t="inlineStr">
        <is>
          <t>Interview Questions</t>
        </is>
      </c>
      <c r="B737" s="4" t="inlineStr">
        <is>
          <t>Data Structures Interview Questions</t>
        </is>
      </c>
      <c r="C737" s="4" t="inlineStr">
        <is>
          <t>Prepare yourselves for technical interview with a carefully curated set of problems that appeared in companies like Google, Facebook, Amazon, Microsoft, Adobe, Flipkart, OLX Group, Walmart Labs, eBay, Ola, LinkedIn &amp; more</t>
        </is>
      </c>
      <c r="D737" s="4" t="inlineStr">
        <is>
          <t>Stacks - Stacks</t>
        </is>
      </c>
      <c r="E737" s="4" t="n">
        <v>87</v>
      </c>
      <c r="F737" s="4" t="inlineStr">
        <is>
          <t>Largest Rectangle in Histogram</t>
        </is>
      </c>
      <c r="G737" s="4" t="inlineStr">
        <is>
          <t>PREP22</t>
        </is>
      </c>
      <c r="H737" s="4" t="inlineStr">
        <is>
          <t>1700</t>
        </is>
      </c>
      <c r="I737" s="4" t="inlineStr">
        <is>
          <t>Medium</t>
        </is>
      </c>
      <c r="J737" s="5">
        <f>HYPERLINK("https://www.codechef.com/problems/PREP22", "https://www.codechef.com/problems/PREP22")</f>
        <v/>
      </c>
      <c r="K737" s="4" t="inlineStr"/>
      <c r="L737" s="4" t="inlineStr">
        <is>
          <t>Data Structures, Queues, Stacks</t>
        </is>
      </c>
      <c r="M737" s="4" t="inlineStr"/>
      <c r="N737" s="4" t="inlineStr">
        <is>
          <t>No</t>
        </is>
      </c>
      <c r="O737" s="4" t="inlineStr">
        <is>
          <t>Unattempted</t>
        </is>
      </c>
    </row>
    <row r="738">
      <c r="A738" s="2" t="inlineStr">
        <is>
          <t>Interview Questions</t>
        </is>
      </c>
      <c r="B738" s="2" t="inlineStr">
        <is>
          <t>Data Structures Interview Questions</t>
        </is>
      </c>
      <c r="C738" s="2" t="inlineStr">
        <is>
          <t>Prepare yourselves for technical interview with a carefully curated set of problems that appeared in companies like Google, Facebook, Amazon, Microsoft, Adobe, Flipkart, OLX Group, Walmart Labs, eBay, Ola, LinkedIn &amp; more</t>
        </is>
      </c>
      <c r="D738" s="2" t="inlineStr">
        <is>
          <t>Stacks - Stacks</t>
        </is>
      </c>
      <c r="E738" s="2" t="n">
        <v>88</v>
      </c>
      <c r="F738" s="2" t="inlineStr">
        <is>
          <t>Sliding Window Maximum</t>
        </is>
      </c>
      <c r="G738" s="2" t="inlineStr">
        <is>
          <t>PREP23</t>
        </is>
      </c>
      <c r="H738" s="2" t="inlineStr">
        <is>
          <t>1600</t>
        </is>
      </c>
      <c r="I738" s="2" t="inlineStr">
        <is>
          <t>Medium</t>
        </is>
      </c>
      <c r="J738" s="3">
        <f>HYPERLINK("https://www.codechef.com/problems/PREP23", "https://www.codechef.com/problems/PREP23")</f>
        <v/>
      </c>
      <c r="K738" s="2" t="inlineStr"/>
      <c r="L738" s="2" t="inlineStr"/>
      <c r="M738" s="2" t="inlineStr"/>
      <c r="N738" s="2" t="inlineStr">
        <is>
          <t>No</t>
        </is>
      </c>
      <c r="O738" s="2" t="inlineStr">
        <is>
          <t>Unattempted</t>
        </is>
      </c>
    </row>
    <row r="739">
      <c r="A739" s="4" t="inlineStr">
        <is>
          <t>Interview Questions</t>
        </is>
      </c>
      <c r="B739" s="4" t="inlineStr">
        <is>
          <t>Data Structures Interview Questions</t>
        </is>
      </c>
      <c r="C739" s="4" t="inlineStr">
        <is>
          <t>Prepare yourselves for technical interview with a carefully curated set of problems that appeared in companies like Google, Facebook, Amazon, Microsoft, Adobe, Flipkart, OLX Group, Walmart Labs, eBay, Ola, LinkedIn &amp; more</t>
        </is>
      </c>
      <c r="D739" s="4" t="inlineStr">
        <is>
          <t>Stacks - Stacks</t>
        </is>
      </c>
      <c r="E739" s="4" t="n">
        <v>89</v>
      </c>
      <c r="F739" s="4" t="inlineStr">
        <is>
          <t>Valid Parenthesis</t>
        </is>
      </c>
      <c r="G739" s="4" t="inlineStr">
        <is>
          <t>PREP59</t>
        </is>
      </c>
      <c r="H739" s="4" t="inlineStr">
        <is>
          <t>1100</t>
        </is>
      </c>
      <c r="I739" s="4" t="inlineStr">
        <is>
          <t>Easy</t>
        </is>
      </c>
      <c r="J739" s="5">
        <f>HYPERLINK("https://www.codechef.com/problems/PREP59", "https://www.codechef.com/problems/PREP59")</f>
        <v/>
      </c>
      <c r="K739" s="4" t="inlineStr"/>
      <c r="L739" s="4" t="inlineStr"/>
      <c r="M739" s="4" t="inlineStr"/>
      <c r="N739" s="4" t="inlineStr">
        <is>
          <t>No</t>
        </is>
      </c>
      <c r="O739" s="4" t="inlineStr">
        <is>
          <t>Unattempted</t>
        </is>
      </c>
    </row>
    <row r="740">
      <c r="A740" s="2" t="inlineStr">
        <is>
          <t>Interview Questions</t>
        </is>
      </c>
      <c r="B740" s="2" t="inlineStr">
        <is>
          <t>Data Structures Interview Questions</t>
        </is>
      </c>
      <c r="C740" s="2" t="inlineStr">
        <is>
          <t>Prepare yourselves for technical interview with a carefully curated set of problems that appeared in companies like Google, Facebook, Amazon, Microsoft, Adobe, Flipkart, OLX Group, Walmart Labs, eBay, Ola, LinkedIn &amp; more</t>
        </is>
      </c>
      <c r="D740" s="2" t="inlineStr">
        <is>
          <t>Stacks - Stacks</t>
        </is>
      </c>
      <c r="E740" s="2" t="n">
        <v>90</v>
      </c>
      <c r="F740" s="2" t="inlineStr">
        <is>
          <t>Previous smaller element</t>
        </is>
      </c>
      <c r="G740" s="2" t="inlineStr">
        <is>
          <t>PREP60</t>
        </is>
      </c>
      <c r="H740" s="2" t="inlineStr">
        <is>
          <t>1200</t>
        </is>
      </c>
      <c r="I740" s="2" t="inlineStr">
        <is>
          <t>Easy</t>
        </is>
      </c>
      <c r="J740" s="3">
        <f>HYPERLINK("https://www.codechef.com/problems/PREP60", "https://www.codechef.com/problems/PREP60")</f>
        <v/>
      </c>
      <c r="K740" s="2" t="inlineStr"/>
      <c r="L740" s="2" t="inlineStr"/>
      <c r="M740" s="2" t="inlineStr"/>
      <c r="N740" s="2" t="inlineStr">
        <is>
          <t>No</t>
        </is>
      </c>
      <c r="O740" s="2" t="inlineStr">
        <is>
          <t>Unattempted</t>
        </is>
      </c>
    </row>
    <row r="741">
      <c r="A741" s="4" t="inlineStr">
        <is>
          <t>Interview Questions</t>
        </is>
      </c>
      <c r="B741" s="4" t="inlineStr">
        <is>
          <t>Data Structures Interview Questions</t>
        </is>
      </c>
      <c r="C741" s="4" t="inlineStr">
        <is>
          <t>Prepare yourselves for technical interview with a carefully curated set of problems that appeared in companies like Google, Facebook, Amazon, Microsoft, Adobe, Flipkart, OLX Group, Walmart Labs, eBay, Ola, LinkedIn &amp; more</t>
        </is>
      </c>
      <c r="D741" s="4" t="inlineStr">
        <is>
          <t>Queues - Queues</t>
        </is>
      </c>
      <c r="E741" s="4" t="n">
        <v>91</v>
      </c>
      <c r="F741" s="4" t="inlineStr">
        <is>
          <t>Necklace</t>
        </is>
      </c>
      <c r="G741" s="4" t="inlineStr">
        <is>
          <t>NEC</t>
        </is>
      </c>
      <c r="H741" s="4" t="inlineStr">
        <is>
          <t>800</t>
        </is>
      </c>
      <c r="I741" s="4" t="inlineStr">
        <is>
          <t>Easy</t>
        </is>
      </c>
      <c r="J741" s="5">
        <f>HYPERLINK("https://www.codechef.com/problems/NEC", "https://www.codechef.com/problems/NEC")</f>
        <v/>
      </c>
      <c r="K741" s="4" t="inlineStr"/>
      <c r="L741" s="4" t="inlineStr"/>
      <c r="M741" s="4" t="inlineStr"/>
      <c r="N741" s="4" t="inlineStr">
        <is>
          <t>No</t>
        </is>
      </c>
      <c r="O741" s="4" t="inlineStr">
        <is>
          <t>Unattempted</t>
        </is>
      </c>
    </row>
    <row r="742">
      <c r="A742" s="2" t="inlineStr">
        <is>
          <t>Interview Questions</t>
        </is>
      </c>
      <c r="B742" s="2" t="inlineStr">
        <is>
          <t>Data Structures Interview Questions</t>
        </is>
      </c>
      <c r="C742" s="2" t="inlineStr">
        <is>
          <t>Prepare yourselves for technical interview with a carefully curated set of problems that appeared in companies like Google, Facebook, Amazon, Microsoft, Adobe, Flipkart, OLX Group, Walmart Labs, eBay, Ola, LinkedIn &amp; more</t>
        </is>
      </c>
      <c r="D742" s="2" t="inlineStr">
        <is>
          <t>Queues - Queues</t>
        </is>
      </c>
      <c r="E742" s="2" t="n">
        <v>92</v>
      </c>
      <c r="F742" s="2" t="inlineStr">
        <is>
          <t>Even-Max</t>
        </is>
      </c>
      <c r="G742" s="2" t="inlineStr">
        <is>
          <t>EVNMX</t>
        </is>
      </c>
      <c r="H742" s="2" t="inlineStr"/>
      <c r="I742" s="2" t="inlineStr">
        <is>
          <t>Medium</t>
        </is>
      </c>
      <c r="J742" s="3">
        <f>HYPERLINK("https://www.codechef.com/problems/EVNMX", "https://www.codechef.com/problems/EVNMX")</f>
        <v/>
      </c>
      <c r="K742" s="2" t="inlineStr"/>
      <c r="L742" s="2" t="inlineStr"/>
      <c r="M742" s="2" t="inlineStr"/>
      <c r="N742" s="2" t="inlineStr">
        <is>
          <t>No</t>
        </is>
      </c>
      <c r="O742" s="2" t="inlineStr">
        <is>
          <t>Unattempted</t>
        </is>
      </c>
    </row>
    <row r="743">
      <c r="A743" s="4" t="inlineStr">
        <is>
          <t>Interview Questions</t>
        </is>
      </c>
      <c r="B743" s="4" t="inlineStr">
        <is>
          <t>Data Structures Interview Questions</t>
        </is>
      </c>
      <c r="C743" s="4" t="inlineStr">
        <is>
          <t>Prepare yourselves for technical interview with a carefully curated set of problems that appeared in companies like Google, Facebook, Amazon, Microsoft, Adobe, Flipkart, OLX Group, Walmart Labs, eBay, Ola, LinkedIn &amp; more</t>
        </is>
      </c>
      <c r="D743" s="4" t="inlineStr">
        <is>
          <t>Queues - Queues</t>
        </is>
      </c>
      <c r="E743" s="4" t="n">
        <v>93</v>
      </c>
      <c r="F743" s="4" t="inlineStr">
        <is>
          <t>Stone Pile</t>
        </is>
      </c>
      <c r="G743" s="4" t="inlineStr">
        <is>
          <t>STONE_PILE</t>
        </is>
      </c>
      <c r="H743" s="4" t="inlineStr">
        <is>
          <t>1200</t>
        </is>
      </c>
      <c r="I743" s="4" t="inlineStr">
        <is>
          <t>Easy</t>
        </is>
      </c>
      <c r="J743" s="5">
        <f>HYPERLINK("https://www.codechef.com/problems/STONE_PILE", "https://www.codechef.com/problems/STONE_PILE")</f>
        <v/>
      </c>
      <c r="K743" s="4" t="inlineStr"/>
      <c r="L743" s="4" t="inlineStr"/>
      <c r="M743" s="4" t="inlineStr"/>
      <c r="N743" s="4" t="inlineStr">
        <is>
          <t>No</t>
        </is>
      </c>
      <c r="O743" s="4" t="inlineStr">
        <is>
          <t>Unattempted</t>
        </is>
      </c>
    </row>
    <row r="744">
      <c r="A744" s="2" t="inlineStr">
        <is>
          <t>Interview Questions</t>
        </is>
      </c>
      <c r="B744" s="2" t="inlineStr">
        <is>
          <t>Data Structures Interview Questions</t>
        </is>
      </c>
      <c r="C744" s="2" t="inlineStr">
        <is>
          <t>Prepare yourselves for technical interview with a carefully curated set of problems that appeared in companies like Google, Facebook, Amazon, Microsoft, Adobe, Flipkart, OLX Group, Walmart Labs, eBay, Ola, LinkedIn &amp; more</t>
        </is>
      </c>
      <c r="D744" s="2" t="inlineStr">
        <is>
          <t>Queues - Queues</t>
        </is>
      </c>
      <c r="E744" s="2" t="n">
        <v>94</v>
      </c>
      <c r="F744" s="2" t="inlineStr">
        <is>
          <t>Arrange via Buffer</t>
        </is>
      </c>
      <c r="G744" s="2" t="inlineStr">
        <is>
          <t>ARRBUF</t>
        </is>
      </c>
      <c r="H744" s="2" t="inlineStr">
        <is>
          <t>1400</t>
        </is>
      </c>
      <c r="I744" s="2" t="inlineStr">
        <is>
          <t>Medium</t>
        </is>
      </c>
      <c r="J744" s="3">
        <f>HYPERLINK("https://www.codechef.com/problems/ARRBUF", "https://www.codechef.com/problems/ARRBUF")</f>
        <v/>
      </c>
      <c r="K744" s="2" t="inlineStr"/>
      <c r="L744" s="2" t="inlineStr"/>
      <c r="M744" s="2" t="inlineStr"/>
      <c r="N744" s="2" t="inlineStr">
        <is>
          <t>No</t>
        </is>
      </c>
      <c r="O744" s="2" t="inlineStr">
        <is>
          <t>Unattempted</t>
        </is>
      </c>
    </row>
    <row r="745">
      <c r="A745" s="4" t="inlineStr">
        <is>
          <t>Interview Questions</t>
        </is>
      </c>
      <c r="B745" s="4" t="inlineStr">
        <is>
          <t>Data Structures Interview Questions</t>
        </is>
      </c>
      <c r="C745" s="4" t="inlineStr">
        <is>
          <t>Prepare yourselves for technical interview with a carefully curated set of problems that appeared in companies like Google, Facebook, Amazon, Microsoft, Adobe, Flipkart, OLX Group, Walmart Labs, eBay, Ola, LinkedIn &amp; more</t>
        </is>
      </c>
      <c r="D745" s="4" t="inlineStr">
        <is>
          <t>Queues - Queues</t>
        </is>
      </c>
      <c r="E745" s="4" t="n">
        <v>95</v>
      </c>
      <c r="F745" s="4" t="inlineStr">
        <is>
          <t>Minimum Color Changes</t>
        </is>
      </c>
      <c r="G745" s="4" t="inlineStr">
        <is>
          <t>CHNGCOL</t>
        </is>
      </c>
      <c r="H745" s="4" t="inlineStr"/>
      <c r="I745" s="4" t="inlineStr">
        <is>
          <t>Medium</t>
        </is>
      </c>
      <c r="J745" s="5">
        <f>HYPERLINK("https://www.codechef.com/problems/CHNGCOL", "https://www.codechef.com/problems/CHNGCOL")</f>
        <v/>
      </c>
      <c r="K745" s="4" t="inlineStr"/>
      <c r="L745" s="4" t="inlineStr"/>
      <c r="M745" s="4" t="inlineStr"/>
      <c r="N745" s="4" t="inlineStr">
        <is>
          <t>No</t>
        </is>
      </c>
      <c r="O745" s="4" t="inlineStr">
        <is>
          <t>Unattempted</t>
        </is>
      </c>
    </row>
    <row r="746">
      <c r="A746" s="2" t="inlineStr">
        <is>
          <t>Interview Questions</t>
        </is>
      </c>
      <c r="B746" s="2" t="inlineStr">
        <is>
          <t>Data Structures Interview Questions</t>
        </is>
      </c>
      <c r="C746" s="2" t="inlineStr">
        <is>
          <t>Prepare yourselves for technical interview with a carefully curated set of problems that appeared in companies like Google, Facebook, Amazon, Microsoft, Adobe, Flipkart, OLX Group, Walmart Labs, eBay, Ola, LinkedIn &amp; more</t>
        </is>
      </c>
      <c r="D746" s="2" t="inlineStr">
        <is>
          <t>Queues - Queues</t>
        </is>
      </c>
      <c r="E746" s="2" t="n">
        <v>96</v>
      </c>
      <c r="F746" s="2" t="inlineStr">
        <is>
          <t>Parallel World</t>
        </is>
      </c>
      <c r="G746" s="2" t="inlineStr">
        <is>
          <t>INC_HEIGHTS</t>
        </is>
      </c>
      <c r="H746" s="2" t="inlineStr">
        <is>
          <t>1700</t>
        </is>
      </c>
      <c r="I746" s="2" t="inlineStr">
        <is>
          <t>Medium</t>
        </is>
      </c>
      <c r="J746" s="3">
        <f>HYPERLINK("https://www.codechef.com/problems/INC_HEIGHTS", "https://www.codechef.com/problems/INC_HEIGHTS")</f>
        <v/>
      </c>
      <c r="K746" s="2" t="inlineStr"/>
      <c r="L746" s="2" t="inlineStr"/>
      <c r="M746" s="2" t="inlineStr"/>
      <c r="N746" s="2" t="inlineStr">
        <is>
          <t>No</t>
        </is>
      </c>
      <c r="O746" s="2" t="inlineStr">
        <is>
          <t>Unattempted</t>
        </is>
      </c>
    </row>
    <row r="747">
      <c r="A747" s="4" t="inlineStr">
        <is>
          <t>Interview Questions</t>
        </is>
      </c>
      <c r="B747" s="4" t="inlineStr">
        <is>
          <t>Data Structures Interview Questions</t>
        </is>
      </c>
      <c r="C747" s="4" t="inlineStr">
        <is>
          <t>Prepare yourselves for technical interview with a carefully curated set of problems that appeared in companies like Google, Facebook, Amazon, Microsoft, Adobe, Flipkart, OLX Group, Walmart Labs, eBay, Ola, LinkedIn &amp; more</t>
        </is>
      </c>
      <c r="D747" s="4" t="inlineStr">
        <is>
          <t>Queues - Queues</t>
        </is>
      </c>
      <c r="E747" s="4" t="n">
        <v>97</v>
      </c>
      <c r="F747" s="4" t="inlineStr">
        <is>
          <t>Minimum Divisible Digits</t>
        </is>
      </c>
      <c r="G747" s="4" t="inlineStr">
        <is>
          <t>MINDIG</t>
        </is>
      </c>
      <c r="H747" s="4" t="inlineStr"/>
      <c r="I747" s="4" t="inlineStr">
        <is>
          <t>Hard</t>
        </is>
      </c>
      <c r="J747" s="5">
        <f>HYPERLINK("https://www.codechef.com/problems/MINDIG", "https://www.codechef.com/problems/MINDIG")</f>
        <v/>
      </c>
      <c r="K747" s="4" t="inlineStr"/>
      <c r="L747" s="4" t="inlineStr"/>
      <c r="M747" s="4" t="inlineStr"/>
      <c r="N747" s="4" t="inlineStr">
        <is>
          <t>No</t>
        </is>
      </c>
      <c r="O747" s="4" t="inlineStr">
        <is>
          <t>Unattempted</t>
        </is>
      </c>
    </row>
    <row r="748">
      <c r="A748" s="2" t="inlineStr">
        <is>
          <t>Interview Questions</t>
        </is>
      </c>
      <c r="B748" s="2" t="inlineStr">
        <is>
          <t>Data Structures Interview Questions</t>
        </is>
      </c>
      <c r="C748" s="2" t="inlineStr">
        <is>
          <t>Prepare yourselves for technical interview with a carefully curated set of problems that appeared in companies like Google, Facebook, Amazon, Microsoft, Adobe, Flipkart, OLX Group, Walmart Labs, eBay, Ola, LinkedIn &amp; more</t>
        </is>
      </c>
      <c r="D748" s="2" t="inlineStr">
        <is>
          <t>Queues - Queues</t>
        </is>
      </c>
      <c r="E748" s="2" t="n">
        <v>98</v>
      </c>
      <c r="F748" s="2" t="inlineStr">
        <is>
          <t>Chef Airlines</t>
        </is>
      </c>
      <c r="G748" s="2" t="inlineStr">
        <is>
          <t>AIRTRAV</t>
        </is>
      </c>
      <c r="H748" s="2" t="inlineStr">
        <is>
          <t>1500</t>
        </is>
      </c>
      <c r="I748" s="2" t="inlineStr">
        <is>
          <t>Medium</t>
        </is>
      </c>
      <c r="J748" s="3">
        <f>HYPERLINK("https://www.codechef.com/problems/AIRTRAV", "https://www.codechef.com/problems/AIRTRAV")</f>
        <v/>
      </c>
      <c r="K748" s="2" t="inlineStr"/>
      <c r="L748" s="2" t="inlineStr"/>
      <c r="M748" s="2" t="inlineStr"/>
      <c r="N748" s="2" t="inlineStr">
        <is>
          <t>No</t>
        </is>
      </c>
      <c r="O748" s="2" t="inlineStr">
        <is>
          <t>Unattempted</t>
        </is>
      </c>
    </row>
    <row r="749">
      <c r="A749" s="4" t="inlineStr">
        <is>
          <t>Interview Questions</t>
        </is>
      </c>
      <c r="B749" s="4" t="inlineStr">
        <is>
          <t>Data Structures Interview Questions</t>
        </is>
      </c>
      <c r="C749" s="4" t="inlineStr">
        <is>
          <t>Prepare yourselves for technical interview with a carefully curated set of problems that appeared in companies like Google, Facebook, Amazon, Microsoft, Adobe, Flipkart, OLX Group, Walmart Labs, eBay, Ola, LinkedIn &amp; more</t>
        </is>
      </c>
      <c r="D749" s="4" t="inlineStr">
        <is>
          <t>Binary Search - Binary Search</t>
        </is>
      </c>
      <c r="E749" s="4" t="n">
        <v>99</v>
      </c>
      <c r="F749" s="4" t="inlineStr">
        <is>
          <t>Good Numbers</t>
        </is>
      </c>
      <c r="G749" s="4" t="inlineStr">
        <is>
          <t>DIVNUMB</t>
        </is>
      </c>
      <c r="H749" s="4" t="inlineStr"/>
      <c r="I749" s="4" t="inlineStr">
        <is>
          <t>Medium</t>
        </is>
      </c>
      <c r="J749" s="5">
        <f>HYPERLINK("https://www.codechef.com/problems/DIVNUMB", "https://www.codechef.com/problems/DIVNUMB")</f>
        <v/>
      </c>
      <c r="K749" s="4" t="inlineStr"/>
      <c r="L749" s="4" t="inlineStr"/>
      <c r="M749" s="4" t="inlineStr"/>
      <c r="N749" s="4" t="inlineStr">
        <is>
          <t>No</t>
        </is>
      </c>
      <c r="O749" s="4" t="inlineStr">
        <is>
          <t>Unattempted</t>
        </is>
      </c>
    </row>
    <row r="750">
      <c r="A750" s="2" t="inlineStr">
        <is>
          <t>Interview Questions</t>
        </is>
      </c>
      <c r="B750" s="2" t="inlineStr">
        <is>
          <t>Data Structures Interview Questions</t>
        </is>
      </c>
      <c r="C750" s="2" t="inlineStr">
        <is>
          <t>Prepare yourselves for technical interview with a carefully curated set of problems that appeared in companies like Google, Facebook, Amazon, Microsoft, Adobe, Flipkart, OLX Group, Walmart Labs, eBay, Ola, LinkedIn &amp; more</t>
        </is>
      </c>
      <c r="D750" s="2" t="inlineStr">
        <is>
          <t>Binary Search - Binary Search</t>
        </is>
      </c>
      <c r="E750" s="2" t="n">
        <v>100</v>
      </c>
      <c r="F750" s="2" t="inlineStr">
        <is>
          <t>Array Intersection</t>
        </is>
      </c>
      <c r="G750" s="2" t="inlineStr">
        <is>
          <t>ARRINT</t>
        </is>
      </c>
      <c r="H750" s="2" t="inlineStr"/>
      <c r="I750" s="2" t="inlineStr">
        <is>
          <t>Easy</t>
        </is>
      </c>
      <c r="J750" s="3">
        <f>HYPERLINK("https://www.codechef.com/problems/ARRINT", "https://www.codechef.com/problems/ARRINT")</f>
        <v/>
      </c>
      <c r="K750" s="2" t="inlineStr"/>
      <c r="L750" s="2" t="inlineStr"/>
      <c r="M750" s="2" t="inlineStr"/>
      <c r="N750" s="2" t="inlineStr">
        <is>
          <t>No</t>
        </is>
      </c>
      <c r="O750" s="2" t="inlineStr">
        <is>
          <t>Unattempted</t>
        </is>
      </c>
    </row>
    <row r="751">
      <c r="A751" s="4" t="inlineStr">
        <is>
          <t>Interview Questions</t>
        </is>
      </c>
      <c r="B751" s="4" t="inlineStr">
        <is>
          <t>Data Structures Interview Questions</t>
        </is>
      </c>
      <c r="C751" s="4" t="inlineStr">
        <is>
          <t>Prepare yourselves for technical interview with a carefully curated set of problems that appeared in companies like Google, Facebook, Amazon, Microsoft, Adobe, Flipkart, OLX Group, Walmart Labs, eBay, Ola, LinkedIn &amp; more</t>
        </is>
      </c>
      <c r="D751" s="4" t="inlineStr">
        <is>
          <t>Binary Search - Binary Search</t>
        </is>
      </c>
      <c r="E751" s="4" t="n">
        <v>101</v>
      </c>
      <c r="F751" s="4" t="inlineStr">
        <is>
          <t>Partner Search</t>
        </is>
      </c>
      <c r="G751" s="4" t="inlineStr">
        <is>
          <t>PRTSCH</t>
        </is>
      </c>
      <c r="H751" s="4" t="inlineStr"/>
      <c r="I751" s="4" t="inlineStr">
        <is>
          <t>Medium</t>
        </is>
      </c>
      <c r="J751" s="5">
        <f>HYPERLINK("https://www.codechef.com/problems/PRTSCH", "https://www.codechef.com/problems/PRTSCH")</f>
        <v/>
      </c>
      <c r="K751" s="4" t="inlineStr"/>
      <c r="L751" s="4" t="inlineStr"/>
      <c r="M751" s="4" t="inlineStr"/>
      <c r="N751" s="4" t="inlineStr">
        <is>
          <t>No</t>
        </is>
      </c>
      <c r="O751" s="4" t="inlineStr">
        <is>
          <t>Unattempted</t>
        </is>
      </c>
    </row>
    <row r="752">
      <c r="A752" s="2" t="inlineStr">
        <is>
          <t>Interview Questions</t>
        </is>
      </c>
      <c r="B752" s="2" t="inlineStr">
        <is>
          <t>Data Structures Interview Questions</t>
        </is>
      </c>
      <c r="C752" s="2" t="inlineStr">
        <is>
          <t>Prepare yourselves for technical interview with a carefully curated set of problems that appeared in companies like Google, Facebook, Amazon, Microsoft, Adobe, Flipkart, OLX Group, Walmart Labs, eBay, Ola, LinkedIn &amp; more</t>
        </is>
      </c>
      <c r="D752" s="2" t="inlineStr">
        <is>
          <t>Binary Search - Binary Search</t>
        </is>
      </c>
      <c r="E752" s="2" t="n">
        <v>102</v>
      </c>
      <c r="F752" s="2" t="inlineStr">
        <is>
          <t>Is It There</t>
        </is>
      </c>
      <c r="G752" s="2" t="inlineStr">
        <is>
          <t>IIT</t>
        </is>
      </c>
      <c r="H752" s="2" t="inlineStr"/>
      <c r="I752" s="2" t="inlineStr">
        <is>
          <t>Medium</t>
        </is>
      </c>
      <c r="J752" s="3">
        <f>HYPERLINK("https://www.codechef.com/problems/IIT", "https://www.codechef.com/problems/IIT")</f>
        <v/>
      </c>
      <c r="K752" s="2" t="inlineStr"/>
      <c r="L752" s="2" t="inlineStr"/>
      <c r="M752" s="2" t="inlineStr"/>
      <c r="N752" s="2" t="inlineStr">
        <is>
          <t>No</t>
        </is>
      </c>
      <c r="O752" s="2" t="inlineStr">
        <is>
          <t>Unattempted</t>
        </is>
      </c>
    </row>
    <row r="753">
      <c r="A753" s="4" t="inlineStr">
        <is>
          <t>Interview Questions</t>
        </is>
      </c>
      <c r="B753" s="4" t="inlineStr">
        <is>
          <t>Data Structures Interview Questions</t>
        </is>
      </c>
      <c r="C753" s="4" t="inlineStr">
        <is>
          <t>Prepare yourselves for technical interview with a carefully curated set of problems that appeared in companies like Google, Facebook, Amazon, Microsoft, Adobe, Flipkart, OLX Group, Walmart Labs, eBay, Ola, LinkedIn &amp; more</t>
        </is>
      </c>
      <c r="D753" s="4" t="inlineStr">
        <is>
          <t>Binary Search - Binary Search</t>
        </is>
      </c>
      <c r="E753" s="4" t="n">
        <v>103</v>
      </c>
      <c r="F753" s="4" t="inlineStr">
        <is>
          <t>Sum with min index</t>
        </is>
      </c>
      <c r="G753" s="4" t="inlineStr">
        <is>
          <t>SMININD</t>
        </is>
      </c>
      <c r="H753" s="4" t="inlineStr"/>
      <c r="I753" s="4" t="inlineStr">
        <is>
          <t>Medium</t>
        </is>
      </c>
      <c r="J753" s="5">
        <f>HYPERLINK("https://www.codechef.com/problems/SMININD", "https://www.codechef.com/problems/SMININD")</f>
        <v/>
      </c>
      <c r="K753" s="4" t="inlineStr"/>
      <c r="L753" s="4" t="inlineStr"/>
      <c r="M753" s="4" t="inlineStr"/>
      <c r="N753" s="4" t="inlineStr">
        <is>
          <t>No</t>
        </is>
      </c>
      <c r="O753" s="4" t="inlineStr">
        <is>
          <t>Unattempted</t>
        </is>
      </c>
    </row>
    <row r="754">
      <c r="A754" s="2" t="inlineStr">
        <is>
          <t>Interview Questions</t>
        </is>
      </c>
      <c r="B754" s="2" t="inlineStr">
        <is>
          <t>Data Structures Interview Questions</t>
        </is>
      </c>
      <c r="C754" s="2" t="inlineStr">
        <is>
          <t>Prepare yourselves for technical interview with a carefully curated set of problems that appeared in companies like Google, Facebook, Amazon, Microsoft, Adobe, Flipkart, OLX Group, Walmart Labs, eBay, Ola, LinkedIn &amp; more</t>
        </is>
      </c>
      <c r="D754" s="2" t="inlineStr">
        <is>
          <t>Binary Search - Binary Search</t>
        </is>
      </c>
      <c r="E754" s="2" t="n">
        <v>104</v>
      </c>
      <c r="F754" s="2" t="inlineStr">
        <is>
          <t>Increasing-Decreasing Sequence</t>
        </is>
      </c>
      <c r="G754" s="2" t="inlineStr">
        <is>
          <t>INCDECS</t>
        </is>
      </c>
      <c r="H754" s="2" t="inlineStr"/>
      <c r="I754" s="2" t="inlineStr">
        <is>
          <t>Medium</t>
        </is>
      </c>
      <c r="J754" s="3">
        <f>HYPERLINK("https://www.codechef.com/problems/INCDECS", "https://www.codechef.com/problems/INCDECS")</f>
        <v/>
      </c>
      <c r="K754" s="2" t="inlineStr"/>
      <c r="L754" s="2" t="inlineStr"/>
      <c r="M754" s="2" t="inlineStr"/>
      <c r="N754" s="2" t="inlineStr">
        <is>
          <t>No</t>
        </is>
      </c>
      <c r="O754" s="2" t="inlineStr">
        <is>
          <t>Unattempted</t>
        </is>
      </c>
    </row>
    <row r="755">
      <c r="A755" s="4" t="inlineStr">
        <is>
          <t>Interview Questions</t>
        </is>
      </c>
      <c r="B755" s="4" t="inlineStr">
        <is>
          <t>Data Structures Interview Questions</t>
        </is>
      </c>
      <c r="C755" s="4" t="inlineStr">
        <is>
          <t>Prepare yourselves for technical interview with a carefully curated set of problems that appeared in companies like Google, Facebook, Amazon, Microsoft, Adobe, Flipkart, OLX Group, Walmart Labs, eBay, Ola, LinkedIn &amp; more</t>
        </is>
      </c>
      <c r="D755" s="4" t="inlineStr">
        <is>
          <t>Binary Search - Binary Search</t>
        </is>
      </c>
      <c r="E755" s="4" t="n">
        <v>105</v>
      </c>
      <c r="F755" s="4" t="inlineStr">
        <is>
          <t>Selected Digits</t>
        </is>
      </c>
      <c r="G755" s="4" t="inlineStr">
        <is>
          <t>SDIGIT</t>
        </is>
      </c>
      <c r="H755" s="4" t="inlineStr"/>
      <c r="I755" s="4" t="inlineStr">
        <is>
          <t>Medium</t>
        </is>
      </c>
      <c r="J755" s="5">
        <f>HYPERLINK("https://www.codechef.com/problems/SDIGIT", "https://www.codechef.com/problems/SDIGIT")</f>
        <v/>
      </c>
      <c r="K755" s="4" t="inlineStr"/>
      <c r="L755" s="4" t="inlineStr"/>
      <c r="M755" s="4" t="inlineStr"/>
      <c r="N755" s="4" t="inlineStr">
        <is>
          <t>No</t>
        </is>
      </c>
      <c r="O755" s="4" t="inlineStr">
        <is>
          <t>Unattempted</t>
        </is>
      </c>
    </row>
    <row r="756">
      <c r="A756" s="2" t="inlineStr">
        <is>
          <t>Interview Questions</t>
        </is>
      </c>
      <c r="B756" s="2" t="inlineStr">
        <is>
          <t>Data Structures Interview Questions</t>
        </is>
      </c>
      <c r="C756" s="2" t="inlineStr">
        <is>
          <t>Prepare yourselves for technical interview with a carefully curated set of problems that appeared in companies like Google, Facebook, Amazon, Microsoft, Adobe, Flipkart, OLX Group, Walmart Labs, eBay, Ola, LinkedIn &amp; more</t>
        </is>
      </c>
      <c r="D756" s="2" t="inlineStr">
        <is>
          <t>Binary Search - Binary Search</t>
        </is>
      </c>
      <c r="E756" s="2" t="n">
        <v>106</v>
      </c>
      <c r="F756" s="2" t="inlineStr">
        <is>
          <t>Binary Search - Books in Library</t>
        </is>
      </c>
      <c r="G756" s="2" t="inlineStr">
        <is>
          <t>PREP11</t>
        </is>
      </c>
      <c r="H756" s="2" t="inlineStr"/>
      <c r="I756" s="2" t="inlineStr">
        <is>
          <t>Medium</t>
        </is>
      </c>
      <c r="J756" s="3">
        <f>HYPERLINK("https://www.codechef.com/problems/PREP11", "https://www.codechef.com/problems/PREP11")</f>
        <v/>
      </c>
      <c r="K756" s="2" t="inlineStr"/>
      <c r="L756" s="2" t="inlineStr"/>
      <c r="M756" s="2" t="inlineStr"/>
      <c r="N756" s="2" t="inlineStr">
        <is>
          <t>No</t>
        </is>
      </c>
      <c r="O756" s="2" t="inlineStr">
        <is>
          <t>Unattempted</t>
        </is>
      </c>
    </row>
    <row r="757">
      <c r="A757" s="4" t="inlineStr">
        <is>
          <t>Interview Questions</t>
        </is>
      </c>
      <c r="B757" s="4" t="inlineStr">
        <is>
          <t>Data Structures Interview Questions</t>
        </is>
      </c>
      <c r="C757" s="4" t="inlineStr">
        <is>
          <t>Prepare yourselves for technical interview with a carefully curated set of problems that appeared in companies like Google, Facebook, Amazon, Microsoft, Adobe, Flipkart, OLX Group, Walmart Labs, eBay, Ola, LinkedIn &amp; more</t>
        </is>
      </c>
      <c r="D757" s="4" t="inlineStr">
        <is>
          <t>Binary Search - Binary Search</t>
        </is>
      </c>
      <c r="E757" s="4" t="n">
        <v>107</v>
      </c>
      <c r="F757" s="4" t="inlineStr">
        <is>
          <t>Binary Search - Paint Walls</t>
        </is>
      </c>
      <c r="G757" s="4" t="inlineStr">
        <is>
          <t>PREP08</t>
        </is>
      </c>
      <c r="H757" s="4" t="inlineStr"/>
      <c r="I757" s="4" t="inlineStr">
        <is>
          <t>Medium</t>
        </is>
      </c>
      <c r="J757" s="5">
        <f>HYPERLINK("https://www.codechef.com/problems/PREP08", "https://www.codechef.com/problems/PREP08")</f>
        <v/>
      </c>
      <c r="K757" s="4" t="inlineStr"/>
      <c r="L757" s="4" t="inlineStr"/>
      <c r="M757" s="4" t="inlineStr"/>
      <c r="N757" s="4" t="inlineStr">
        <is>
          <t>No</t>
        </is>
      </c>
      <c r="O757" s="4" t="inlineStr">
        <is>
          <t>Unattempted</t>
        </is>
      </c>
    </row>
    <row r="758">
      <c r="A758" s="2" t="inlineStr">
        <is>
          <t>Interview Questions</t>
        </is>
      </c>
      <c r="B758" s="2" t="inlineStr">
        <is>
          <t>Data Structures Interview Questions</t>
        </is>
      </c>
      <c r="C758" s="2" t="inlineStr">
        <is>
          <t>Prepare yourselves for technical interview with a carefully curated set of problems that appeared in companies like Google, Facebook, Amazon, Microsoft, Adobe, Flipkart, OLX Group, Walmart Labs, eBay, Ola, LinkedIn &amp; more</t>
        </is>
      </c>
      <c r="D758" s="2" t="inlineStr">
        <is>
          <t>Binary Search - Binary Search</t>
        </is>
      </c>
      <c r="E758" s="2" t="n">
        <v>108</v>
      </c>
      <c r="F758" s="2" t="inlineStr">
        <is>
          <t>Binary Search - Range Search</t>
        </is>
      </c>
      <c r="G758" s="2" t="inlineStr">
        <is>
          <t>PREP38</t>
        </is>
      </c>
      <c r="H758" s="2" t="inlineStr"/>
      <c r="I758" s="2" t="inlineStr">
        <is>
          <t>Medium</t>
        </is>
      </c>
      <c r="J758" s="3">
        <f>HYPERLINK("https://www.codechef.com/problems/PREP38", "https://www.codechef.com/problems/PREP38")</f>
        <v/>
      </c>
      <c r="K758" s="2" t="inlineStr"/>
      <c r="L758" s="2" t="inlineStr"/>
      <c r="M758" s="2" t="inlineStr"/>
      <c r="N758" s="2" t="inlineStr">
        <is>
          <t>No</t>
        </is>
      </c>
      <c r="O758" s="2" t="inlineStr">
        <is>
          <t>Unattempted</t>
        </is>
      </c>
    </row>
    <row r="759">
      <c r="A759" s="4" t="inlineStr">
        <is>
          <t>Interview Questions</t>
        </is>
      </c>
      <c r="B759" s="4" t="inlineStr">
        <is>
          <t>Data Structures Interview Questions</t>
        </is>
      </c>
      <c r="C759" s="4" t="inlineStr">
        <is>
          <t>Prepare yourselves for technical interview with a carefully curated set of problems that appeared in companies like Google, Facebook, Amazon, Microsoft, Adobe, Flipkart, OLX Group, Walmart Labs, eBay, Ola, LinkedIn &amp; more</t>
        </is>
      </c>
      <c r="D759" s="4" t="inlineStr">
        <is>
          <t>Binary Search - Binary Search</t>
        </is>
      </c>
      <c r="E759" s="4" t="n">
        <v>109</v>
      </c>
      <c r="F759" s="4" t="inlineStr">
        <is>
          <t>Binary Search - Power Function</t>
        </is>
      </c>
      <c r="G759" s="4" t="inlineStr">
        <is>
          <t>PREP39</t>
        </is>
      </c>
      <c r="H759" s="4" t="inlineStr"/>
      <c r="I759" s="4" t="inlineStr">
        <is>
          <t>Medium</t>
        </is>
      </c>
      <c r="J759" s="5">
        <f>HYPERLINK("https://www.codechef.com/problems/PREP39", "https://www.codechef.com/problems/PREP39")</f>
        <v/>
      </c>
      <c r="K759" s="4" t="inlineStr"/>
      <c r="L759" s="4" t="inlineStr"/>
      <c r="M759" s="4" t="inlineStr"/>
      <c r="N759" s="4" t="inlineStr">
        <is>
          <t>No</t>
        </is>
      </c>
      <c r="O759" s="4" t="inlineStr">
        <is>
          <t>Unattempted</t>
        </is>
      </c>
    </row>
    <row r="760">
      <c r="A760" s="2" t="inlineStr">
        <is>
          <t>Interview Questions</t>
        </is>
      </c>
      <c r="B760" s="2" t="inlineStr">
        <is>
          <t>Data Structures Interview Questions</t>
        </is>
      </c>
      <c r="C760" s="2" t="inlineStr">
        <is>
          <t>Prepare yourselves for technical interview with a carefully curated set of problems that appeared in companies like Google, Facebook, Amazon, Microsoft, Adobe, Flipkart, OLX Group, Walmart Labs, eBay, Ola, LinkedIn &amp; more</t>
        </is>
      </c>
      <c r="D760" s="2" t="inlineStr">
        <is>
          <t>Graphs - Graphs</t>
        </is>
      </c>
      <c r="E760" s="2" t="n">
        <v>110</v>
      </c>
      <c r="F760" s="2" t="inlineStr">
        <is>
          <t>Graphs - Capture Regions</t>
        </is>
      </c>
      <c r="G760" s="2" t="inlineStr">
        <is>
          <t>PREP35</t>
        </is>
      </c>
      <c r="H760" s="2" t="inlineStr"/>
      <c r="I760" s="2" t="inlineStr">
        <is>
          <t>Medium</t>
        </is>
      </c>
      <c r="J760" s="3">
        <f>HYPERLINK("https://www.codechef.com/problems/PREP35", "https://www.codechef.com/problems/PREP35")</f>
        <v/>
      </c>
      <c r="K760" s="2" t="inlineStr"/>
      <c r="L760" s="2" t="inlineStr"/>
      <c r="M760" s="2" t="inlineStr"/>
      <c r="N760" s="2" t="inlineStr">
        <is>
          <t>No</t>
        </is>
      </c>
      <c r="O760" s="2" t="inlineStr">
        <is>
          <t>Unattempted</t>
        </is>
      </c>
    </row>
    <row r="761">
      <c r="A761" s="4" t="inlineStr">
        <is>
          <t>Interview Questions</t>
        </is>
      </c>
      <c r="B761" s="4" t="inlineStr">
        <is>
          <t>Data Structures Interview Questions</t>
        </is>
      </c>
      <c r="C761" s="4" t="inlineStr">
        <is>
          <t>Prepare yourselves for technical interview with a carefully curated set of problems that appeared in companies like Google, Facebook, Amazon, Microsoft, Adobe, Flipkart, OLX Group, Walmart Labs, eBay, Ola, LinkedIn &amp; more</t>
        </is>
      </c>
      <c r="D761" s="4" t="inlineStr">
        <is>
          <t>Graphs - Graphs</t>
        </is>
      </c>
      <c r="E761" s="4" t="n">
        <v>111</v>
      </c>
      <c r="F761" s="4" t="inlineStr">
        <is>
          <t>Graphs - Word Ladder</t>
        </is>
      </c>
      <c r="G761" s="4" t="inlineStr">
        <is>
          <t>PREP36</t>
        </is>
      </c>
      <c r="H761" s="4" t="inlineStr"/>
      <c r="I761" s="4" t="inlineStr">
        <is>
          <t>Hard</t>
        </is>
      </c>
      <c r="J761" s="5">
        <f>HYPERLINK("https://www.codechef.com/problems/PREP36", "https://www.codechef.com/problems/PREP36")</f>
        <v/>
      </c>
      <c r="K761" s="4" t="inlineStr"/>
      <c r="L761" s="4" t="inlineStr"/>
      <c r="M761" s="4" t="inlineStr"/>
      <c r="N761" s="4" t="inlineStr">
        <is>
          <t>No</t>
        </is>
      </c>
      <c r="O761" s="4" t="inlineStr">
        <is>
          <t>Unattempted</t>
        </is>
      </c>
    </row>
    <row r="762">
      <c r="A762" s="2" t="inlineStr">
        <is>
          <t>Interview Questions</t>
        </is>
      </c>
      <c r="B762" s="2" t="inlineStr">
        <is>
          <t>Data Structures Interview Questions</t>
        </is>
      </c>
      <c r="C762" s="2" t="inlineStr">
        <is>
          <t>Prepare yourselves for technical interview with a carefully curated set of problems that appeared in companies like Google, Facebook, Amazon, Microsoft, Adobe, Flipkart, OLX Group, Walmart Labs, eBay, Ola, LinkedIn &amp; more</t>
        </is>
      </c>
      <c r="D762" s="2" t="inlineStr">
        <is>
          <t>Graphs - Graphs</t>
        </is>
      </c>
      <c r="E762" s="2" t="n">
        <v>112</v>
      </c>
      <c r="F762" s="2" t="inlineStr">
        <is>
          <t>Graphs - Red Blue Lakes</t>
        </is>
      </c>
      <c r="G762" s="2" t="inlineStr">
        <is>
          <t>PREP37</t>
        </is>
      </c>
      <c r="H762" s="2" t="inlineStr"/>
      <c r="I762" s="2" t="inlineStr">
        <is>
          <t>Medium</t>
        </is>
      </c>
      <c r="J762" s="3">
        <f>HYPERLINK("https://www.codechef.com/problems/PREP37", "https://www.codechef.com/problems/PREP37")</f>
        <v/>
      </c>
      <c r="K762" s="2" t="inlineStr"/>
      <c r="L762" s="2" t="inlineStr"/>
      <c r="M762" s="2" t="inlineStr"/>
      <c r="N762" s="2" t="inlineStr">
        <is>
          <t>No</t>
        </is>
      </c>
      <c r="O762" s="2" t="inlineStr">
        <is>
          <t>Unattempted</t>
        </is>
      </c>
    </row>
    <row r="763">
      <c r="A763" s="4" t="inlineStr">
        <is>
          <t>Interview Questions</t>
        </is>
      </c>
      <c r="B763" s="4" t="inlineStr">
        <is>
          <t>Data Structures Interview Questions</t>
        </is>
      </c>
      <c r="C763" s="4" t="inlineStr">
        <is>
          <t>Prepare yourselves for technical interview with a carefully curated set of problems that appeared in companies like Google, Facebook, Amazon, Microsoft, Adobe, Flipkart, OLX Group, Walmart Labs, eBay, Ola, LinkedIn &amp; more</t>
        </is>
      </c>
      <c r="D763" s="4" t="inlineStr">
        <is>
          <t>Graphs - Graphs</t>
        </is>
      </c>
      <c r="E763" s="4" t="n">
        <v>113</v>
      </c>
      <c r="F763" s="4" t="inlineStr">
        <is>
          <t>Graphs - Clone a graph</t>
        </is>
      </c>
      <c r="G763" s="4" t="inlineStr">
        <is>
          <t>PREP50</t>
        </is>
      </c>
      <c r="H763" s="4" t="inlineStr"/>
      <c r="I763" s="4" t="inlineStr">
        <is>
          <t>Hard</t>
        </is>
      </c>
      <c r="J763" s="5">
        <f>HYPERLINK("https://www.codechef.com/problems/PREP50", "https://www.codechef.com/problems/PREP50")</f>
        <v/>
      </c>
      <c r="K763" s="4" t="inlineStr"/>
      <c r="L763" s="4" t="inlineStr"/>
      <c r="M763" s="4" t="inlineStr"/>
      <c r="N763" s="4" t="inlineStr">
        <is>
          <t>No</t>
        </is>
      </c>
      <c r="O763" s="4" t="inlineStr">
        <is>
          <t>Unattempted</t>
        </is>
      </c>
    </row>
    <row r="764">
      <c r="A764" s="2" t="inlineStr">
        <is>
          <t>Interview Questions</t>
        </is>
      </c>
      <c r="B764" s="2" t="inlineStr">
        <is>
          <t>Data Structures Interview Questions</t>
        </is>
      </c>
      <c r="C764" s="2" t="inlineStr">
        <is>
          <t>Prepare yourselves for technical interview with a carefully curated set of problems that appeared in companies like Google, Facebook, Amazon, Microsoft, Adobe, Flipkart, OLX Group, Walmart Labs, eBay, Ola, LinkedIn &amp; more</t>
        </is>
      </c>
      <c r="D764" s="2" t="inlineStr">
        <is>
          <t>Graphs - Graphs</t>
        </is>
      </c>
      <c r="E764" s="2" t="n">
        <v>114</v>
      </c>
      <c r="F764" s="2" t="inlineStr">
        <is>
          <t>Graphs - Valid Path</t>
        </is>
      </c>
      <c r="G764" s="2" t="inlineStr">
        <is>
          <t>PREP49</t>
        </is>
      </c>
      <c r="H764" s="2" t="inlineStr"/>
      <c r="I764" s="2" t="inlineStr">
        <is>
          <t>Hard</t>
        </is>
      </c>
      <c r="J764" s="3">
        <f>HYPERLINK("https://www.codechef.com/problems/PREP49", "https://www.codechef.com/problems/PREP49")</f>
        <v/>
      </c>
      <c r="K764" s="2" t="inlineStr"/>
      <c r="L764" s="2" t="inlineStr"/>
      <c r="M764" s="2" t="inlineStr"/>
      <c r="N764" s="2" t="inlineStr">
        <is>
          <t>No</t>
        </is>
      </c>
      <c r="O764" s="2" t="inlineStr">
        <is>
          <t>Unattempted</t>
        </is>
      </c>
    </row>
    <row r="765">
      <c r="A765" s="4" t="inlineStr">
        <is>
          <t>Interview Questions</t>
        </is>
      </c>
      <c r="B765" s="4" t="inlineStr">
        <is>
          <t>Data Structures Interview Questions</t>
        </is>
      </c>
      <c r="C765" s="4" t="inlineStr">
        <is>
          <t>Prepare yourselves for technical interview with a carefully curated set of problems that appeared in companies like Google, Facebook, Amazon, Microsoft, Adobe, Flipkart, OLX Group, Walmart Labs, eBay, Ola, LinkedIn &amp; more</t>
        </is>
      </c>
      <c r="D765" s="4" t="inlineStr">
        <is>
          <t>Trees - Trees</t>
        </is>
      </c>
      <c r="E765" s="4" t="n">
        <v>115</v>
      </c>
      <c r="F765" s="4" t="inlineStr">
        <is>
          <t>Find the Subtree</t>
        </is>
      </c>
      <c r="G765" s="4" t="inlineStr">
        <is>
          <t>SUBTCH</t>
        </is>
      </c>
      <c r="H765" s="4" t="inlineStr"/>
      <c r="I765" s="4" t="inlineStr">
        <is>
          <t>Medium</t>
        </is>
      </c>
      <c r="J765" s="5">
        <f>HYPERLINK("https://www.codechef.com/problems/SUBTCH", "https://www.codechef.com/problems/SUBTCH")</f>
        <v/>
      </c>
      <c r="K765" s="4" t="inlineStr"/>
      <c r="L765" s="4" t="inlineStr"/>
      <c r="M765" s="4" t="inlineStr"/>
      <c r="N765" s="4" t="inlineStr">
        <is>
          <t>No</t>
        </is>
      </c>
      <c r="O765" s="4" t="inlineStr">
        <is>
          <t>Unattempted</t>
        </is>
      </c>
    </row>
    <row r="766">
      <c r="A766" s="2" t="inlineStr">
        <is>
          <t>Interview Questions</t>
        </is>
      </c>
      <c r="B766" s="2" t="inlineStr">
        <is>
          <t>Data Structures Interview Questions</t>
        </is>
      </c>
      <c r="C766" s="2" t="inlineStr">
        <is>
          <t>Prepare yourselves for technical interview with a carefully curated set of problems that appeared in companies like Google, Facebook, Amazon, Microsoft, Adobe, Flipkart, OLX Group, Walmart Labs, eBay, Ola, LinkedIn &amp; more</t>
        </is>
      </c>
      <c r="D766" s="2" t="inlineStr">
        <is>
          <t>Trees - Trees</t>
        </is>
      </c>
      <c r="E766" s="2" t="n">
        <v>116</v>
      </c>
      <c r="F766" s="2" t="inlineStr">
        <is>
          <t>Reconstruct the Tree</t>
        </is>
      </c>
      <c r="G766" s="2" t="inlineStr">
        <is>
          <t>RECTREE</t>
        </is>
      </c>
      <c r="H766" s="2" t="inlineStr"/>
      <c r="I766" s="2" t="inlineStr">
        <is>
          <t>Medium</t>
        </is>
      </c>
      <c r="J766" s="3">
        <f>HYPERLINK("https://www.codechef.com/problems/RECTREE", "https://www.codechef.com/problems/RECTREE")</f>
        <v/>
      </c>
      <c r="K766" s="2" t="inlineStr"/>
      <c r="L766" s="2" t="inlineStr"/>
      <c r="M766" s="2" t="inlineStr"/>
      <c r="N766" s="2" t="inlineStr">
        <is>
          <t>No</t>
        </is>
      </c>
      <c r="O766" s="2" t="inlineStr">
        <is>
          <t>Unattempted</t>
        </is>
      </c>
    </row>
    <row r="767">
      <c r="A767" s="4" t="inlineStr">
        <is>
          <t>Interview Questions</t>
        </is>
      </c>
      <c r="B767" s="4" t="inlineStr">
        <is>
          <t>Data Structures Interview Questions</t>
        </is>
      </c>
      <c r="C767" s="4" t="inlineStr">
        <is>
          <t>Prepare yourselves for technical interview with a carefully curated set of problems that appeared in companies like Google, Facebook, Amazon, Microsoft, Adobe, Flipkart, OLX Group, Walmart Labs, eBay, Ola, LinkedIn &amp; more</t>
        </is>
      </c>
      <c r="D767" s="4" t="inlineStr">
        <is>
          <t>Trees - Trees</t>
        </is>
      </c>
      <c r="E767" s="4" t="n">
        <v>117</v>
      </c>
      <c r="F767" s="4" t="inlineStr">
        <is>
          <t>Counting Nodes</t>
        </is>
      </c>
      <c r="G767" s="4" t="inlineStr">
        <is>
          <t>CNTND</t>
        </is>
      </c>
      <c r="H767" s="4" t="inlineStr"/>
      <c r="I767" s="4" t="inlineStr">
        <is>
          <t>Medium</t>
        </is>
      </c>
      <c r="J767" s="5">
        <f>HYPERLINK("https://www.codechef.com/problems/CNTND", "https://www.codechef.com/problems/CNTND")</f>
        <v/>
      </c>
      <c r="K767" s="4" t="inlineStr"/>
      <c r="L767" s="4" t="inlineStr"/>
      <c r="M767" s="4" t="inlineStr"/>
      <c r="N767" s="4" t="inlineStr">
        <is>
          <t>No</t>
        </is>
      </c>
      <c r="O767" s="4" t="inlineStr">
        <is>
          <t>Unattempted</t>
        </is>
      </c>
    </row>
    <row r="768">
      <c r="A768" s="2" t="inlineStr">
        <is>
          <t>Interview Questions</t>
        </is>
      </c>
      <c r="B768" s="2" t="inlineStr">
        <is>
          <t>Data Structures Interview Questions</t>
        </is>
      </c>
      <c r="C768" s="2" t="inlineStr">
        <is>
          <t>Prepare yourselves for technical interview with a carefully curated set of problems that appeared in companies like Google, Facebook, Amazon, Microsoft, Adobe, Flipkart, OLX Group, Walmart Labs, eBay, Ola, LinkedIn &amp; more</t>
        </is>
      </c>
      <c r="D768" s="2" t="inlineStr">
        <is>
          <t>Trees - Trees</t>
        </is>
      </c>
      <c r="E768" s="2" t="n">
        <v>118</v>
      </c>
      <c r="F768" s="2" t="inlineStr">
        <is>
          <t>Regenerate Tree</t>
        </is>
      </c>
      <c r="G768" s="2" t="inlineStr">
        <is>
          <t>REGTRE</t>
        </is>
      </c>
      <c r="H768" s="2" t="inlineStr"/>
      <c r="I768" s="2" t="inlineStr">
        <is>
          <t>Medium</t>
        </is>
      </c>
      <c r="J768" s="3">
        <f>HYPERLINK("https://www.codechef.com/problems/REGTRE", "https://www.codechef.com/problems/REGTRE")</f>
        <v/>
      </c>
      <c r="K768" s="2" t="inlineStr"/>
      <c r="L768" s="2" t="inlineStr"/>
      <c r="M768" s="2" t="inlineStr"/>
      <c r="N768" s="2" t="inlineStr">
        <is>
          <t>No</t>
        </is>
      </c>
      <c r="O768" s="2" t="inlineStr">
        <is>
          <t>Unattempted</t>
        </is>
      </c>
    </row>
    <row r="769">
      <c r="A769" s="4" t="inlineStr">
        <is>
          <t>Interview Questions</t>
        </is>
      </c>
      <c r="B769" s="4" t="inlineStr">
        <is>
          <t>Data Structures Interview Questions</t>
        </is>
      </c>
      <c r="C769" s="4" t="inlineStr">
        <is>
          <t>Prepare yourselves for technical interview with a carefully curated set of problems that appeared in companies like Google, Facebook, Amazon, Microsoft, Adobe, Flipkart, OLX Group, Walmart Labs, eBay, Ola, LinkedIn &amp; more</t>
        </is>
      </c>
      <c r="D769" s="4" t="inlineStr">
        <is>
          <t>Trees - Trees</t>
        </is>
      </c>
      <c r="E769" s="4" t="n">
        <v>119</v>
      </c>
      <c r="F769" s="4" t="inlineStr">
        <is>
          <t>Triplet LCA</t>
        </is>
      </c>
      <c r="G769" s="4" t="inlineStr">
        <is>
          <t>LCAN3</t>
        </is>
      </c>
      <c r="H769" s="4" t="inlineStr"/>
      <c r="I769" s="4" t="inlineStr">
        <is>
          <t>Medium</t>
        </is>
      </c>
      <c r="J769" s="5">
        <f>HYPERLINK("https://www.codechef.com/problems/LCAN3", "https://www.codechef.com/problems/LCAN3")</f>
        <v/>
      </c>
      <c r="K769" s="4" t="inlineStr"/>
      <c r="L769" s="4" t="inlineStr"/>
      <c r="M769" s="4" t="inlineStr"/>
      <c r="N769" s="4" t="inlineStr">
        <is>
          <t>No</t>
        </is>
      </c>
      <c r="O769" s="4" t="inlineStr">
        <is>
          <t>Unattempted</t>
        </is>
      </c>
    </row>
    <row r="770">
      <c r="A770" s="2" t="inlineStr">
        <is>
          <t>Interview Questions</t>
        </is>
      </c>
      <c r="B770" s="2" t="inlineStr">
        <is>
          <t>Data Structures Interview Questions</t>
        </is>
      </c>
      <c r="C770" s="2" t="inlineStr">
        <is>
          <t>Prepare yourselves for technical interview with a carefully curated set of problems that appeared in companies like Google, Facebook, Amazon, Microsoft, Adobe, Flipkart, OLX Group, Walmart Labs, eBay, Ola, LinkedIn &amp; more</t>
        </is>
      </c>
      <c r="D770" s="2" t="inlineStr">
        <is>
          <t>Trees - Trees</t>
        </is>
      </c>
      <c r="E770" s="2" t="n">
        <v>120</v>
      </c>
      <c r="F770" s="2" t="inlineStr">
        <is>
          <t>Trees - Inorder Traversal</t>
        </is>
      </c>
      <c r="G770" s="2" t="inlineStr">
        <is>
          <t>PREP64</t>
        </is>
      </c>
      <c r="H770" s="2" t="inlineStr"/>
      <c r="I770" s="2" t="inlineStr">
        <is>
          <t>Medium</t>
        </is>
      </c>
      <c r="J770" s="3">
        <f>HYPERLINK("https://www.codechef.com/problems/PREP64", "https://www.codechef.com/problems/PREP64")</f>
        <v/>
      </c>
      <c r="K770" s="2" t="inlineStr"/>
      <c r="L770" s="2" t="inlineStr"/>
      <c r="M770" s="2" t="inlineStr"/>
      <c r="N770" s="2" t="inlineStr">
        <is>
          <t>No</t>
        </is>
      </c>
      <c r="O770" s="2" t="inlineStr">
        <is>
          <t>Unattempted</t>
        </is>
      </c>
    </row>
    <row r="771">
      <c r="A771" s="4" t="inlineStr">
        <is>
          <t>Interview Questions</t>
        </is>
      </c>
      <c r="B771" s="4" t="inlineStr">
        <is>
          <t>Data Structures Interview Questions</t>
        </is>
      </c>
      <c r="C771" s="4" t="inlineStr">
        <is>
          <t>Prepare yourselves for technical interview with a carefully curated set of problems that appeared in companies like Google, Facebook, Amazon, Microsoft, Adobe, Flipkart, OLX Group, Walmart Labs, eBay, Ola, LinkedIn &amp; more</t>
        </is>
      </c>
      <c r="D771" s="4" t="inlineStr">
        <is>
          <t>Trees - Trees</t>
        </is>
      </c>
      <c r="E771" s="4" t="n">
        <v>121</v>
      </c>
      <c r="F771" s="4" t="inlineStr">
        <is>
          <t>Trees - Branch Sum</t>
        </is>
      </c>
      <c r="G771" s="4" t="inlineStr">
        <is>
          <t>PREP29</t>
        </is>
      </c>
      <c r="H771" s="4" t="inlineStr"/>
      <c r="I771" s="4" t="inlineStr">
        <is>
          <t>Medium</t>
        </is>
      </c>
      <c r="J771" s="5">
        <f>HYPERLINK("https://www.codechef.com/problems/PREP29", "https://www.codechef.com/problems/PREP29")</f>
        <v/>
      </c>
      <c r="K771" s="4" t="inlineStr"/>
      <c r="L771" s="4" t="inlineStr"/>
      <c r="M771" s="4" t="inlineStr"/>
      <c r="N771" s="4" t="inlineStr">
        <is>
          <t>No</t>
        </is>
      </c>
      <c r="O771" s="4" t="inlineStr">
        <is>
          <t>Unattempted</t>
        </is>
      </c>
    </row>
    <row r="772">
      <c r="A772" s="2" t="inlineStr">
        <is>
          <t>Interview Questions</t>
        </is>
      </c>
      <c r="B772" s="2" t="inlineStr">
        <is>
          <t>Data Structures Interview Questions</t>
        </is>
      </c>
      <c r="C772" s="2" t="inlineStr">
        <is>
          <t>Prepare yourselves for technical interview with a carefully curated set of problems that appeared in companies like Google, Facebook, Amazon, Microsoft, Adobe, Flipkart, OLX Group, Walmart Labs, eBay, Ola, LinkedIn &amp; more</t>
        </is>
      </c>
      <c r="D772" s="2" t="inlineStr">
        <is>
          <t>Trees - Trees</t>
        </is>
      </c>
      <c r="E772" s="2" t="n">
        <v>122</v>
      </c>
      <c r="F772" s="2" t="inlineStr">
        <is>
          <t>Trees - Path Sum</t>
        </is>
      </c>
      <c r="G772" s="2" t="inlineStr">
        <is>
          <t>PREP65</t>
        </is>
      </c>
      <c r="H772" s="2" t="inlineStr"/>
      <c r="I772" s="2" t="inlineStr">
        <is>
          <t>Medium</t>
        </is>
      </c>
      <c r="J772" s="3">
        <f>HYPERLINK("https://www.codechef.com/problems/PREP65", "https://www.codechef.com/problems/PREP65")</f>
        <v/>
      </c>
      <c r="K772" s="2" t="inlineStr"/>
      <c r="L772" s="2" t="inlineStr"/>
      <c r="M772" s="2" t="inlineStr"/>
      <c r="N772" s="2" t="inlineStr">
        <is>
          <t>No</t>
        </is>
      </c>
      <c r="O772" s="2" t="inlineStr">
        <is>
          <t>Unattempted</t>
        </is>
      </c>
    </row>
    <row r="773">
      <c r="A773" s="4" t="inlineStr">
        <is>
          <t>Interview Questions</t>
        </is>
      </c>
      <c r="B773" s="4" t="inlineStr">
        <is>
          <t>Data Structures Interview Questions</t>
        </is>
      </c>
      <c r="C773" s="4" t="inlineStr">
        <is>
          <t>Prepare yourselves for technical interview with a carefully curated set of problems that appeared in companies like Google, Facebook, Amazon, Microsoft, Adobe, Flipkart, OLX Group, Walmart Labs, eBay, Ola, LinkedIn &amp; more</t>
        </is>
      </c>
      <c r="D773" s="4" t="inlineStr">
        <is>
          <t>Trees - Trees</t>
        </is>
      </c>
      <c r="E773" s="4" t="n">
        <v>123</v>
      </c>
      <c r="F773" s="4" t="inlineStr">
        <is>
          <t>Trees - Lowest Common Ancestor</t>
        </is>
      </c>
      <c r="G773" s="4" t="inlineStr">
        <is>
          <t>PREP67</t>
        </is>
      </c>
      <c r="H773" s="4" t="inlineStr"/>
      <c r="I773" s="4" t="inlineStr">
        <is>
          <t>Medium</t>
        </is>
      </c>
      <c r="J773" s="5">
        <f>HYPERLINK("https://www.codechef.com/problems/PREP67", "https://www.codechef.com/problems/PREP67")</f>
        <v/>
      </c>
      <c r="K773" s="4" t="inlineStr"/>
      <c r="L773" s="4" t="inlineStr"/>
      <c r="M773" s="4" t="inlineStr"/>
      <c r="N773" s="4" t="inlineStr">
        <is>
          <t>No</t>
        </is>
      </c>
      <c r="O773" s="4" t="inlineStr">
        <is>
          <t>Unattempted</t>
        </is>
      </c>
    </row>
    <row r="774">
      <c r="A774" s="2" t="inlineStr">
        <is>
          <t>Interview Questions</t>
        </is>
      </c>
      <c r="B774" s="2" t="inlineStr">
        <is>
          <t>Data Structures Interview Questions</t>
        </is>
      </c>
      <c r="C774" s="2" t="inlineStr">
        <is>
          <t>Prepare yourselves for technical interview with a carefully curated set of problems that appeared in companies like Google, Facebook, Amazon, Microsoft, Adobe, Flipkart, OLX Group, Walmart Labs, eBay, Ola, LinkedIn &amp; more</t>
        </is>
      </c>
      <c r="D774" s="2" t="inlineStr">
        <is>
          <t>Trees - Trees</t>
        </is>
      </c>
      <c r="E774" s="2" t="n">
        <v>124</v>
      </c>
      <c r="F774" s="2" t="inlineStr">
        <is>
          <t>Trees - Height of a Tree</t>
        </is>
      </c>
      <c r="G774" s="2" t="inlineStr">
        <is>
          <t>PREP66</t>
        </is>
      </c>
      <c r="H774" s="2" t="inlineStr"/>
      <c r="I774" s="2" t="inlineStr">
        <is>
          <t>Medium</t>
        </is>
      </c>
      <c r="J774" s="3">
        <f>HYPERLINK("https://www.codechef.com/problems/PREP66", "https://www.codechef.com/problems/PREP66")</f>
        <v/>
      </c>
      <c r="K774" s="2" t="inlineStr"/>
      <c r="L774" s="2" t="inlineStr"/>
      <c r="M774" s="2" t="inlineStr"/>
      <c r="N774" s="2" t="inlineStr">
        <is>
          <t>No</t>
        </is>
      </c>
      <c r="O774" s="2" t="inlineStr">
        <is>
          <t>Unattempted</t>
        </is>
      </c>
    </row>
    <row r="775">
      <c r="A775" s="4" t="inlineStr">
        <is>
          <t>Interview Questions</t>
        </is>
      </c>
      <c r="B775" s="4" t="inlineStr">
        <is>
          <t>Data Structures Interview Questions</t>
        </is>
      </c>
      <c r="C775" s="4" t="inlineStr">
        <is>
          <t>Prepare yourselves for technical interview with a carefully curated set of problems that appeared in companies like Google, Facebook, Amazon, Microsoft, Adobe, Flipkart, OLX Group, Walmart Labs, eBay, Ola, LinkedIn &amp; more</t>
        </is>
      </c>
      <c r="D775" s="4" t="inlineStr">
        <is>
          <t>Hashing - Hashing</t>
        </is>
      </c>
      <c r="E775" s="4" t="n">
        <v>125</v>
      </c>
      <c r="F775" s="4" t="inlineStr">
        <is>
          <t>Hashing - Four Sum</t>
        </is>
      </c>
      <c r="G775" s="4" t="inlineStr">
        <is>
          <t>PREP27</t>
        </is>
      </c>
      <c r="H775" s="4" t="inlineStr"/>
      <c r="I775" s="4" t="inlineStr">
        <is>
          <t>Medium</t>
        </is>
      </c>
      <c r="J775" s="5">
        <f>HYPERLINK("https://www.codechef.com/problems/PREP27", "https://www.codechef.com/problems/PREP27")</f>
        <v/>
      </c>
      <c r="K775" s="4" t="inlineStr"/>
      <c r="L775" s="4" t="inlineStr"/>
      <c r="M775" s="4" t="inlineStr"/>
      <c r="N775" s="4" t="inlineStr">
        <is>
          <t>No</t>
        </is>
      </c>
      <c r="O775" s="4" t="inlineStr">
        <is>
          <t>Unattempted</t>
        </is>
      </c>
    </row>
    <row r="776">
      <c r="A776" s="2" t="inlineStr">
        <is>
          <t>Interview Questions</t>
        </is>
      </c>
      <c r="B776" s="2" t="inlineStr">
        <is>
          <t>Data Structures Interview Questions</t>
        </is>
      </c>
      <c r="C776" s="2" t="inlineStr">
        <is>
          <t>Prepare yourselves for technical interview with a carefully curated set of problems that appeared in companies like Google, Facebook, Amazon, Microsoft, Adobe, Flipkart, OLX Group, Walmart Labs, eBay, Ola, LinkedIn &amp; more</t>
        </is>
      </c>
      <c r="D776" s="2" t="inlineStr">
        <is>
          <t>Hashing - Hashing</t>
        </is>
      </c>
      <c r="E776" s="2" t="n">
        <v>126</v>
      </c>
      <c r="F776" s="2" t="inlineStr">
        <is>
          <t>Hashing - Points on Line</t>
        </is>
      </c>
      <c r="G776" s="2" t="inlineStr">
        <is>
          <t>PREP28</t>
        </is>
      </c>
      <c r="H776" s="2" t="inlineStr"/>
      <c r="I776" s="2" t="inlineStr">
        <is>
          <t>Hard</t>
        </is>
      </c>
      <c r="J776" s="3">
        <f>HYPERLINK("https://www.codechef.com/problems/PREP28", "https://www.codechef.com/problems/PREP28")</f>
        <v/>
      </c>
      <c r="K776" s="2" t="inlineStr"/>
      <c r="L776" s="2" t="inlineStr"/>
      <c r="M776" s="2" t="inlineStr"/>
      <c r="N776" s="2" t="inlineStr">
        <is>
          <t>No</t>
        </is>
      </c>
      <c r="O776" s="2" t="inlineStr">
        <is>
          <t>Unattempted</t>
        </is>
      </c>
    </row>
    <row r="777">
      <c r="A777" s="4" t="inlineStr">
        <is>
          <t>Interview Questions</t>
        </is>
      </c>
      <c r="B777" s="4" t="inlineStr">
        <is>
          <t>Data Structures Interview Questions</t>
        </is>
      </c>
      <c r="C777" s="4" t="inlineStr">
        <is>
          <t>Prepare yourselves for technical interview with a carefully curated set of problems that appeared in companies like Google, Facebook, Amazon, Microsoft, Adobe, Flipkart, OLX Group, Walmart Labs, eBay, Ola, LinkedIn &amp; more</t>
        </is>
      </c>
      <c r="D777" s="4" t="inlineStr">
        <is>
          <t>Hashing - Hashing</t>
        </is>
      </c>
      <c r="E777" s="4" t="n">
        <v>127</v>
      </c>
      <c r="F777" s="4" t="inlineStr">
        <is>
          <t>Hashing - Copy List</t>
        </is>
      </c>
      <c r="G777" s="4" t="inlineStr">
        <is>
          <t>PREP53</t>
        </is>
      </c>
      <c r="H777" s="4" t="inlineStr"/>
      <c r="I777" s="4" t="inlineStr">
        <is>
          <t>Medium</t>
        </is>
      </c>
      <c r="J777" s="5">
        <f>HYPERLINK("https://www.codechef.com/problems/PREP53", "https://www.codechef.com/problems/PREP53")</f>
        <v/>
      </c>
      <c r="K777" s="4" t="inlineStr"/>
      <c r="L777" s="4" t="inlineStr"/>
      <c r="M777" s="4" t="inlineStr"/>
      <c r="N777" s="4" t="inlineStr">
        <is>
          <t>No</t>
        </is>
      </c>
      <c r="O777" s="4" t="inlineStr">
        <is>
          <t>Unattempted</t>
        </is>
      </c>
    </row>
    <row r="778">
      <c r="A778" s="2" t="inlineStr">
        <is>
          <t>Interview Questions</t>
        </is>
      </c>
      <c r="B778" s="2" t="inlineStr">
        <is>
          <t>Data Structures Interview Questions</t>
        </is>
      </c>
      <c r="C778" s="2" t="inlineStr">
        <is>
          <t>Prepare yourselves for technical interview with a carefully curated set of problems that appeared in companies like Google, Facebook, Amazon, Microsoft, Adobe, Flipkart, OLX Group, Walmart Labs, eBay, Ola, LinkedIn &amp; more</t>
        </is>
      </c>
      <c r="D778" s="2" t="inlineStr">
        <is>
          <t>Hashing - Hashing</t>
        </is>
      </c>
      <c r="E778" s="2" t="n">
        <v>128</v>
      </c>
      <c r="F778" s="2" t="inlineStr">
        <is>
          <t>Hashing - Minimum Window Substring</t>
        </is>
      </c>
      <c r="G778" s="2" t="inlineStr">
        <is>
          <t>PREP51</t>
        </is>
      </c>
      <c r="H778" s="2" t="inlineStr"/>
      <c r="I778" s="2" t="inlineStr">
        <is>
          <t>Medium</t>
        </is>
      </c>
      <c r="J778" s="3">
        <f>HYPERLINK("https://www.codechef.com/problems/PREP51", "https://www.codechef.com/problems/PREP51")</f>
        <v/>
      </c>
      <c r="K778" s="2" t="inlineStr"/>
      <c r="L778" s="2" t="inlineStr">
        <is>
          <t>admin</t>
        </is>
      </c>
      <c r="M778" s="2" t="inlineStr"/>
      <c r="N778" s="2" t="inlineStr">
        <is>
          <t>No</t>
        </is>
      </c>
      <c r="O778" s="2" t="inlineStr">
        <is>
          <t>Unattempted</t>
        </is>
      </c>
    </row>
    <row r="779">
      <c r="A779" s="4" t="inlineStr">
        <is>
          <t>Interview Questions</t>
        </is>
      </c>
      <c r="B779" s="4" t="inlineStr">
        <is>
          <t>Data Structures Interview Questions</t>
        </is>
      </c>
      <c r="C779" s="4" t="inlineStr">
        <is>
          <t>Prepare yourselves for technical interview with a carefully curated set of problems that appeared in companies like Google, Facebook, Amazon, Microsoft, Adobe, Flipkart, OLX Group, Walmart Labs, eBay, Ola, LinkedIn &amp; more</t>
        </is>
      </c>
      <c r="D779" s="4" t="inlineStr">
        <is>
          <t>Hashing - Hashing</t>
        </is>
      </c>
      <c r="E779" s="4" t="n">
        <v>129</v>
      </c>
      <c r="F779" s="4" t="inlineStr">
        <is>
          <t>Hashing - Valid Sudoku</t>
        </is>
      </c>
      <c r="G779" s="4" t="inlineStr">
        <is>
          <t>PREP52</t>
        </is>
      </c>
      <c r="H779" s="4" t="inlineStr"/>
      <c r="I779" s="4" t="inlineStr">
        <is>
          <t>Medium</t>
        </is>
      </c>
      <c r="J779" s="5">
        <f>HYPERLINK("https://www.codechef.com/problems/PREP52", "https://www.codechef.com/problems/PREP52")</f>
        <v/>
      </c>
      <c r="K779" s="4" t="inlineStr"/>
      <c r="L779" s="4" t="inlineStr"/>
      <c r="M779" s="4" t="inlineStr"/>
      <c r="N779" s="4" t="inlineStr">
        <is>
          <t>No</t>
        </is>
      </c>
      <c r="O779" s="4" t="inlineStr">
        <is>
          <t>Unattempted</t>
        </is>
      </c>
    </row>
    <row r="780">
      <c r="A780" s="2" t="inlineStr">
        <is>
          <t>Interview Questions</t>
        </is>
      </c>
      <c r="B780" s="2" t="inlineStr">
        <is>
          <t>Data Structures Interview Questions</t>
        </is>
      </c>
      <c r="C780" s="2" t="inlineStr">
        <is>
          <t>Prepare yourselves for technical interview with a carefully curated set of problems that appeared in companies like Google, Facebook, Amazon, Microsoft, Adobe, Flipkart, OLX Group, Walmart Labs, eBay, Ola, LinkedIn &amp; more</t>
        </is>
      </c>
      <c r="D780" s="2" t="inlineStr">
        <is>
          <t>Two pointers - Two pointers</t>
        </is>
      </c>
      <c r="E780" s="2" t="n">
        <v>130</v>
      </c>
      <c r="F780" s="2" t="inlineStr">
        <is>
          <t>Divide The String</t>
        </is>
      </c>
      <c r="G780" s="2" t="inlineStr">
        <is>
          <t>DTS</t>
        </is>
      </c>
      <c r="H780" s="2" t="inlineStr"/>
      <c r="I780" s="2" t="inlineStr">
        <is>
          <t>Medium</t>
        </is>
      </c>
      <c r="J780" s="3">
        <f>HYPERLINK("https://www.codechef.com/problems/DTS", "https://www.codechef.com/problems/DTS")</f>
        <v/>
      </c>
      <c r="K780" s="2" t="inlineStr"/>
      <c r="L780" s="2" t="inlineStr"/>
      <c r="M780" s="2" t="inlineStr"/>
      <c r="N780" s="2" t="inlineStr">
        <is>
          <t>No</t>
        </is>
      </c>
      <c r="O780" s="2" t="inlineStr">
        <is>
          <t>Unattempted</t>
        </is>
      </c>
    </row>
    <row r="781">
      <c r="A781" s="4" t="inlineStr">
        <is>
          <t>Interview Questions</t>
        </is>
      </c>
      <c r="B781" s="4" t="inlineStr">
        <is>
          <t>Data Structures Interview Questions</t>
        </is>
      </c>
      <c r="C781" s="4" t="inlineStr">
        <is>
          <t>Prepare yourselves for technical interview with a carefully curated set of problems that appeared in companies like Google, Facebook, Amazon, Microsoft, Adobe, Flipkart, OLX Group, Walmart Labs, eBay, Ola, LinkedIn &amp; more</t>
        </is>
      </c>
      <c r="D781" s="4" t="inlineStr">
        <is>
          <t>Two pointers - Two pointers</t>
        </is>
      </c>
      <c r="E781" s="4" t="n">
        <v>131</v>
      </c>
      <c r="F781" s="4" t="inlineStr">
        <is>
          <t>Special Substring</t>
        </is>
      </c>
      <c r="G781" s="4" t="inlineStr">
        <is>
          <t>SPSBTR</t>
        </is>
      </c>
      <c r="H781" s="4" t="inlineStr">
        <is>
          <t>1400</t>
        </is>
      </c>
      <c r="I781" s="4" t="inlineStr">
        <is>
          <t>Medium</t>
        </is>
      </c>
      <c r="J781" s="5">
        <f>HYPERLINK("https://www.codechef.com/problems/SPSBTR", "https://www.codechef.com/problems/SPSBTR")</f>
        <v/>
      </c>
      <c r="K781" s="4" t="inlineStr"/>
      <c r="L781" s="4" t="inlineStr"/>
      <c r="M781" s="4" t="inlineStr"/>
      <c r="N781" s="4" t="inlineStr">
        <is>
          <t>No</t>
        </is>
      </c>
      <c r="O781" s="4" t="inlineStr">
        <is>
          <t>Unattempted</t>
        </is>
      </c>
    </row>
    <row r="782">
      <c r="A782" s="2" t="inlineStr">
        <is>
          <t>Interview Questions</t>
        </is>
      </c>
      <c r="B782" s="2" t="inlineStr">
        <is>
          <t>Data Structures Interview Questions</t>
        </is>
      </c>
      <c r="C782" s="2" t="inlineStr">
        <is>
          <t>Prepare yourselves for technical interview with a carefully curated set of problems that appeared in companies like Google, Facebook, Amazon, Microsoft, Adobe, Flipkart, OLX Group, Walmart Labs, eBay, Ola, LinkedIn &amp; more</t>
        </is>
      </c>
      <c r="D782" s="2" t="inlineStr">
        <is>
          <t>Two pointers - Two pointers</t>
        </is>
      </c>
      <c r="E782" s="2" t="n">
        <v>132</v>
      </c>
      <c r="F782" s="2" t="inlineStr">
        <is>
          <t>Minimum Similar Substring</t>
        </is>
      </c>
      <c r="G782" s="2" t="inlineStr">
        <is>
          <t>MINSIM</t>
        </is>
      </c>
      <c r="H782" s="2" t="inlineStr">
        <is>
          <t>1500</t>
        </is>
      </c>
      <c r="I782" s="2" t="inlineStr">
        <is>
          <t>Medium</t>
        </is>
      </c>
      <c r="J782" s="3">
        <f>HYPERLINK("https://www.codechef.com/problems/MINSIM", "https://www.codechef.com/problems/MINSIM")</f>
        <v/>
      </c>
      <c r="K782" s="2" t="inlineStr"/>
      <c r="L782" s="2" t="inlineStr"/>
      <c r="M782" s="2" t="inlineStr"/>
      <c r="N782" s="2" t="inlineStr">
        <is>
          <t>No</t>
        </is>
      </c>
      <c r="O782" s="2" t="inlineStr">
        <is>
          <t>Unattempted</t>
        </is>
      </c>
    </row>
    <row r="783">
      <c r="A783" s="4" t="inlineStr">
        <is>
          <t>Interview Questions</t>
        </is>
      </c>
      <c r="B783" s="4" t="inlineStr">
        <is>
          <t>Data Structures Interview Questions</t>
        </is>
      </c>
      <c r="C783" s="4" t="inlineStr">
        <is>
          <t>Prepare yourselves for technical interview with a carefully curated set of problems that appeared in companies like Google, Facebook, Amazon, Microsoft, Adobe, Flipkart, OLX Group, Walmart Labs, eBay, Ola, LinkedIn &amp; more</t>
        </is>
      </c>
      <c r="D783" s="4" t="inlineStr">
        <is>
          <t>Two pointers - Two pointers</t>
        </is>
      </c>
      <c r="E783" s="4" t="n">
        <v>133</v>
      </c>
      <c r="F783" s="4" t="inlineStr">
        <is>
          <t>Longest Good Substring</t>
        </is>
      </c>
      <c r="G783" s="4" t="inlineStr">
        <is>
          <t>LGDSTR</t>
        </is>
      </c>
      <c r="H783" s="4" t="inlineStr"/>
      <c r="I783" s="4" t="inlineStr">
        <is>
          <t>Hard</t>
        </is>
      </c>
      <c r="J783" s="5">
        <f>HYPERLINK("https://www.codechef.com/problems/LGDSTR", "https://www.codechef.com/problems/LGDSTR")</f>
        <v/>
      </c>
      <c r="K783" s="4" t="inlineStr"/>
      <c r="L783" s="4" t="inlineStr"/>
      <c r="M783" s="4" t="inlineStr"/>
      <c r="N783" s="4" t="inlineStr">
        <is>
          <t>No</t>
        </is>
      </c>
      <c r="O783" s="4" t="inlineStr">
        <is>
          <t>Unattempted</t>
        </is>
      </c>
    </row>
    <row r="784">
      <c r="A784" s="2" t="inlineStr">
        <is>
          <t>Interview Questions</t>
        </is>
      </c>
      <c r="B784" s="2" t="inlineStr">
        <is>
          <t>Data Structures Interview Questions</t>
        </is>
      </c>
      <c r="C784" s="2" t="inlineStr">
        <is>
          <t>Prepare yourselves for technical interview with a carefully curated set of problems that appeared in companies like Google, Facebook, Amazon, Microsoft, Adobe, Flipkart, OLX Group, Walmart Labs, eBay, Ola, LinkedIn &amp; more</t>
        </is>
      </c>
      <c r="D784" s="2" t="inlineStr">
        <is>
          <t>Two pointers - Two pointers</t>
        </is>
      </c>
      <c r="E784" s="2" t="n">
        <v>134</v>
      </c>
      <c r="F784" s="2" t="inlineStr">
        <is>
          <t>Maximum Common Elements</t>
        </is>
      </c>
      <c r="G784" s="2" t="inlineStr">
        <is>
          <t>PREP17</t>
        </is>
      </c>
      <c r="H784" s="2" t="inlineStr">
        <is>
          <t>1100</t>
        </is>
      </c>
      <c r="I784" s="2" t="inlineStr">
        <is>
          <t>Easy</t>
        </is>
      </c>
      <c r="J784" s="3">
        <f>HYPERLINK("https://www.codechef.com/problems/PREP17", "https://www.codechef.com/problems/PREP17")</f>
        <v/>
      </c>
      <c r="K784" s="2" t="inlineStr"/>
      <c r="L784" s="2" t="inlineStr"/>
      <c r="M784" s="2" t="inlineStr"/>
      <c r="N784" s="2" t="inlineStr">
        <is>
          <t>No</t>
        </is>
      </c>
      <c r="O784" s="2" t="inlineStr">
        <is>
          <t>Unattempted</t>
        </is>
      </c>
    </row>
    <row r="785">
      <c r="A785" s="4" t="inlineStr">
        <is>
          <t>Interview Questions</t>
        </is>
      </c>
      <c r="B785" s="4" t="inlineStr">
        <is>
          <t>Data Structures Interview Questions</t>
        </is>
      </c>
      <c r="C785" s="4" t="inlineStr">
        <is>
          <t>Prepare yourselves for technical interview with a carefully curated set of problems that appeared in companies like Google, Facebook, Amazon, Microsoft, Adobe, Flipkart, OLX Group, Walmart Labs, eBay, Ola, LinkedIn &amp; more</t>
        </is>
      </c>
      <c r="D785" s="4" t="inlineStr">
        <is>
          <t>Two pointers - Two pointers</t>
        </is>
      </c>
      <c r="E785" s="4" t="n">
        <v>135</v>
      </c>
      <c r="F785" s="4" t="inlineStr">
        <is>
          <t>Trapping Rainwater</t>
        </is>
      </c>
      <c r="G785" s="4" t="inlineStr">
        <is>
          <t>PREP19</t>
        </is>
      </c>
      <c r="H785" s="4" t="inlineStr"/>
      <c r="I785" s="4" t="inlineStr">
        <is>
          <t>Medium</t>
        </is>
      </c>
      <c r="J785" s="5">
        <f>HYPERLINK("https://www.codechef.com/problems/PREP19", "https://www.codechef.com/problems/PREP19")</f>
        <v/>
      </c>
      <c r="K785" s="4" t="inlineStr"/>
      <c r="L785" s="4" t="inlineStr"/>
      <c r="M785" s="4" t="inlineStr"/>
      <c r="N785" s="4" t="inlineStr">
        <is>
          <t>No</t>
        </is>
      </c>
      <c r="O785" s="4" t="inlineStr">
        <is>
          <t>Unattempted</t>
        </is>
      </c>
    </row>
    <row r="786">
      <c r="A786" s="2" t="inlineStr">
        <is>
          <t>Interview Questions</t>
        </is>
      </c>
      <c r="B786" s="2" t="inlineStr">
        <is>
          <t>Data Structures Interview Questions</t>
        </is>
      </c>
      <c r="C786" s="2" t="inlineStr">
        <is>
          <t>Prepare yourselves for technical interview with a carefully curated set of problems that appeared in companies like Google, Facebook, Amazon, Microsoft, Adobe, Flipkart, OLX Group, Walmart Labs, eBay, Ola, LinkedIn &amp; more</t>
        </is>
      </c>
      <c r="D786" s="2" t="inlineStr">
        <is>
          <t>Two pointers - Two pointers</t>
        </is>
      </c>
      <c r="E786" s="2" t="n">
        <v>136</v>
      </c>
      <c r="F786" s="2" t="inlineStr">
        <is>
          <t>Remove Duplicates</t>
        </is>
      </c>
      <c r="G786" s="2" t="inlineStr">
        <is>
          <t>PREP69</t>
        </is>
      </c>
      <c r="H786" s="2" t="inlineStr">
        <is>
          <t>900</t>
        </is>
      </c>
      <c r="I786" s="2" t="inlineStr">
        <is>
          <t>Easy</t>
        </is>
      </c>
      <c r="J786" s="3">
        <f>HYPERLINK("https://www.codechef.com/problems/PREP69", "https://www.codechef.com/problems/PREP69")</f>
        <v/>
      </c>
      <c r="K786" s="2" t="inlineStr"/>
      <c r="L786" s="2" t="inlineStr"/>
      <c r="M786" s="2" t="inlineStr"/>
      <c r="N786" s="2" t="inlineStr">
        <is>
          <t>No</t>
        </is>
      </c>
      <c r="O786" s="2" t="inlineStr">
        <is>
          <t>Unattempted</t>
        </is>
      </c>
    </row>
    <row r="787">
      <c r="A787" s="4" t="inlineStr">
        <is>
          <t>Interview Questions</t>
        </is>
      </c>
      <c r="B787" s="4" t="inlineStr">
        <is>
          <t>Data Structures Interview Questions</t>
        </is>
      </c>
      <c r="C787" s="4" t="inlineStr">
        <is>
          <t>Prepare yourselves for technical interview with a carefully curated set of problems that appeared in companies like Google, Facebook, Amazon, Microsoft, Adobe, Flipkart, OLX Group, Walmart Labs, eBay, Ola, LinkedIn &amp; more</t>
        </is>
      </c>
      <c r="D787" s="4" t="inlineStr">
        <is>
          <t>Two pointers - Two pointers</t>
        </is>
      </c>
      <c r="E787" s="4" t="n">
        <v>137</v>
      </c>
      <c r="F787" s="4" t="inlineStr">
        <is>
          <t>Difference Pairs</t>
        </is>
      </c>
      <c r="G787" s="4" t="inlineStr">
        <is>
          <t>PREP68</t>
        </is>
      </c>
      <c r="H787" s="4" t="inlineStr">
        <is>
          <t>1000</t>
        </is>
      </c>
      <c r="I787" s="4" t="inlineStr">
        <is>
          <t>Easy</t>
        </is>
      </c>
      <c r="J787" s="5">
        <f>HYPERLINK("https://www.codechef.com/problems/PREP68", "https://www.codechef.com/problems/PREP68")</f>
        <v/>
      </c>
      <c r="K787" s="4" t="inlineStr"/>
      <c r="L787" s="4" t="inlineStr">
        <is>
          <t>Algorithms, Simple Algos, Two pointers</t>
        </is>
      </c>
      <c r="M787" s="4" t="inlineStr"/>
      <c r="N787" s="4" t="inlineStr">
        <is>
          <t>No</t>
        </is>
      </c>
      <c r="O787" s="4" t="inlineStr">
        <is>
          <t>Unattempted</t>
        </is>
      </c>
    </row>
    <row r="788">
      <c r="A788" s="2" t="inlineStr">
        <is>
          <t>Interview Questions</t>
        </is>
      </c>
      <c r="B788" s="2" t="inlineStr">
        <is>
          <t>Data Structures Interview Questions</t>
        </is>
      </c>
      <c r="C788" s="2" t="inlineStr">
        <is>
          <t>Prepare yourselves for technical interview with a carefully curated set of problems that appeared in companies like Google, Facebook, Amazon, Microsoft, Adobe, Flipkart, OLX Group, Walmart Labs, eBay, Ola, LinkedIn &amp; more</t>
        </is>
      </c>
      <c r="D788" s="2" t="inlineStr">
        <is>
          <t>Two pointers - Two pointers</t>
        </is>
      </c>
      <c r="E788" s="2" t="n">
        <v>138</v>
      </c>
      <c r="F788" s="2" t="inlineStr">
        <is>
          <t>Find Array Min</t>
        </is>
      </c>
      <c r="G788" s="2" t="inlineStr">
        <is>
          <t>PREP18</t>
        </is>
      </c>
      <c r="H788" s="2" t="inlineStr">
        <is>
          <t>1500</t>
        </is>
      </c>
      <c r="I788" s="2" t="inlineStr">
        <is>
          <t>Medium</t>
        </is>
      </c>
      <c r="J788" s="3">
        <f>HYPERLINK("https://www.codechef.com/problems/PREP18", "https://www.codechef.com/problems/PREP18")</f>
        <v/>
      </c>
      <c r="K788" s="2" t="inlineStr"/>
      <c r="L788" s="2" t="inlineStr"/>
      <c r="M788" s="2" t="inlineStr"/>
      <c r="N788" s="2" t="inlineStr">
        <is>
          <t>No</t>
        </is>
      </c>
      <c r="O788" s="2" t="inlineStr">
        <is>
          <t>Unattempted</t>
        </is>
      </c>
    </row>
    <row r="789">
      <c r="A789" s="4" t="inlineStr">
        <is>
          <t>Interview Questions</t>
        </is>
      </c>
      <c r="B789" s="4" t="inlineStr">
        <is>
          <t>Data Structures Interview Questions</t>
        </is>
      </c>
      <c r="C789" s="4" t="inlineStr">
        <is>
          <t>Prepare yourselves for technical interview with a carefully curated set of problems that appeared in companies like Google, Facebook, Amazon, Microsoft, Adobe, Flipkart, OLX Group, Walmart Labs, eBay, Ola, LinkedIn &amp; more</t>
        </is>
      </c>
      <c r="D789" s="4" t="inlineStr">
        <is>
          <t>Dynamic Programming - DP</t>
        </is>
      </c>
      <c r="E789" s="4" t="n">
        <v>139</v>
      </c>
      <c r="F789" s="4" t="inlineStr">
        <is>
          <t>Dynamic Programming - String Distance</t>
        </is>
      </c>
      <c r="G789" s="4" t="inlineStr">
        <is>
          <t>PREP32</t>
        </is>
      </c>
      <c r="H789" s="4" t="inlineStr"/>
      <c r="I789" s="4" t="inlineStr">
        <is>
          <t>Medium</t>
        </is>
      </c>
      <c r="J789" s="5">
        <f>HYPERLINK("https://www.codechef.com/problems/PREP32", "https://www.codechef.com/problems/PREP32")</f>
        <v/>
      </c>
      <c r="K789" s="4" t="inlineStr"/>
      <c r="L789" s="4" t="inlineStr"/>
      <c r="M789" s="4" t="inlineStr"/>
      <c r="N789" s="4" t="inlineStr">
        <is>
          <t>No</t>
        </is>
      </c>
      <c r="O789" s="4" t="inlineStr">
        <is>
          <t>Unattempted</t>
        </is>
      </c>
    </row>
    <row r="790">
      <c r="A790" s="2" t="inlineStr">
        <is>
          <t>Interview Questions</t>
        </is>
      </c>
      <c r="B790" s="2" t="inlineStr">
        <is>
          <t>Data Structures Interview Questions</t>
        </is>
      </c>
      <c r="C790" s="2" t="inlineStr">
        <is>
          <t>Prepare yourselves for technical interview with a carefully curated set of problems that appeared in companies like Google, Facebook, Amazon, Microsoft, Adobe, Flipkart, OLX Group, Walmart Labs, eBay, Ola, LinkedIn &amp; more</t>
        </is>
      </c>
      <c r="D790" s="2" t="inlineStr">
        <is>
          <t>Dynamic Programming - DP</t>
        </is>
      </c>
      <c r="E790" s="2" t="n">
        <v>140</v>
      </c>
      <c r="F790" s="2" t="inlineStr">
        <is>
          <t>Dynamic Programming - Minimum Jumps</t>
        </is>
      </c>
      <c r="G790" s="2" t="inlineStr">
        <is>
          <t>PREP31</t>
        </is>
      </c>
      <c r="H790" s="2" t="inlineStr"/>
      <c r="I790" s="2" t="inlineStr">
        <is>
          <t>Medium</t>
        </is>
      </c>
      <c r="J790" s="3">
        <f>HYPERLINK("https://www.codechef.com/problems/PREP31", "https://www.codechef.com/problems/PREP31")</f>
        <v/>
      </c>
      <c r="K790" s="2" t="inlineStr"/>
      <c r="L790" s="2" t="inlineStr"/>
      <c r="M790" s="2" t="inlineStr"/>
      <c r="N790" s="2" t="inlineStr">
        <is>
          <t>No</t>
        </is>
      </c>
      <c r="O790" s="2" t="inlineStr">
        <is>
          <t>Unattempted</t>
        </is>
      </c>
    </row>
    <row r="791">
      <c r="A791" s="4" t="inlineStr">
        <is>
          <t>Interview Questions</t>
        </is>
      </c>
      <c r="B791" s="4" t="inlineStr">
        <is>
          <t>Data Structures Interview Questions</t>
        </is>
      </c>
      <c r="C791" s="4" t="inlineStr">
        <is>
          <t>Prepare yourselves for technical interview with a carefully curated set of problems that appeared in companies like Google, Facebook, Amazon, Microsoft, Adobe, Flipkart, OLX Group, Walmart Labs, eBay, Ola, LinkedIn &amp; more</t>
        </is>
      </c>
      <c r="D791" s="4" t="inlineStr">
        <is>
          <t>Dynamic Programming - DP</t>
        </is>
      </c>
      <c r="E791" s="4" t="n">
        <v>141</v>
      </c>
      <c r="F791" s="4" t="inlineStr">
        <is>
          <t>Dynamic Programming - Rod Cutting</t>
        </is>
      </c>
      <c r="G791" s="4" t="inlineStr">
        <is>
          <t>PREP34</t>
        </is>
      </c>
      <c r="H791" s="4" t="inlineStr"/>
      <c r="I791" s="4" t="inlineStr">
        <is>
          <t>Hard</t>
        </is>
      </c>
      <c r="J791" s="5">
        <f>HYPERLINK("https://www.codechef.com/problems/PREP34", "https://www.codechef.com/problems/PREP34")</f>
        <v/>
      </c>
      <c r="K791" s="4" t="inlineStr"/>
      <c r="L791" s="4" t="inlineStr"/>
      <c r="M791" s="4" t="inlineStr"/>
      <c r="N791" s="4" t="inlineStr">
        <is>
          <t>No</t>
        </is>
      </c>
      <c r="O791" s="4" t="inlineStr">
        <is>
          <t>Unattempted</t>
        </is>
      </c>
    </row>
    <row r="792">
      <c r="A792" s="2" t="inlineStr">
        <is>
          <t>Interview Questions</t>
        </is>
      </c>
      <c r="B792" s="2" t="inlineStr">
        <is>
          <t>Data Structures Interview Questions</t>
        </is>
      </c>
      <c r="C792" s="2" t="inlineStr">
        <is>
          <t>Prepare yourselves for technical interview with a carefully curated set of problems that appeared in companies like Google, Facebook, Amazon, Microsoft, Adobe, Flipkart, OLX Group, Walmart Labs, eBay, Ola, LinkedIn &amp; more</t>
        </is>
      </c>
      <c r="D792" s="2" t="inlineStr">
        <is>
          <t>Dynamic Programming - DP</t>
        </is>
      </c>
      <c r="E792" s="2" t="n">
        <v>142</v>
      </c>
      <c r="F792" s="2" t="inlineStr">
        <is>
          <t>Dynamic Programming - Longest Valid Parentheses</t>
        </is>
      </c>
      <c r="G792" s="2" t="inlineStr">
        <is>
          <t>PREP33</t>
        </is>
      </c>
      <c r="H792" s="2" t="inlineStr"/>
      <c r="I792" s="2" t="inlineStr">
        <is>
          <t>Medium</t>
        </is>
      </c>
      <c r="J792" s="3">
        <f>HYPERLINK("https://www.codechef.com/problems/PREP33", "https://www.codechef.com/problems/PREP33")</f>
        <v/>
      </c>
      <c r="K792" s="2" t="inlineStr"/>
      <c r="L792" s="2" t="inlineStr"/>
      <c r="M792" s="2" t="inlineStr"/>
      <c r="N792" s="2" t="inlineStr">
        <is>
          <t>No</t>
        </is>
      </c>
      <c r="O792" s="2" t="inlineStr">
        <is>
          <t>Unattempted</t>
        </is>
      </c>
    </row>
    <row r="793">
      <c r="A793" s="4" t="inlineStr">
        <is>
          <t>Interview Questions</t>
        </is>
      </c>
      <c r="B793" s="4" t="inlineStr">
        <is>
          <t>Data Structures Interview Questions</t>
        </is>
      </c>
      <c r="C793" s="4" t="inlineStr">
        <is>
          <t>Prepare yourselves for technical interview with a carefully curated set of problems that appeared in companies like Google, Facebook, Amazon, Microsoft, Adobe, Flipkart, OLX Group, Walmart Labs, eBay, Ola, LinkedIn &amp; more</t>
        </is>
      </c>
      <c r="D793" s="4" t="inlineStr">
        <is>
          <t>Dynamic Programming - DP</t>
        </is>
      </c>
      <c r="E793" s="4" t="n">
        <v>143</v>
      </c>
      <c r="F793" s="4" t="inlineStr">
        <is>
          <t>Maximum Product Subarray</t>
        </is>
      </c>
      <c r="G793" s="4" t="inlineStr">
        <is>
          <t>PREP48</t>
        </is>
      </c>
      <c r="H793" s="4" t="inlineStr"/>
      <c r="I793" s="4" t="inlineStr">
        <is>
          <t>Medium</t>
        </is>
      </c>
      <c r="J793" s="5">
        <f>HYPERLINK("https://www.codechef.com/problems/PREP48", "https://www.codechef.com/problems/PREP48")</f>
        <v/>
      </c>
      <c r="K793" s="4" t="inlineStr"/>
      <c r="L793" s="4" t="inlineStr"/>
      <c r="M793" s="4" t="inlineStr"/>
      <c r="N793" s="4" t="inlineStr">
        <is>
          <t>No</t>
        </is>
      </c>
      <c r="O793" s="4" t="inlineStr">
        <is>
          <t>Unattempted</t>
        </is>
      </c>
    </row>
    <row r="794">
      <c r="A794" s="2" t="inlineStr">
        <is>
          <t>Interview Questions</t>
        </is>
      </c>
      <c r="B794" s="2" t="inlineStr">
        <is>
          <t>Data Structures Interview Questions</t>
        </is>
      </c>
      <c r="C794" s="2" t="inlineStr">
        <is>
          <t>Prepare yourselves for technical interview with a carefully curated set of problems that appeared in companies like Google, Facebook, Amazon, Microsoft, Adobe, Flipkart, OLX Group, Walmart Labs, eBay, Ola, LinkedIn &amp; more</t>
        </is>
      </c>
      <c r="D794" s="2" t="inlineStr">
        <is>
          <t>Bit Manipulation - Bit Manipulation</t>
        </is>
      </c>
      <c r="E794" s="2" t="n">
        <v>144</v>
      </c>
      <c r="F794" s="2" t="inlineStr">
        <is>
          <t>Bit Manipulation - Count set bits</t>
        </is>
      </c>
      <c r="G794" s="2" t="inlineStr">
        <is>
          <t>PREP44</t>
        </is>
      </c>
      <c r="H794" s="2" t="inlineStr"/>
      <c r="I794" s="2" t="inlineStr">
        <is>
          <t>Easy</t>
        </is>
      </c>
      <c r="J794" s="3">
        <f>HYPERLINK("https://www.codechef.com/problems/PREP44", "https://www.codechef.com/problems/PREP44")</f>
        <v/>
      </c>
      <c r="K794" s="2" t="inlineStr"/>
      <c r="L794" s="2" t="inlineStr"/>
      <c r="M794" s="2" t="inlineStr"/>
      <c r="N794" s="2" t="inlineStr">
        <is>
          <t>No</t>
        </is>
      </c>
      <c r="O794" s="2" t="inlineStr">
        <is>
          <t>Unattempted</t>
        </is>
      </c>
    </row>
    <row r="795">
      <c r="A795" s="4" t="inlineStr">
        <is>
          <t>Interview Questions</t>
        </is>
      </c>
      <c r="B795" s="4" t="inlineStr">
        <is>
          <t>Data Structures Interview Questions</t>
        </is>
      </c>
      <c r="C795" s="4" t="inlineStr">
        <is>
          <t>Prepare yourselves for technical interview with a carefully curated set of problems that appeared in companies like Google, Facebook, Amazon, Microsoft, Adobe, Flipkart, OLX Group, Walmart Labs, eBay, Ola, LinkedIn &amp; more</t>
        </is>
      </c>
      <c r="D795" s="4" t="inlineStr">
        <is>
          <t>Bit Manipulation - Bit Manipulation</t>
        </is>
      </c>
      <c r="E795" s="4" t="n">
        <v>145</v>
      </c>
      <c r="F795" s="4" t="inlineStr">
        <is>
          <t>Bit Manipulation - Single Number</t>
        </is>
      </c>
      <c r="G795" s="4" t="inlineStr">
        <is>
          <t>PREP45</t>
        </is>
      </c>
      <c r="H795" s="4" t="inlineStr"/>
      <c r="I795" s="4" t="inlineStr">
        <is>
          <t>Medium</t>
        </is>
      </c>
      <c r="J795" s="5">
        <f>HYPERLINK("https://www.codechef.com/problems/PREP45", "https://www.codechef.com/problems/PREP45")</f>
        <v/>
      </c>
      <c r="K795" s="4" t="inlineStr"/>
      <c r="L795" s="4" t="inlineStr"/>
      <c r="M795" s="4" t="inlineStr"/>
      <c r="N795" s="4" t="inlineStr">
        <is>
          <t>No</t>
        </is>
      </c>
      <c r="O795" s="4" t="inlineStr">
        <is>
          <t>Unattempted</t>
        </is>
      </c>
    </row>
    <row r="796">
      <c r="A796" s="2" t="inlineStr">
        <is>
          <t>Interview Questions</t>
        </is>
      </c>
      <c r="B796" s="2" t="inlineStr">
        <is>
          <t>Data Structures Interview Questions</t>
        </is>
      </c>
      <c r="C796" s="2" t="inlineStr">
        <is>
          <t>Prepare yourselves for technical interview with a carefully curated set of problems that appeared in companies like Google, Facebook, Amazon, Microsoft, Adobe, Flipkart, OLX Group, Walmart Labs, eBay, Ola, LinkedIn &amp; more</t>
        </is>
      </c>
      <c r="D796" s="2" t="inlineStr">
        <is>
          <t>Bit Manipulation - Bit Manipulation</t>
        </is>
      </c>
      <c r="E796" s="2" t="n">
        <v>146</v>
      </c>
      <c r="F796" s="2" t="inlineStr">
        <is>
          <t>Bit Manipulation - Sum of Bits</t>
        </is>
      </c>
      <c r="G796" s="2" t="inlineStr">
        <is>
          <t>PREP16</t>
        </is>
      </c>
      <c r="H796" s="2" t="inlineStr">
        <is>
          <t>1500</t>
        </is>
      </c>
      <c r="I796" s="2" t="inlineStr">
        <is>
          <t>Medium</t>
        </is>
      </c>
      <c r="J796" s="3">
        <f>HYPERLINK("https://www.codechef.com/problems/PREP16", "https://www.codechef.com/problems/PREP16")</f>
        <v/>
      </c>
      <c r="K796" s="2" t="inlineStr"/>
      <c r="L796" s="2" t="inlineStr"/>
      <c r="M796" s="2" t="inlineStr"/>
      <c r="N796" s="2" t="inlineStr">
        <is>
          <t>No</t>
        </is>
      </c>
      <c r="O796" s="2" t="inlineStr">
        <is>
          <t>Unattempted</t>
        </is>
      </c>
    </row>
    <row r="797">
      <c r="A797" s="4" t="inlineStr">
        <is>
          <t>Interview Questions</t>
        </is>
      </c>
      <c r="B797" s="4" t="inlineStr">
        <is>
          <t>Data Structures Interview Questions</t>
        </is>
      </c>
      <c r="C797" s="4" t="inlineStr">
        <is>
          <t>Prepare yourselves for technical interview with a carefully curated set of problems that appeared in companies like Google, Facebook, Amazon, Microsoft, Adobe, Flipkart, OLX Group, Walmart Labs, eBay, Ola, LinkedIn &amp; more</t>
        </is>
      </c>
      <c r="D797" s="4" t="inlineStr">
        <is>
          <t>Bit Manipulation - Bit Manipulation</t>
        </is>
      </c>
      <c r="E797" s="4" t="n">
        <v>147</v>
      </c>
      <c r="F797" s="4" t="inlineStr">
        <is>
          <t>Bit Manipulation - Reverse Bits</t>
        </is>
      </c>
      <c r="G797" s="4" t="inlineStr">
        <is>
          <t>PREP46</t>
        </is>
      </c>
      <c r="H797" s="4" t="inlineStr"/>
      <c r="I797" s="4" t="inlineStr">
        <is>
          <t>Medium</t>
        </is>
      </c>
      <c r="J797" s="5">
        <f>HYPERLINK("https://www.codechef.com/problems/PREP46", "https://www.codechef.com/problems/PREP46")</f>
        <v/>
      </c>
      <c r="K797" s="4" t="inlineStr"/>
      <c r="L797" s="4" t="inlineStr"/>
      <c r="M797" s="4" t="inlineStr"/>
      <c r="N797" s="4" t="inlineStr">
        <is>
          <t>No</t>
        </is>
      </c>
      <c r="O797" s="4" t="inlineStr">
        <is>
          <t>Unattempted</t>
        </is>
      </c>
    </row>
    <row r="798">
      <c r="A798" s="2" t="inlineStr">
        <is>
          <t>Interview Questions</t>
        </is>
      </c>
      <c r="B798" s="2" t="inlineStr">
        <is>
          <t>Data Structures Interview Questions</t>
        </is>
      </c>
      <c r="C798" s="2" t="inlineStr">
        <is>
          <t>Prepare yourselves for technical interview with a carefully curated set of problems that appeared in companies like Google, Facebook, Amazon, Microsoft, Adobe, Flipkart, OLX Group, Walmart Labs, eBay, Ola, LinkedIn &amp; more</t>
        </is>
      </c>
      <c r="D798" s="2" t="inlineStr">
        <is>
          <t>Bit Manipulation - Bit Manipulation</t>
        </is>
      </c>
      <c r="E798" s="2" t="n">
        <v>148</v>
      </c>
      <c r="F798" s="2" t="inlineStr">
        <is>
          <t>Bit Manipulation - Divide Integers</t>
        </is>
      </c>
      <c r="G798" s="2" t="inlineStr">
        <is>
          <t>PREP47</t>
        </is>
      </c>
      <c r="H798" s="2" t="inlineStr"/>
      <c r="I798" s="2" t="inlineStr">
        <is>
          <t>Medium</t>
        </is>
      </c>
      <c r="J798" s="3">
        <f>HYPERLINK("https://www.codechef.com/problems/PREP47", "https://www.codechef.com/problems/PREP47")</f>
        <v/>
      </c>
      <c r="K798" s="2" t="inlineStr"/>
      <c r="L798" s="2" t="inlineStr"/>
      <c r="M798" s="2" t="inlineStr"/>
      <c r="N798" s="2" t="inlineStr">
        <is>
          <t>No</t>
        </is>
      </c>
      <c r="O798" s="2" t="inlineStr">
        <is>
          <t>Unattempted</t>
        </is>
      </c>
    </row>
    <row r="799">
      <c r="A799" s="4" t="inlineStr">
        <is>
          <t>Interview Questions</t>
        </is>
      </c>
      <c r="B799" s="4" t="inlineStr">
        <is>
          <t>Data Structures Interview Questions</t>
        </is>
      </c>
      <c r="C799" s="4" t="inlineStr">
        <is>
          <t>Prepare yourselves for technical interview with a carefully curated set of problems that appeared in companies like Google, Facebook, Amazon, Microsoft, Adobe, Flipkart, OLX Group, Walmart Labs, eBay, Ola, LinkedIn &amp; more</t>
        </is>
      </c>
      <c r="D799" s="4" t="inlineStr">
        <is>
          <t>Backtracking - Backtracking</t>
        </is>
      </c>
      <c r="E799" s="4" t="n">
        <v>149</v>
      </c>
      <c r="F799" s="4" t="inlineStr">
        <is>
          <t>Backtracking - Find Unique Permutations</t>
        </is>
      </c>
      <c r="G799" s="4" t="inlineStr">
        <is>
          <t>PREP24</t>
        </is>
      </c>
      <c r="H799" s="4" t="inlineStr"/>
      <c r="I799" s="4" t="inlineStr">
        <is>
          <t>Hard</t>
        </is>
      </c>
      <c r="J799" s="5">
        <f>HYPERLINK("https://www.codechef.com/problems/PREP24", "https://www.codechef.com/problems/PREP24")</f>
        <v/>
      </c>
      <c r="K799" s="4" t="inlineStr"/>
      <c r="L799" s="4" t="inlineStr"/>
      <c r="M799" s="4" t="inlineStr"/>
      <c r="N799" s="4" t="inlineStr">
        <is>
          <t>No</t>
        </is>
      </c>
      <c r="O799" s="4" t="inlineStr">
        <is>
          <t>Unattempted</t>
        </is>
      </c>
    </row>
    <row r="800">
      <c r="A800" s="2" t="inlineStr">
        <is>
          <t>Interview Questions</t>
        </is>
      </c>
      <c r="B800" s="2" t="inlineStr">
        <is>
          <t>Data Structures Interview Questions</t>
        </is>
      </c>
      <c r="C800" s="2" t="inlineStr">
        <is>
          <t>Prepare yourselves for technical interview with a carefully curated set of problems that appeared in companies like Google, Facebook, Amazon, Microsoft, Adobe, Flipkart, OLX Group, Walmart Labs, eBay, Ola, LinkedIn &amp; more</t>
        </is>
      </c>
      <c r="D800" s="2" t="inlineStr">
        <is>
          <t>Backtracking - Backtracking</t>
        </is>
      </c>
      <c r="E800" s="2" t="n">
        <v>150</v>
      </c>
      <c r="F800" s="2" t="inlineStr">
        <is>
          <t>Backtracking - Subsets</t>
        </is>
      </c>
      <c r="G800" s="2" t="inlineStr">
        <is>
          <t>PREP42</t>
        </is>
      </c>
      <c r="H800" s="2" t="inlineStr"/>
      <c r="I800" s="2" t="inlineStr">
        <is>
          <t>Medium</t>
        </is>
      </c>
      <c r="J800" s="3">
        <f>HYPERLINK("https://www.codechef.com/problems/PREP42", "https://www.codechef.com/problems/PREP42")</f>
        <v/>
      </c>
      <c r="K800" s="2" t="inlineStr"/>
      <c r="L800" s="2" t="inlineStr"/>
      <c r="M800" s="2" t="inlineStr"/>
      <c r="N800" s="2" t="inlineStr">
        <is>
          <t>No</t>
        </is>
      </c>
      <c r="O800" s="2" t="inlineStr">
        <is>
          <t>Unattempted</t>
        </is>
      </c>
    </row>
    <row r="801">
      <c r="A801" s="4" t="inlineStr">
        <is>
          <t>Interview Questions</t>
        </is>
      </c>
      <c r="B801" s="4" t="inlineStr">
        <is>
          <t>Data Structures Interview Questions</t>
        </is>
      </c>
      <c r="C801" s="4" t="inlineStr">
        <is>
          <t>Prepare yourselves for technical interview with a carefully curated set of problems that appeared in companies like Google, Facebook, Amazon, Microsoft, Adobe, Flipkart, OLX Group, Walmart Labs, eBay, Ola, LinkedIn &amp; more</t>
        </is>
      </c>
      <c r="D801" s="4" t="inlineStr">
        <is>
          <t>Backtracking - Backtracking</t>
        </is>
      </c>
      <c r="E801" s="4" t="n">
        <v>151</v>
      </c>
      <c r="F801" s="4" t="inlineStr">
        <is>
          <t>Backtracking - Find Valid Parenthesis</t>
        </is>
      </c>
      <c r="G801" s="4" t="inlineStr">
        <is>
          <t>PREP41</t>
        </is>
      </c>
      <c r="H801" s="4" t="inlineStr"/>
      <c r="I801" s="4" t="inlineStr">
        <is>
          <t>Hard</t>
        </is>
      </c>
      <c r="J801" s="5">
        <f>HYPERLINK("https://www.codechef.com/problems/PREP41", "https://www.codechef.com/problems/PREP41")</f>
        <v/>
      </c>
      <c r="K801" s="4" t="inlineStr"/>
      <c r="L801" s="4" t="inlineStr"/>
      <c r="M801" s="4" t="inlineStr"/>
      <c r="N801" s="4" t="inlineStr">
        <is>
          <t>No</t>
        </is>
      </c>
      <c r="O801" s="4" t="inlineStr">
        <is>
          <t>Unattempted</t>
        </is>
      </c>
    </row>
    <row r="802">
      <c r="A802" s="2" t="inlineStr">
        <is>
          <t>Interview Questions</t>
        </is>
      </c>
      <c r="B802" s="2" t="inlineStr">
        <is>
          <t>Data Structures Interview Questions</t>
        </is>
      </c>
      <c r="C802" s="2" t="inlineStr">
        <is>
          <t>Prepare yourselves for technical interview with a carefully curated set of problems that appeared in companies like Google, Facebook, Amazon, Microsoft, Adobe, Flipkart, OLX Group, Walmart Labs, eBay, Ola, LinkedIn &amp; more</t>
        </is>
      </c>
      <c r="D802" s="2" t="inlineStr">
        <is>
          <t>Backtracking - Backtracking</t>
        </is>
      </c>
      <c r="E802" s="2" t="n">
        <v>152</v>
      </c>
      <c r="F802" s="2" t="inlineStr">
        <is>
          <t>Backtracking - Unique Combinations Sum</t>
        </is>
      </c>
      <c r="G802" s="2" t="inlineStr">
        <is>
          <t>PREP40</t>
        </is>
      </c>
      <c r="H802" s="2" t="inlineStr"/>
      <c r="I802" s="2" t="inlineStr">
        <is>
          <t>Medium</t>
        </is>
      </c>
      <c r="J802" s="3">
        <f>HYPERLINK("https://www.codechef.com/problems/PREP40", "https://www.codechef.com/problems/PREP40")</f>
        <v/>
      </c>
      <c r="K802" s="2" t="inlineStr"/>
      <c r="L802" s="2" t="inlineStr"/>
      <c r="M802" s="2" t="inlineStr"/>
      <c r="N802" s="2" t="inlineStr">
        <is>
          <t>No</t>
        </is>
      </c>
      <c r="O802" s="2" t="inlineStr">
        <is>
          <t>Unattempted</t>
        </is>
      </c>
    </row>
    <row r="803">
      <c r="A803" s="4" t="inlineStr">
        <is>
          <t>Interview Questions</t>
        </is>
      </c>
      <c r="B803" s="4" t="inlineStr">
        <is>
          <t>Data Structures Interview Questions</t>
        </is>
      </c>
      <c r="C803" s="4" t="inlineStr">
        <is>
          <t>Prepare yourselves for technical interview with a carefully curated set of problems that appeared in companies like Google, Facebook, Amazon, Microsoft, Adobe, Flipkart, OLX Group, Walmart Labs, eBay, Ola, LinkedIn &amp; more</t>
        </is>
      </c>
      <c r="D803" s="4" t="inlineStr">
        <is>
          <t>Backtracking - Backtracking</t>
        </is>
      </c>
      <c r="E803" s="4" t="n">
        <v>153</v>
      </c>
      <c r="F803" s="4" t="inlineStr">
        <is>
          <t>Backtracking - Palindrome Partitioning</t>
        </is>
      </c>
      <c r="G803" s="4" t="inlineStr">
        <is>
          <t>PREP43</t>
        </is>
      </c>
      <c r="H803" s="4" t="inlineStr"/>
      <c r="I803" s="4" t="inlineStr">
        <is>
          <t>Medium</t>
        </is>
      </c>
      <c r="J803" s="5">
        <f>HYPERLINK("https://www.codechef.com/problems/PREP43", "https://www.codechef.com/problems/PREP43")</f>
        <v/>
      </c>
      <c r="K803" s="4" t="inlineStr"/>
      <c r="L803" s="4" t="inlineStr"/>
      <c r="M803" s="4" t="inlineStr"/>
      <c r="N803" s="4" t="inlineStr">
        <is>
          <t>No</t>
        </is>
      </c>
      <c r="O803" s="4" t="inlineStr">
        <is>
          <t>Unattempted</t>
        </is>
      </c>
    </row>
    <row r="804">
      <c r="A804" s="2" t="inlineStr">
        <is>
          <t>Interview Questions</t>
        </is>
      </c>
      <c r="B804" s="2" t="inlineStr">
        <is>
          <t>Top DBMS Interview Questions</t>
        </is>
      </c>
      <c r="C804" s="2" t="inlineStr">
        <is>
          <t>Prepare for DBMS interviews with more than 92 interview questions. This path covers key topics such as data modelling, relational database design, SQL, transaction management, and emerging database technologies.</t>
        </is>
      </c>
      <c r="D804" s="2" t="inlineStr">
        <is>
          <t>Module 1: Introduction to Databases - Databases and their relevance</t>
        </is>
      </c>
      <c r="E804" s="2" t="n">
        <v>1</v>
      </c>
      <c r="F804" s="2" t="inlineStr">
        <is>
          <t>Introduction to Database</t>
        </is>
      </c>
      <c r="G804" s="2" t="inlineStr">
        <is>
          <t>PPREPCS01</t>
        </is>
      </c>
      <c r="H804" s="2" t="inlineStr"/>
      <c r="I804" s="2" t="inlineStr">
        <is>
          <t>Easy</t>
        </is>
      </c>
      <c r="J804" s="3">
        <f>HYPERLINK("https://www.codechef.com/problems/PPREPCS01", "https://www.codechef.com/problems/PPREPCS01")</f>
        <v/>
      </c>
      <c r="K804" s="2" t="inlineStr"/>
      <c r="L804" s="2" t="inlineStr"/>
      <c r="M804" s="2" t="inlineStr"/>
      <c r="N804" s="2" t="inlineStr">
        <is>
          <t>No</t>
        </is>
      </c>
      <c r="O804" s="2" t="inlineStr">
        <is>
          <t>Unattempted</t>
        </is>
      </c>
    </row>
    <row r="805">
      <c r="A805" s="4" t="inlineStr">
        <is>
          <t>Interview Questions</t>
        </is>
      </c>
      <c r="B805" s="4" t="inlineStr">
        <is>
          <t>Top DBMS Interview Questions</t>
        </is>
      </c>
      <c r="C805" s="4" t="inlineStr">
        <is>
          <t>Prepare for DBMS interviews with more than 92 interview questions. This path covers key topics such as data modelling, relational database design, SQL, transaction management, and emerging database technologies.</t>
        </is>
      </c>
      <c r="D805" s="4" t="inlineStr">
        <is>
          <t>Module 1: Introduction to Databases - Databases and their relevance</t>
        </is>
      </c>
      <c r="E805" s="4" t="n">
        <v>2</v>
      </c>
      <c r="F805" s="4" t="inlineStr">
        <is>
          <t>Example and Use Cases of Database</t>
        </is>
      </c>
      <c r="G805" s="4" t="inlineStr">
        <is>
          <t>PPREPCS02</t>
        </is>
      </c>
      <c r="H805" s="4" t="inlineStr"/>
      <c r="I805" s="4" t="inlineStr">
        <is>
          <t>Easy</t>
        </is>
      </c>
      <c r="J805" s="5">
        <f>HYPERLINK("https://www.codechef.com/problems/PPREPCS02", "https://www.codechef.com/problems/PPREPCS02")</f>
        <v/>
      </c>
      <c r="K805" s="4" t="inlineStr"/>
      <c r="L805" s="4" t="inlineStr"/>
      <c r="M805" s="4" t="inlineStr"/>
      <c r="N805" s="4" t="inlineStr">
        <is>
          <t>No</t>
        </is>
      </c>
      <c r="O805" s="4" t="inlineStr">
        <is>
          <t>Unattempted</t>
        </is>
      </c>
    </row>
    <row r="806">
      <c r="A806" s="2" t="inlineStr">
        <is>
          <t>Interview Questions</t>
        </is>
      </c>
      <c r="B806" s="2" t="inlineStr">
        <is>
          <t>Top DBMS Interview Questions</t>
        </is>
      </c>
      <c r="C806" s="2" t="inlineStr">
        <is>
          <t>Prepare for DBMS interviews with more than 92 interview questions. This path covers key topics such as data modelling, relational database design, SQL, transaction management, and emerging database technologies.</t>
        </is>
      </c>
      <c r="D806" s="2" t="inlineStr">
        <is>
          <t>Module 1: Introduction to Databases - Databases and their relevance</t>
        </is>
      </c>
      <c r="E806" s="2" t="n">
        <v>3</v>
      </c>
      <c r="F806" s="2" t="inlineStr">
        <is>
          <t>Example and Use Cases of Database - 2</t>
        </is>
      </c>
      <c r="G806" s="2" t="inlineStr">
        <is>
          <t>PPREPCS03</t>
        </is>
      </c>
      <c r="H806" s="2" t="inlineStr"/>
      <c r="I806" s="2" t="inlineStr">
        <is>
          <t>Easy</t>
        </is>
      </c>
      <c r="J806" s="3">
        <f>HYPERLINK("https://www.codechef.com/problems/PPREPCS03", "https://www.codechef.com/problems/PPREPCS03")</f>
        <v/>
      </c>
      <c r="K806" s="2" t="inlineStr"/>
      <c r="L806" s="2" t="inlineStr"/>
      <c r="M806" s="2" t="inlineStr"/>
      <c r="N806" s="2" t="inlineStr">
        <is>
          <t>No</t>
        </is>
      </c>
      <c r="O806" s="2" t="inlineStr">
        <is>
          <t>Unattempted</t>
        </is>
      </c>
    </row>
    <row r="807">
      <c r="A807" s="4" t="inlineStr">
        <is>
          <t>Interview Questions</t>
        </is>
      </c>
      <c r="B807" s="4" t="inlineStr">
        <is>
          <t>Top DBMS Interview Questions</t>
        </is>
      </c>
      <c r="C807" s="4" t="inlineStr">
        <is>
          <t>Prepare for DBMS interviews with more than 92 interview questions. This path covers key topics such as data modelling, relational database design, SQL, transaction management, and emerging database technologies.</t>
        </is>
      </c>
      <c r="D807" s="4" t="inlineStr">
        <is>
          <t>Module 1: Introduction to Databases - Databases and their relevance</t>
        </is>
      </c>
      <c r="E807" s="4" t="n">
        <v>4</v>
      </c>
      <c r="F807" s="4" t="inlineStr">
        <is>
          <t>Database Segmentation Identification - Quiz</t>
        </is>
      </c>
      <c r="G807" s="4" t="inlineStr">
        <is>
          <t>PPREPCS03A</t>
        </is>
      </c>
      <c r="H807" s="4" t="inlineStr"/>
      <c r="I807" s="4" t="inlineStr">
        <is>
          <t>Medium</t>
        </is>
      </c>
      <c r="J807" s="5">
        <f>HYPERLINK("https://www.codechef.com/problems/PPREPCS03A", "https://www.codechef.com/problems/PPREPCS03A")</f>
        <v/>
      </c>
      <c r="K807" s="4" t="inlineStr"/>
      <c r="L807" s="4" t="inlineStr"/>
      <c r="M807" s="4" t="inlineStr"/>
      <c r="N807" s="4" t="inlineStr">
        <is>
          <t>No</t>
        </is>
      </c>
      <c r="O807" s="4" t="inlineStr">
        <is>
          <t>Unattempted</t>
        </is>
      </c>
    </row>
    <row r="808">
      <c r="A808" s="2" t="inlineStr">
        <is>
          <t>Interview Questions</t>
        </is>
      </c>
      <c r="B808" s="2" t="inlineStr">
        <is>
          <t>Top DBMS Interview Questions</t>
        </is>
      </c>
      <c r="C808" s="2" t="inlineStr">
        <is>
          <t>Prepare for DBMS interviews with more than 92 interview questions. This path covers key topics such as data modelling, relational database design, SQL, transaction management, and emerging database technologies.</t>
        </is>
      </c>
      <c r="D808" s="2" t="inlineStr">
        <is>
          <t>Module 1: Introduction to Databases - Databases and their relevance</t>
        </is>
      </c>
      <c r="E808" s="2" t="n">
        <v>5</v>
      </c>
      <c r="F808" s="2" t="inlineStr">
        <is>
          <t>Difference between Databases and File Systems</t>
        </is>
      </c>
      <c r="G808" s="2" t="inlineStr">
        <is>
          <t>PPREPCS04</t>
        </is>
      </c>
      <c r="H808" s="2" t="inlineStr"/>
      <c r="I808" s="2" t="inlineStr">
        <is>
          <t>Easy</t>
        </is>
      </c>
      <c r="J808" s="3">
        <f>HYPERLINK("https://www.codechef.com/problems/PPREPCS04", "https://www.codechef.com/problems/PPREPCS04")</f>
        <v/>
      </c>
      <c r="K808" s="2" t="inlineStr"/>
      <c r="L808" s="2" t="inlineStr"/>
      <c r="M808" s="2" t="inlineStr"/>
      <c r="N808" s="2" t="inlineStr">
        <is>
          <t>No</t>
        </is>
      </c>
      <c r="O808" s="2" t="inlineStr">
        <is>
          <t>Unattempted</t>
        </is>
      </c>
    </row>
    <row r="809">
      <c r="A809" s="4" t="inlineStr">
        <is>
          <t>Interview Questions</t>
        </is>
      </c>
      <c r="B809" s="4" t="inlineStr">
        <is>
          <t>Top DBMS Interview Questions</t>
        </is>
      </c>
      <c r="C809" s="4" t="inlineStr">
        <is>
          <t>Prepare for DBMS interviews with more than 92 interview questions. This path covers key topics such as data modelling, relational database design, SQL, transaction management, and emerging database technologies.</t>
        </is>
      </c>
      <c r="D809" s="4" t="inlineStr">
        <is>
          <t>Module 1: Introduction to Databases - Databases and their relevance</t>
        </is>
      </c>
      <c r="E809" s="4" t="n">
        <v>6</v>
      </c>
      <c r="F809" s="4" t="inlineStr">
        <is>
          <t>Ensuring Simultaneous Data Access - Quiz</t>
        </is>
      </c>
      <c r="G809" s="4" t="inlineStr">
        <is>
          <t>PPREPCS05</t>
        </is>
      </c>
      <c r="H809" s="4" t="inlineStr"/>
      <c r="I809" s="4" t="inlineStr">
        <is>
          <t>Medium</t>
        </is>
      </c>
      <c r="J809" s="5">
        <f>HYPERLINK("https://www.codechef.com/problems/PPREPCS05", "https://www.codechef.com/problems/PPREPCS05")</f>
        <v/>
      </c>
      <c r="K809" s="4" t="inlineStr"/>
      <c r="L809" s="4" t="inlineStr"/>
      <c r="M809" s="4" t="inlineStr"/>
      <c r="N809" s="4" t="inlineStr">
        <is>
          <t>No</t>
        </is>
      </c>
      <c r="O809" s="4" t="inlineStr">
        <is>
          <t>Unattempted</t>
        </is>
      </c>
    </row>
    <row r="810">
      <c r="A810" s="2" t="inlineStr">
        <is>
          <t>Interview Questions</t>
        </is>
      </c>
      <c r="B810" s="2" t="inlineStr">
        <is>
          <t>Top DBMS Interview Questions</t>
        </is>
      </c>
      <c r="C810" s="2" t="inlineStr">
        <is>
          <t>Prepare for DBMS interviews with more than 92 interview questions. This path covers key topics such as data modelling, relational database design, SQL, transaction management, and emerging database technologies.</t>
        </is>
      </c>
      <c r="D810" s="2" t="inlineStr">
        <is>
          <t>Module 1: Introduction to Databases - Databases and their relevance</t>
        </is>
      </c>
      <c r="E810" s="2" t="n">
        <v>7</v>
      </c>
      <c r="F810" s="2" t="inlineStr">
        <is>
          <t>Introduction to DBMS</t>
        </is>
      </c>
      <c r="G810" s="2" t="inlineStr">
        <is>
          <t>PPREPCS06</t>
        </is>
      </c>
      <c r="H810" s="2" t="inlineStr"/>
      <c r="I810" s="2" t="inlineStr">
        <is>
          <t>Easy</t>
        </is>
      </c>
      <c r="J810" s="3">
        <f>HYPERLINK("https://www.codechef.com/problems/PPREPCS06", "https://www.codechef.com/problems/PPREPCS06")</f>
        <v/>
      </c>
      <c r="K810" s="2" t="inlineStr"/>
      <c r="L810" s="2" t="inlineStr"/>
      <c r="M810" s="2" t="inlineStr"/>
      <c r="N810" s="2" t="inlineStr">
        <is>
          <t>No</t>
        </is>
      </c>
      <c r="O810" s="2" t="inlineStr">
        <is>
          <t>Unattempted</t>
        </is>
      </c>
    </row>
    <row r="811">
      <c r="A811" s="4" t="inlineStr">
        <is>
          <t>Interview Questions</t>
        </is>
      </c>
      <c r="B811" s="4" t="inlineStr">
        <is>
          <t>Top DBMS Interview Questions</t>
        </is>
      </c>
      <c r="C811" s="4" t="inlineStr">
        <is>
          <t>Prepare for DBMS interviews with more than 92 interview questions. This path covers key topics such as data modelling, relational database design, SQL, transaction management, and emerging database technologies.</t>
        </is>
      </c>
      <c r="D811" s="4" t="inlineStr">
        <is>
          <t>Module 1: Introduction to Databases - Databases and their relevance</t>
        </is>
      </c>
      <c r="E811" s="4" t="n">
        <v>8</v>
      </c>
      <c r="F811" s="4" t="inlineStr">
        <is>
          <t>DBMS Architecture</t>
        </is>
      </c>
      <c r="G811" s="4" t="inlineStr">
        <is>
          <t>PPREPCS07</t>
        </is>
      </c>
      <c r="H811" s="4" t="inlineStr"/>
      <c r="I811" s="4" t="inlineStr">
        <is>
          <t>Easy</t>
        </is>
      </c>
      <c r="J811" s="5">
        <f>HYPERLINK("https://www.codechef.com/problems/PPREPCS07", "https://www.codechef.com/problems/PPREPCS07")</f>
        <v/>
      </c>
      <c r="K811" s="4" t="inlineStr"/>
      <c r="L811" s="4" t="inlineStr"/>
      <c r="M811" s="4" t="inlineStr"/>
      <c r="N811" s="4" t="inlineStr">
        <is>
          <t>No</t>
        </is>
      </c>
      <c r="O811" s="4" t="inlineStr">
        <is>
          <t>Unattempted</t>
        </is>
      </c>
    </row>
    <row r="812">
      <c r="A812" s="2" t="inlineStr">
        <is>
          <t>Interview Questions</t>
        </is>
      </c>
      <c r="B812" s="2" t="inlineStr">
        <is>
          <t>Top DBMS Interview Questions</t>
        </is>
      </c>
      <c r="C812" s="2" t="inlineStr">
        <is>
          <t>Prepare for DBMS interviews with more than 92 interview questions. This path covers key topics such as data modelling, relational database design, SQL, transaction management, and emerging database technologies.</t>
        </is>
      </c>
      <c r="D812" s="2" t="inlineStr">
        <is>
          <t>Module 1: Introduction to Databases - Databases and their relevance</t>
        </is>
      </c>
      <c r="E812" s="2" t="n">
        <v>9</v>
      </c>
      <c r="F812" s="2" t="inlineStr">
        <is>
          <t>DBMS Architecture Role - Quiz</t>
        </is>
      </c>
      <c r="G812" s="2" t="inlineStr">
        <is>
          <t>PPREPCS08</t>
        </is>
      </c>
      <c r="H812" s="2" t="inlineStr"/>
      <c r="I812" s="2" t="inlineStr">
        <is>
          <t>Easy</t>
        </is>
      </c>
      <c r="J812" s="3">
        <f>HYPERLINK("https://www.codechef.com/problems/PPREPCS08", "https://www.codechef.com/problems/PPREPCS08")</f>
        <v/>
      </c>
      <c r="K812" s="2" t="inlineStr"/>
      <c r="L812" s="2" t="inlineStr"/>
      <c r="M812" s="2" t="inlineStr"/>
      <c r="N812" s="2" t="inlineStr">
        <is>
          <t>No</t>
        </is>
      </c>
      <c r="O812" s="2" t="inlineStr">
        <is>
          <t>Unattempted</t>
        </is>
      </c>
    </row>
    <row r="813">
      <c r="A813" s="4" t="inlineStr">
        <is>
          <t>Interview Questions</t>
        </is>
      </c>
      <c r="B813" s="4" t="inlineStr">
        <is>
          <t>Top DBMS Interview Questions</t>
        </is>
      </c>
      <c r="C813" s="4" t="inlineStr">
        <is>
          <t>Prepare for DBMS interviews with more than 92 interview questions. This path covers key topics such as data modelling, relational database design, SQL, transaction management, and emerging database technologies.</t>
        </is>
      </c>
      <c r="D813" s="4" t="inlineStr">
        <is>
          <t>Module 1: Introduction to Databases - Databases and their relevance</t>
        </is>
      </c>
      <c r="E813" s="4" t="n">
        <v>10</v>
      </c>
      <c r="F813" s="4" t="inlineStr">
        <is>
          <t>Data Independence</t>
        </is>
      </c>
      <c r="G813" s="4" t="inlineStr">
        <is>
          <t>PPREPCS09</t>
        </is>
      </c>
      <c r="H813" s="4" t="inlineStr"/>
      <c r="I813" s="4" t="inlineStr">
        <is>
          <t>Easy</t>
        </is>
      </c>
      <c r="J813" s="5">
        <f>HYPERLINK("https://www.codechef.com/problems/PPREPCS09", "https://www.codechef.com/problems/PPREPCS09")</f>
        <v/>
      </c>
      <c r="K813" s="4" t="inlineStr"/>
      <c r="L813" s="4" t="inlineStr"/>
      <c r="M813" s="4" t="inlineStr"/>
      <c r="N813" s="4" t="inlineStr">
        <is>
          <t>No</t>
        </is>
      </c>
      <c r="O813" s="4" t="inlineStr">
        <is>
          <t>Unattempted</t>
        </is>
      </c>
    </row>
    <row r="814">
      <c r="A814" s="2" t="inlineStr">
        <is>
          <t>Interview Questions</t>
        </is>
      </c>
      <c r="B814" s="2" t="inlineStr">
        <is>
          <t>Top DBMS Interview Questions</t>
        </is>
      </c>
      <c r="C814" s="2" t="inlineStr">
        <is>
          <t>Prepare for DBMS interviews with more than 92 interview questions. This path covers key topics such as data modelling, relational database design, SQL, transaction management, and emerging database technologies.</t>
        </is>
      </c>
      <c r="D814" s="2" t="inlineStr">
        <is>
          <t>Module 1: Introduction to Databases - Databases and their relevance</t>
        </is>
      </c>
      <c r="E814" s="2" t="n">
        <v>11</v>
      </c>
      <c r="F814" s="2" t="inlineStr">
        <is>
          <t>Data Abstraction</t>
        </is>
      </c>
      <c r="G814" s="2" t="inlineStr">
        <is>
          <t>PPREPCS10</t>
        </is>
      </c>
      <c r="H814" s="2" t="inlineStr"/>
      <c r="I814" s="2" t="inlineStr">
        <is>
          <t>Easy</t>
        </is>
      </c>
      <c r="J814" s="3">
        <f>HYPERLINK("https://www.codechef.com/problems/PPREPCS10", "https://www.codechef.com/problems/PPREPCS10")</f>
        <v/>
      </c>
      <c r="K814" s="2" t="inlineStr"/>
      <c r="L814" s="2" t="inlineStr"/>
      <c r="M814" s="2" t="inlineStr"/>
      <c r="N814" s="2" t="inlineStr">
        <is>
          <t>No</t>
        </is>
      </c>
      <c r="O814" s="2" t="inlineStr">
        <is>
          <t>Unattempted</t>
        </is>
      </c>
    </row>
    <row r="815">
      <c r="A815" s="4" t="inlineStr">
        <is>
          <t>Interview Questions</t>
        </is>
      </c>
      <c r="B815" s="4" t="inlineStr">
        <is>
          <t>Top DBMS Interview Questions</t>
        </is>
      </c>
      <c r="C815" s="4" t="inlineStr">
        <is>
          <t>Prepare for DBMS interviews with more than 92 interview questions. This path covers key topics such as data modelling, relational database design, SQL, transaction management, and emerging database technologies.</t>
        </is>
      </c>
      <c r="D815" s="4" t="inlineStr">
        <is>
          <t>Module 1: Introduction to Databases - Databases and their relevance</t>
        </is>
      </c>
      <c r="E815" s="4" t="n">
        <v>12</v>
      </c>
      <c r="F815" s="4" t="inlineStr">
        <is>
          <t>Disadvantages of using DBMS</t>
        </is>
      </c>
      <c r="G815" s="4" t="inlineStr">
        <is>
          <t>PPREPCS11</t>
        </is>
      </c>
      <c r="H815" s="4" t="inlineStr"/>
      <c r="I815" s="4" t="inlineStr">
        <is>
          <t>Easy</t>
        </is>
      </c>
      <c r="J815" s="5">
        <f>HYPERLINK("https://www.codechef.com/problems/PPREPCS11", "https://www.codechef.com/problems/PPREPCS11")</f>
        <v/>
      </c>
      <c r="K815" s="4" t="inlineStr"/>
      <c r="L815" s="4" t="inlineStr"/>
      <c r="M815" s="4" t="inlineStr"/>
      <c r="N815" s="4" t="inlineStr">
        <is>
          <t>No</t>
        </is>
      </c>
      <c r="O815" s="4" t="inlineStr">
        <is>
          <t>Unattempted</t>
        </is>
      </c>
    </row>
    <row r="816">
      <c r="A816" s="2" t="inlineStr">
        <is>
          <t>Interview Questions</t>
        </is>
      </c>
      <c r="B816" s="2" t="inlineStr">
        <is>
          <t>Top DBMS Interview Questions</t>
        </is>
      </c>
      <c r="C816" s="2" t="inlineStr">
        <is>
          <t>Prepare for DBMS interviews with more than 92 interview questions. This path covers key topics such as data modelling, relational database design, SQL, transaction management, and emerging database technologies.</t>
        </is>
      </c>
      <c r="D816" s="2" t="inlineStr">
        <is>
          <t>Module 1: Introduction to Databases - Databases and their relevance</t>
        </is>
      </c>
      <c r="E816" s="2" t="n">
        <v>13</v>
      </c>
      <c r="F816" s="2" t="inlineStr">
        <is>
          <t>DBMS Architecture Security Levels - MCQ</t>
        </is>
      </c>
      <c r="G816" s="2" t="inlineStr">
        <is>
          <t>PPREPCS12</t>
        </is>
      </c>
      <c r="H816" s="2" t="inlineStr"/>
      <c r="I816" s="2" t="inlineStr">
        <is>
          <t>Easy</t>
        </is>
      </c>
      <c r="J816" s="3">
        <f>HYPERLINK("https://www.codechef.com/problems/PPREPCS12", "https://www.codechef.com/problems/PPREPCS12")</f>
        <v/>
      </c>
      <c r="K816" s="2" t="inlineStr"/>
      <c r="L816" s="2" t="inlineStr"/>
      <c r="M816" s="2" t="inlineStr"/>
      <c r="N816" s="2" t="inlineStr">
        <is>
          <t>No</t>
        </is>
      </c>
      <c r="O816" s="2" t="inlineStr">
        <is>
          <t>Unattempted</t>
        </is>
      </c>
    </row>
    <row r="817">
      <c r="A817" s="4" t="inlineStr">
        <is>
          <t>Interview Questions</t>
        </is>
      </c>
      <c r="B817" s="4" t="inlineStr">
        <is>
          <t>Top DBMS Interview Questions</t>
        </is>
      </c>
      <c r="C817" s="4" t="inlineStr">
        <is>
          <t>Prepare for DBMS interviews with more than 92 interview questions. This path covers key topics such as data modelling, relational database design, SQL, transaction management, and emerging database technologies.</t>
        </is>
      </c>
      <c r="D817" s="4" t="inlineStr">
        <is>
          <t>Module 1: Introduction to Databases - Quiz: Basics of databases and their components</t>
        </is>
      </c>
      <c r="E817" s="4" t="n">
        <v>14</v>
      </c>
      <c r="F817" s="4" t="inlineStr">
        <is>
          <t>Data Abstraction Levels for Users - MCQ</t>
        </is>
      </c>
      <c r="G817" s="4" t="inlineStr">
        <is>
          <t>PPREPCS12A</t>
        </is>
      </c>
      <c r="H817" s="4" t="inlineStr"/>
      <c r="I817" s="4" t="inlineStr">
        <is>
          <t>Easy</t>
        </is>
      </c>
      <c r="J817" s="5">
        <f>HYPERLINK("https://www.codechef.com/problems/PPREPCS12A", "https://www.codechef.com/problems/PPREPCS12A")</f>
        <v/>
      </c>
      <c r="K817" s="4" t="inlineStr"/>
      <c r="L817" s="4" t="inlineStr"/>
      <c r="M817" s="4" t="inlineStr"/>
      <c r="N817" s="4" t="inlineStr">
        <is>
          <t>No</t>
        </is>
      </c>
      <c r="O817" s="4" t="inlineStr">
        <is>
          <t>Unattempted</t>
        </is>
      </c>
    </row>
    <row r="818">
      <c r="A818" s="2" t="inlineStr">
        <is>
          <t>Interview Questions</t>
        </is>
      </c>
      <c r="B818" s="2" t="inlineStr">
        <is>
          <t>Top DBMS Interview Questions</t>
        </is>
      </c>
      <c r="C818" s="2" t="inlineStr">
        <is>
          <t>Prepare for DBMS interviews with more than 92 interview questions. This path covers key topics such as data modelling, relational database design, SQL, transaction management, and emerging database technologies.</t>
        </is>
      </c>
      <c r="D818" s="2" t="inlineStr">
        <is>
          <t>Module 1: Introduction to Databases - Quiz: Basics of databases and their components</t>
        </is>
      </c>
      <c r="E818" s="2" t="n">
        <v>15</v>
      </c>
      <c r="F818" s="2" t="inlineStr">
        <is>
          <t>DBMS Data Interaction Flow - MCQ</t>
        </is>
      </c>
      <c r="G818" s="2" t="inlineStr">
        <is>
          <t>PPREPCS13</t>
        </is>
      </c>
      <c r="H818" s="2" t="inlineStr"/>
      <c r="I818" s="2" t="inlineStr">
        <is>
          <t>Easy</t>
        </is>
      </c>
      <c r="J818" s="3">
        <f>HYPERLINK("https://www.codechef.com/problems/PPREPCS13", "https://www.codechef.com/problems/PPREPCS13")</f>
        <v/>
      </c>
      <c r="K818" s="2" t="inlineStr"/>
      <c r="L818" s="2" t="inlineStr"/>
      <c r="M818" s="2" t="inlineStr"/>
      <c r="N818" s="2" t="inlineStr">
        <is>
          <t>No</t>
        </is>
      </c>
      <c r="O818" s="2" t="inlineStr">
        <is>
          <t>Unattempted</t>
        </is>
      </c>
    </row>
    <row r="819">
      <c r="A819" s="4" t="inlineStr">
        <is>
          <t>Interview Questions</t>
        </is>
      </c>
      <c r="B819" s="4" t="inlineStr">
        <is>
          <t>Top DBMS Interview Questions</t>
        </is>
      </c>
      <c r="C819" s="4" t="inlineStr">
        <is>
          <t>Prepare for DBMS interviews with more than 92 interview questions. This path covers key topics such as data modelling, relational database design, SQL, transaction management, and emerging database technologies.</t>
        </is>
      </c>
      <c r="D819" s="4" t="inlineStr">
        <is>
          <t>Module 1: Introduction to Databases - Quiz: Basics of databases and their components</t>
        </is>
      </c>
      <c r="E819" s="4" t="n">
        <v>16</v>
      </c>
      <c r="F819" s="4" t="inlineStr">
        <is>
          <t>Database vs File System Usage - MCQ</t>
        </is>
      </c>
      <c r="G819" s="4" t="inlineStr">
        <is>
          <t>PPREPCS14</t>
        </is>
      </c>
      <c r="H819" s="4" t="inlineStr"/>
      <c r="I819" s="4" t="inlineStr">
        <is>
          <t>Easy</t>
        </is>
      </c>
      <c r="J819" s="5">
        <f>HYPERLINK("https://www.codechef.com/problems/PPREPCS14", "https://www.codechef.com/problems/PPREPCS14")</f>
        <v/>
      </c>
      <c r="K819" s="4" t="inlineStr"/>
      <c r="L819" s="4" t="inlineStr"/>
      <c r="M819" s="4" t="inlineStr"/>
      <c r="N819" s="4" t="inlineStr">
        <is>
          <t>No</t>
        </is>
      </c>
      <c r="O819" s="4" t="inlineStr">
        <is>
          <t>Unattempted</t>
        </is>
      </c>
    </row>
    <row r="820">
      <c r="A820" s="2" t="inlineStr">
        <is>
          <t>Interview Questions</t>
        </is>
      </c>
      <c r="B820" s="2" t="inlineStr">
        <is>
          <t>Top DBMS Interview Questions</t>
        </is>
      </c>
      <c r="C820" s="2" t="inlineStr">
        <is>
          <t>Prepare for DBMS interviews with more than 92 interview questions. This path covers key topics such as data modelling, relational database design, SQL, transaction management, and emerging database technologies.</t>
        </is>
      </c>
      <c r="D820" s="2" t="inlineStr">
        <is>
          <t>Module 1: Introduction to Databases - Quiz: Basics of databases and their components</t>
        </is>
      </c>
      <c r="E820" s="2" t="n">
        <v>17</v>
      </c>
      <c r="F820" s="2" t="inlineStr">
        <is>
          <t>Physical Data Independence Purpose - MCQ</t>
        </is>
      </c>
      <c r="G820" s="2" t="inlineStr">
        <is>
          <t>PPREPCS15</t>
        </is>
      </c>
      <c r="H820" s="2" t="inlineStr"/>
      <c r="I820" s="2" t="inlineStr">
        <is>
          <t>Easy</t>
        </is>
      </c>
      <c r="J820" s="3">
        <f>HYPERLINK("https://www.codechef.com/problems/PPREPCS15", "https://www.codechef.com/problems/PPREPCS15")</f>
        <v/>
      </c>
      <c r="K820" s="2" t="inlineStr"/>
      <c r="L820" s="2" t="inlineStr"/>
      <c r="M820" s="2" t="inlineStr"/>
      <c r="N820" s="2" t="inlineStr">
        <is>
          <t>No</t>
        </is>
      </c>
      <c r="O820" s="2" t="inlineStr">
        <is>
          <t>Unattempted</t>
        </is>
      </c>
    </row>
    <row r="821">
      <c r="A821" s="4" t="inlineStr">
        <is>
          <t>Interview Questions</t>
        </is>
      </c>
      <c r="B821" s="4" t="inlineStr">
        <is>
          <t>Top DBMS Interview Questions</t>
        </is>
      </c>
      <c r="C821" s="4" t="inlineStr">
        <is>
          <t>Prepare for DBMS interviews with more than 92 interview questions. This path covers key topics such as data modelling, relational database design, SQL, transaction management, and emerging database technologies.</t>
        </is>
      </c>
      <c r="D821" s="4" t="inlineStr">
        <is>
          <t>Module 1: Introduction to Databases - Quiz: Basics of databases and their components</t>
        </is>
      </c>
      <c r="E821" s="4" t="n">
        <v>18</v>
      </c>
      <c r="F821" s="4" t="inlineStr">
        <is>
          <t>Database Architecture Access Issue - MCQ</t>
        </is>
      </c>
      <c r="G821" s="4" t="inlineStr">
        <is>
          <t>PPREPCS16</t>
        </is>
      </c>
      <c r="H821" s="4" t="inlineStr"/>
      <c r="I821" s="4" t="inlineStr">
        <is>
          <t>Easy</t>
        </is>
      </c>
      <c r="J821" s="5">
        <f>HYPERLINK("https://www.codechef.com/problems/PPREPCS16", "https://www.codechef.com/problems/PPREPCS16")</f>
        <v/>
      </c>
      <c r="K821" s="4" t="inlineStr"/>
      <c r="L821" s="4" t="inlineStr"/>
      <c r="M821" s="4" t="inlineStr"/>
      <c r="N821" s="4" t="inlineStr">
        <is>
          <t>No</t>
        </is>
      </c>
      <c r="O821" s="4" t="inlineStr">
        <is>
          <t>Unattempted</t>
        </is>
      </c>
    </row>
    <row r="822">
      <c r="A822" s="2" t="inlineStr">
        <is>
          <t>Interview Questions</t>
        </is>
      </c>
      <c r="B822" s="2" t="inlineStr">
        <is>
          <t>Top DBMS Interview Questions</t>
        </is>
      </c>
      <c r="C822" s="2" t="inlineStr">
        <is>
          <t>Prepare for DBMS interviews with more than 92 interview questions. This path covers key topics such as data modelling, relational database design, SQL, transaction management, and emerging database technologies.</t>
        </is>
      </c>
      <c r="D822" s="2" t="inlineStr">
        <is>
          <t>Module 1: Introduction to Databases - Quiz: Basics of databases and their components</t>
        </is>
      </c>
      <c r="E822" s="2" t="n">
        <v>19</v>
      </c>
      <c r="F822" s="2" t="inlineStr">
        <is>
          <t>DBMS Architecture Speed Query - MCQ</t>
        </is>
      </c>
      <c r="G822" s="2" t="inlineStr">
        <is>
          <t>PPREPCS17</t>
        </is>
      </c>
      <c r="H822" s="2" t="inlineStr"/>
      <c r="I822" s="2" t="inlineStr">
        <is>
          <t>Medium</t>
        </is>
      </c>
      <c r="J822" s="3">
        <f>HYPERLINK("https://www.codechef.com/problems/PPREPCS17", "https://www.codechef.com/problems/PPREPCS17")</f>
        <v/>
      </c>
      <c r="K822" s="2" t="inlineStr"/>
      <c r="L822" s="2" t="inlineStr"/>
      <c r="M822" s="2" t="inlineStr"/>
      <c r="N822" s="2" t="inlineStr">
        <is>
          <t>No</t>
        </is>
      </c>
      <c r="O822" s="2" t="inlineStr">
        <is>
          <t>Unattempted</t>
        </is>
      </c>
    </row>
    <row r="823">
      <c r="A823" s="4" t="inlineStr">
        <is>
          <t>Interview Questions</t>
        </is>
      </c>
      <c r="B823" s="4" t="inlineStr">
        <is>
          <t>Top DBMS Interview Questions</t>
        </is>
      </c>
      <c r="C823" s="4" t="inlineStr">
        <is>
          <t>Prepare for DBMS interviews with more than 92 interview questions. This path covers key topics such as data modelling, relational database design, SQL, transaction management, and emerging database technologies.</t>
        </is>
      </c>
      <c r="D823" s="4" t="inlineStr">
        <is>
          <t>Module 1: Introduction to Databases - Quiz: Basics of databases and their components</t>
        </is>
      </c>
      <c r="E823" s="4" t="n">
        <v>20</v>
      </c>
      <c r="F823" s="4" t="inlineStr">
        <is>
          <t>Upgrading Hard Drive Strategy - MCQ</t>
        </is>
      </c>
      <c r="G823" s="4" t="inlineStr">
        <is>
          <t>PPREPCS18</t>
        </is>
      </c>
      <c r="H823" s="4" t="inlineStr"/>
      <c r="I823" s="4" t="inlineStr">
        <is>
          <t>Easy</t>
        </is>
      </c>
      <c r="J823" s="5">
        <f>HYPERLINK("https://www.codechef.com/problems/PPREPCS18", "https://www.codechef.com/problems/PPREPCS18")</f>
        <v/>
      </c>
      <c r="K823" s="4" t="inlineStr"/>
      <c r="L823" s="4" t="inlineStr"/>
      <c r="M823" s="4" t="inlineStr"/>
      <c r="N823" s="4" t="inlineStr">
        <is>
          <t>No</t>
        </is>
      </c>
      <c r="O823" s="4" t="inlineStr">
        <is>
          <t>Unattempted</t>
        </is>
      </c>
    </row>
    <row r="824">
      <c r="A824" s="2" t="inlineStr">
        <is>
          <t>Interview Questions</t>
        </is>
      </c>
      <c r="B824" s="2" t="inlineStr">
        <is>
          <t>Top DBMS Interview Questions</t>
        </is>
      </c>
      <c r="C824" s="2" t="inlineStr">
        <is>
          <t>Prepare for DBMS interviews with more than 92 interview questions. This path covers key topics such as data modelling, relational database design, SQL, transaction management, and emerging database technologies.</t>
        </is>
      </c>
      <c r="D824" s="2" t="inlineStr">
        <is>
          <t>Module 2: Data Modeling and Entity-Relationship (ER) Diagrams - Data modeling and Entity relationship</t>
        </is>
      </c>
      <c r="E824" s="2" t="n">
        <v>21</v>
      </c>
      <c r="F824" s="2" t="inlineStr">
        <is>
          <t>Data Modeling</t>
        </is>
      </c>
      <c r="G824" s="2" t="inlineStr">
        <is>
          <t>PPREPCS19</t>
        </is>
      </c>
      <c r="H824" s="2" t="inlineStr"/>
      <c r="I824" s="2" t="inlineStr">
        <is>
          <t>Medium</t>
        </is>
      </c>
      <c r="J824" s="3">
        <f>HYPERLINK("https://www.codechef.com/problems/PPREPCS19", "https://www.codechef.com/problems/PPREPCS19")</f>
        <v/>
      </c>
      <c r="K824" s="2" t="inlineStr"/>
      <c r="L824" s="2" t="inlineStr"/>
      <c r="M824" s="2" t="inlineStr"/>
      <c r="N824" s="2" t="inlineStr">
        <is>
          <t>No</t>
        </is>
      </c>
      <c r="O824" s="2" t="inlineStr">
        <is>
          <t>Unattempted</t>
        </is>
      </c>
    </row>
    <row r="825">
      <c r="A825" s="4" t="inlineStr">
        <is>
          <t>Interview Questions</t>
        </is>
      </c>
      <c r="B825" s="4" t="inlineStr">
        <is>
          <t>Top DBMS Interview Questions</t>
        </is>
      </c>
      <c r="C825" s="4" t="inlineStr">
        <is>
          <t>Prepare for DBMS interviews with more than 92 interview questions. This path covers key topics such as data modelling, relational database design, SQL, transaction management, and emerging database technologies.</t>
        </is>
      </c>
      <c r="D825" s="4" t="inlineStr">
        <is>
          <t>Module 2: Data Modeling and Entity-Relationship (ER) Diagrams - Data modeling and Entity relationship</t>
        </is>
      </c>
      <c r="E825" s="4" t="n">
        <v>22</v>
      </c>
      <c r="F825" s="4" t="inlineStr">
        <is>
          <t>Types of Data Models</t>
        </is>
      </c>
      <c r="G825" s="4" t="inlineStr">
        <is>
          <t>PPREPCS20</t>
        </is>
      </c>
      <c r="H825" s="4" t="inlineStr"/>
      <c r="I825" s="4" t="inlineStr">
        <is>
          <t>Easy</t>
        </is>
      </c>
      <c r="J825" s="5">
        <f>HYPERLINK("https://www.codechef.com/problems/PPREPCS20", "https://www.codechef.com/problems/PPREPCS20")</f>
        <v/>
      </c>
      <c r="K825" s="4" t="inlineStr"/>
      <c r="L825" s="4" t="inlineStr"/>
      <c r="M825" s="4" t="inlineStr"/>
      <c r="N825" s="4" t="inlineStr">
        <is>
          <t>No</t>
        </is>
      </c>
      <c r="O825" s="4" t="inlineStr">
        <is>
          <t>Unattempted</t>
        </is>
      </c>
    </row>
    <row r="826">
      <c r="A826" s="2" t="inlineStr">
        <is>
          <t>Interview Questions</t>
        </is>
      </c>
      <c r="B826" s="2" t="inlineStr">
        <is>
          <t>Top DBMS Interview Questions</t>
        </is>
      </c>
      <c r="C826" s="2" t="inlineStr">
        <is>
          <t>Prepare for DBMS interviews with more than 92 interview questions. This path covers key topics such as data modelling, relational database design, SQL, transaction management, and emerging database technologies.</t>
        </is>
      </c>
      <c r="D826" s="2" t="inlineStr">
        <is>
          <t>Module 2: Data Modeling and Entity-Relationship (ER) Diagrams - Data modeling and Entity relationship</t>
        </is>
      </c>
      <c r="E826" s="2" t="n">
        <v>23</v>
      </c>
      <c r="F826" s="2" t="inlineStr">
        <is>
          <t>Entity Relationship (ER) Model</t>
        </is>
      </c>
      <c r="G826" s="2" t="inlineStr">
        <is>
          <t>PPREPCS21</t>
        </is>
      </c>
      <c r="H826" s="2" t="inlineStr"/>
      <c r="I826" s="2" t="inlineStr">
        <is>
          <t>Easy</t>
        </is>
      </c>
      <c r="J826" s="3">
        <f>HYPERLINK("https://www.codechef.com/problems/PPREPCS21", "https://www.codechef.com/problems/PPREPCS21")</f>
        <v/>
      </c>
      <c r="K826" s="2" t="inlineStr"/>
      <c r="L826" s="2" t="inlineStr"/>
      <c r="M826" s="2" t="inlineStr"/>
      <c r="N826" s="2" t="inlineStr">
        <is>
          <t>No</t>
        </is>
      </c>
      <c r="O826" s="2" t="inlineStr">
        <is>
          <t>Unattempted</t>
        </is>
      </c>
    </row>
    <row r="827">
      <c r="A827" s="4" t="inlineStr">
        <is>
          <t>Interview Questions</t>
        </is>
      </c>
      <c r="B827" s="4" t="inlineStr">
        <is>
          <t>Top DBMS Interview Questions</t>
        </is>
      </c>
      <c r="C827" s="4" t="inlineStr">
        <is>
          <t>Prepare for DBMS interviews with more than 92 interview questions. This path covers key topics such as data modelling, relational database design, SQL, transaction management, and emerging database technologies.</t>
        </is>
      </c>
      <c r="D827" s="4" t="inlineStr">
        <is>
          <t>Module 2: Data Modeling and Entity-Relationship (ER) Diagrams - Data modeling and Entity relationship</t>
        </is>
      </c>
      <c r="E827" s="4" t="n">
        <v>24</v>
      </c>
      <c r="F827" s="4" t="inlineStr">
        <is>
          <t>Entities and Attributes</t>
        </is>
      </c>
      <c r="G827" s="4" t="inlineStr">
        <is>
          <t>PPREPCS22</t>
        </is>
      </c>
      <c r="H827" s="4" t="inlineStr"/>
      <c r="I827" s="4" t="inlineStr">
        <is>
          <t>Easy</t>
        </is>
      </c>
      <c r="J827" s="5">
        <f>HYPERLINK("https://www.codechef.com/problems/PPREPCS22", "https://www.codechef.com/problems/PPREPCS22")</f>
        <v/>
      </c>
      <c r="K827" s="4" t="inlineStr"/>
      <c r="L827" s="4" t="inlineStr"/>
      <c r="M827" s="4" t="inlineStr"/>
      <c r="N827" s="4" t="inlineStr">
        <is>
          <t>No</t>
        </is>
      </c>
      <c r="O827" s="4" t="inlineStr">
        <is>
          <t>Unattempted</t>
        </is>
      </c>
    </row>
    <row r="828">
      <c r="A828" s="2" t="inlineStr">
        <is>
          <t>Interview Questions</t>
        </is>
      </c>
      <c r="B828" s="2" t="inlineStr">
        <is>
          <t>Top DBMS Interview Questions</t>
        </is>
      </c>
      <c r="C828" s="2" t="inlineStr">
        <is>
          <t>Prepare for DBMS interviews with more than 92 interview questions. This path covers key topics such as data modelling, relational database design, SQL, transaction management, and emerging database technologies.</t>
        </is>
      </c>
      <c r="D828" s="2" t="inlineStr">
        <is>
          <t>Module 2: Data Modeling and Entity-Relationship (ER) Diagrams - Data modeling and Entity relationship</t>
        </is>
      </c>
      <c r="E828" s="2" t="n">
        <v>25</v>
      </c>
      <c r="F828" s="2" t="inlineStr">
        <is>
          <t>Relationships</t>
        </is>
      </c>
      <c r="G828" s="2" t="inlineStr">
        <is>
          <t>PPREPCS23</t>
        </is>
      </c>
      <c r="H828" s="2" t="inlineStr"/>
      <c r="I828" s="2" t="inlineStr">
        <is>
          <t>Easy</t>
        </is>
      </c>
      <c r="J828" s="3">
        <f>HYPERLINK("https://www.codechef.com/problems/PPREPCS23", "https://www.codechef.com/problems/PPREPCS23")</f>
        <v/>
      </c>
      <c r="K828" s="2" t="inlineStr"/>
      <c r="L828" s="2" t="inlineStr"/>
      <c r="M828" s="2" t="inlineStr"/>
      <c r="N828" s="2" t="inlineStr">
        <is>
          <t>No</t>
        </is>
      </c>
      <c r="O828" s="2" t="inlineStr">
        <is>
          <t>Unattempted</t>
        </is>
      </c>
    </row>
    <row r="829">
      <c r="A829" s="4" t="inlineStr">
        <is>
          <t>Interview Questions</t>
        </is>
      </c>
      <c r="B829" s="4" t="inlineStr">
        <is>
          <t>Top DBMS Interview Questions</t>
        </is>
      </c>
      <c r="C829" s="4" t="inlineStr">
        <is>
          <t>Prepare for DBMS interviews with more than 92 interview questions. This path covers key topics such as data modelling, relational database design, SQL, transaction management, and emerging database technologies.</t>
        </is>
      </c>
      <c r="D829" s="4" t="inlineStr">
        <is>
          <t>Module 2: Data Modeling and Entity-Relationship (ER) Diagrams - Data modeling and Entity relationship</t>
        </is>
      </c>
      <c r="E829" s="4" t="n">
        <v>26</v>
      </c>
      <c r="F829" s="4" t="inlineStr">
        <is>
          <t>Challenge</t>
        </is>
      </c>
      <c r="G829" s="4" t="inlineStr">
        <is>
          <t>PPREPCS24</t>
        </is>
      </c>
      <c r="H829" s="4" t="inlineStr"/>
      <c r="I829" s="4" t="inlineStr">
        <is>
          <t>Medium</t>
        </is>
      </c>
      <c r="J829" s="5">
        <f>HYPERLINK("https://www.codechef.com/problems/PPREPCS24", "https://www.codechef.com/problems/PPREPCS24")</f>
        <v/>
      </c>
      <c r="K829" s="4" t="inlineStr"/>
      <c r="L829" s="4" t="inlineStr"/>
      <c r="M829" s="4" t="inlineStr"/>
      <c r="N829" s="4" t="inlineStr">
        <is>
          <t>No</t>
        </is>
      </c>
      <c r="O829" s="4" t="inlineStr">
        <is>
          <t>Unattempted</t>
        </is>
      </c>
    </row>
    <row r="830">
      <c r="A830" s="2" t="inlineStr">
        <is>
          <t>Interview Questions</t>
        </is>
      </c>
      <c r="B830" s="2" t="inlineStr">
        <is>
          <t>Top DBMS Interview Questions</t>
        </is>
      </c>
      <c r="C830" s="2" t="inlineStr">
        <is>
          <t>Prepare for DBMS interviews with more than 92 interview questions. This path covers key topics such as data modelling, relational database design, SQL, transaction management, and emerging database technologies.</t>
        </is>
      </c>
      <c r="D830" s="2" t="inlineStr">
        <is>
          <t>Module 2: Data Modeling and Entity-Relationship (ER) Diagrams - Data modeling and Entity relationship</t>
        </is>
      </c>
      <c r="E830" s="2" t="n">
        <v>27</v>
      </c>
      <c r="F830" s="2" t="inlineStr">
        <is>
          <t>Participation constraints</t>
        </is>
      </c>
      <c r="G830" s="2" t="inlineStr">
        <is>
          <t>PPREPCS25</t>
        </is>
      </c>
      <c r="H830" s="2" t="inlineStr"/>
      <c r="I830" s="2" t="inlineStr">
        <is>
          <t>Easy</t>
        </is>
      </c>
      <c r="J830" s="3">
        <f>HYPERLINK("https://www.codechef.com/problems/PPREPCS25", "https://www.codechef.com/problems/PPREPCS25")</f>
        <v/>
      </c>
      <c r="K830" s="2" t="inlineStr"/>
      <c r="L830" s="2" t="inlineStr"/>
      <c r="M830" s="2" t="inlineStr"/>
      <c r="N830" s="2" t="inlineStr">
        <is>
          <t>No</t>
        </is>
      </c>
      <c r="O830" s="2" t="inlineStr">
        <is>
          <t>Unattempted</t>
        </is>
      </c>
    </row>
    <row r="831">
      <c r="A831" s="4" t="inlineStr">
        <is>
          <t>Interview Questions</t>
        </is>
      </c>
      <c r="B831" s="4" t="inlineStr">
        <is>
          <t>Top DBMS Interview Questions</t>
        </is>
      </c>
      <c r="C831" s="4" t="inlineStr">
        <is>
          <t>Prepare for DBMS interviews with more than 92 interview questions. This path covers key topics such as data modelling, relational database design, SQL, transaction management, and emerging database technologies.</t>
        </is>
      </c>
      <c r="D831" s="4" t="inlineStr">
        <is>
          <t>Module 2: Data Modeling and Entity-Relationship (ER) Diagrams - Data modeling and Entity relationship</t>
        </is>
      </c>
      <c r="E831" s="4" t="n">
        <v>28</v>
      </c>
      <c r="F831" s="4" t="inlineStr">
        <is>
          <t>Generalization, Specialization and Aggregation</t>
        </is>
      </c>
      <c r="G831" s="4" t="inlineStr">
        <is>
          <t>PPREPCS26</t>
        </is>
      </c>
      <c r="H831" s="4" t="inlineStr"/>
      <c r="I831" s="4" t="inlineStr">
        <is>
          <t>Medium</t>
        </is>
      </c>
      <c r="J831" s="5">
        <f>HYPERLINK("https://www.codechef.com/problems/PPREPCS26", "https://www.codechef.com/problems/PPREPCS26")</f>
        <v/>
      </c>
      <c r="K831" s="4" t="inlineStr"/>
      <c r="L831" s="4" t="inlineStr"/>
      <c r="M831" s="4" t="inlineStr"/>
      <c r="N831" s="4" t="inlineStr">
        <is>
          <t>No</t>
        </is>
      </c>
      <c r="O831" s="4" t="inlineStr">
        <is>
          <t>Unattempted</t>
        </is>
      </c>
    </row>
    <row r="832">
      <c r="A832" s="2" t="inlineStr">
        <is>
          <t>Interview Questions</t>
        </is>
      </c>
      <c r="B832" s="2" t="inlineStr">
        <is>
          <t>Top DBMS Interview Questions</t>
        </is>
      </c>
      <c r="C832" s="2" t="inlineStr">
        <is>
          <t>Prepare for DBMS interviews with more than 92 interview questions. This path covers key topics such as data modelling, relational database design, SQL, transaction management, and emerging database technologies.</t>
        </is>
      </c>
      <c r="D832" s="2" t="inlineStr">
        <is>
          <t>Module 2: Data Modeling and Entity-Relationship (ER) Diagrams - Data modeling and Entity relationship</t>
        </is>
      </c>
      <c r="E832" s="2" t="n">
        <v>29</v>
      </c>
      <c r="F832" s="2" t="inlineStr">
        <is>
          <t>Reduction of ER diagram to Table</t>
        </is>
      </c>
      <c r="G832" s="2" t="inlineStr">
        <is>
          <t>PPREPCS27</t>
        </is>
      </c>
      <c r="H832" s="2" t="inlineStr"/>
      <c r="I832" s="2" t="inlineStr">
        <is>
          <t>Medium</t>
        </is>
      </c>
      <c r="J832" s="3">
        <f>HYPERLINK("https://www.codechef.com/problems/PPREPCS27", "https://www.codechef.com/problems/PPREPCS27")</f>
        <v/>
      </c>
      <c r="K832" s="2" t="inlineStr"/>
      <c r="L832" s="2" t="inlineStr"/>
      <c r="M832" s="2" t="inlineStr"/>
      <c r="N832" s="2" t="inlineStr">
        <is>
          <t>No</t>
        </is>
      </c>
      <c r="O832" s="2" t="inlineStr">
        <is>
          <t>Unattempted</t>
        </is>
      </c>
    </row>
    <row r="833">
      <c r="A833" s="4" t="inlineStr">
        <is>
          <t>Interview Questions</t>
        </is>
      </c>
      <c r="B833" s="4" t="inlineStr">
        <is>
          <t>Top DBMS Interview Questions</t>
        </is>
      </c>
      <c r="C833" s="4" t="inlineStr">
        <is>
          <t>Prepare for DBMS interviews with more than 92 interview questions. This path covers key topics such as data modelling, relational database design, SQL, transaction management, and emerging database technologies.</t>
        </is>
      </c>
      <c r="D833" s="4" t="inlineStr">
        <is>
          <t>Module 2: Data Modeling and Entity-Relationship (ER) Diagrams - Quiz: Data modeling and Entity relationship</t>
        </is>
      </c>
      <c r="E833" s="4" t="n">
        <v>30</v>
      </c>
      <c r="F833" s="4" t="inlineStr">
        <is>
          <t>Weak Entity Set Representation - MCQ</t>
        </is>
      </c>
      <c r="G833" s="4" t="inlineStr">
        <is>
          <t>PPREPCS28</t>
        </is>
      </c>
      <c r="H833" s="4" t="inlineStr"/>
      <c r="I833" s="4" t="inlineStr">
        <is>
          <t>Medium</t>
        </is>
      </c>
      <c r="J833" s="5">
        <f>HYPERLINK("https://www.codechef.com/problems/PPREPCS28", "https://www.codechef.com/problems/PPREPCS28")</f>
        <v/>
      </c>
      <c r="K833" s="4" t="inlineStr"/>
      <c r="L833" s="4" t="inlineStr"/>
      <c r="M833" s="4" t="inlineStr"/>
      <c r="N833" s="4" t="inlineStr">
        <is>
          <t>No</t>
        </is>
      </c>
      <c r="O833" s="4" t="inlineStr">
        <is>
          <t>Unattempted</t>
        </is>
      </c>
    </row>
    <row r="834">
      <c r="A834" s="2" t="inlineStr">
        <is>
          <t>Interview Questions</t>
        </is>
      </c>
      <c r="B834" s="2" t="inlineStr">
        <is>
          <t>Top DBMS Interview Questions</t>
        </is>
      </c>
      <c r="C834" s="2" t="inlineStr">
        <is>
          <t>Prepare for DBMS interviews with more than 92 interview questions. This path covers key topics such as data modelling, relational database design, SQL, transaction management, and emerging database technologies.</t>
        </is>
      </c>
      <c r="D834" s="2" t="inlineStr">
        <is>
          <t>Module 2: Data Modeling and Entity-Relationship (ER) Diagrams - Quiz: Data modeling and Entity relationship</t>
        </is>
      </c>
      <c r="E834" s="2" t="n">
        <v>31</v>
      </c>
      <c r="F834" s="2" t="inlineStr">
        <is>
          <t>Relational Database Degree Definition - MCQ</t>
        </is>
      </c>
      <c r="G834" s="2" t="inlineStr">
        <is>
          <t>PPREPCS29</t>
        </is>
      </c>
      <c r="H834" s="2" t="inlineStr"/>
      <c r="I834" s="2" t="inlineStr">
        <is>
          <t>Medium</t>
        </is>
      </c>
      <c r="J834" s="3">
        <f>HYPERLINK("https://www.codechef.com/problems/PPREPCS29", "https://www.codechef.com/problems/PPREPCS29")</f>
        <v/>
      </c>
      <c r="K834" s="2" t="inlineStr"/>
      <c r="L834" s="2" t="inlineStr"/>
      <c r="M834" s="2" t="inlineStr"/>
      <c r="N834" s="2" t="inlineStr">
        <is>
          <t>No</t>
        </is>
      </c>
      <c r="O834" s="2" t="inlineStr">
        <is>
          <t>Unattempted</t>
        </is>
      </c>
    </row>
    <row r="835">
      <c r="A835" s="4" t="inlineStr">
        <is>
          <t>Interview Questions</t>
        </is>
      </c>
      <c r="B835" s="4" t="inlineStr">
        <is>
          <t>Top DBMS Interview Questions</t>
        </is>
      </c>
      <c r="C835" s="4" t="inlineStr">
        <is>
          <t>Prepare for DBMS interviews with more than 92 interview questions. This path covers key topics such as data modelling, relational database design, SQL, transaction management, and emerging database technologies.</t>
        </is>
      </c>
      <c r="D835" s="4" t="inlineStr">
        <is>
          <t>Module 2: Data Modeling and Entity-Relationship (ER) Diagrams - Quiz: Data modeling and Entity relationship</t>
        </is>
      </c>
      <c r="E835" s="4" t="n">
        <v>32</v>
      </c>
      <c r="F835" s="4" t="inlineStr">
        <is>
          <t>ER Model Cardinality Question - MCQ</t>
        </is>
      </c>
      <c r="G835" s="4" t="inlineStr">
        <is>
          <t>PPREPCS30</t>
        </is>
      </c>
      <c r="H835" s="4" t="inlineStr"/>
      <c r="I835" s="4" t="inlineStr">
        <is>
          <t>Medium</t>
        </is>
      </c>
      <c r="J835" s="5">
        <f>HYPERLINK("https://www.codechef.com/problems/PPREPCS30", "https://www.codechef.com/problems/PPREPCS30")</f>
        <v/>
      </c>
      <c r="K835" s="4" t="inlineStr"/>
      <c r="L835" s="4" t="inlineStr"/>
      <c r="M835" s="4" t="inlineStr"/>
      <c r="N835" s="4" t="inlineStr">
        <is>
          <t>No</t>
        </is>
      </c>
      <c r="O835" s="4" t="inlineStr">
        <is>
          <t>Unattempted</t>
        </is>
      </c>
    </row>
    <row r="836">
      <c r="A836" s="2" t="inlineStr">
        <is>
          <t>Interview Questions</t>
        </is>
      </c>
      <c r="B836" s="2" t="inlineStr">
        <is>
          <t>Top DBMS Interview Questions</t>
        </is>
      </c>
      <c r="C836" s="2" t="inlineStr">
        <is>
          <t>Prepare for DBMS interviews with more than 92 interview questions. This path covers key topics such as data modelling, relational database design, SQL, transaction management, and emerging database technologies.</t>
        </is>
      </c>
      <c r="D836" s="2" t="inlineStr">
        <is>
          <t>Module 2: Data Modeling and Entity-Relationship (ER) Diagrams - Quiz: Data modeling and Entity relationship</t>
        </is>
      </c>
      <c r="E836" s="2" t="n">
        <v>33</v>
      </c>
      <c r="F836" s="2" t="inlineStr">
        <is>
          <t>Minimum Tables for ER Diagram - MCQ</t>
        </is>
      </c>
      <c r="G836" s="2" t="inlineStr">
        <is>
          <t>PPREPCS31</t>
        </is>
      </c>
      <c r="H836" s="2" t="inlineStr"/>
      <c r="I836" s="2" t="inlineStr">
        <is>
          <t>Medium</t>
        </is>
      </c>
      <c r="J836" s="3">
        <f>HYPERLINK("https://www.codechef.com/problems/PPREPCS31", "https://www.codechef.com/problems/PPREPCS31")</f>
        <v/>
      </c>
      <c r="K836" s="2" t="inlineStr"/>
      <c r="L836" s="2" t="inlineStr"/>
      <c r="M836" s="2" t="inlineStr"/>
      <c r="N836" s="2" t="inlineStr">
        <is>
          <t>No</t>
        </is>
      </c>
      <c r="O836" s="2" t="inlineStr">
        <is>
          <t>Unattempted</t>
        </is>
      </c>
    </row>
    <row r="837">
      <c r="A837" s="4" t="inlineStr">
        <is>
          <t>Interview Questions</t>
        </is>
      </c>
      <c r="B837" s="4" t="inlineStr">
        <is>
          <t>Top DBMS Interview Questions</t>
        </is>
      </c>
      <c r="C837" s="4" t="inlineStr">
        <is>
          <t>Prepare for DBMS interviews with more than 92 interview questions. This path covers key topics such as data modelling, relational database design, SQL, transaction management, and emerging database technologies.</t>
        </is>
      </c>
      <c r="D837" s="4" t="inlineStr">
        <is>
          <t>Module 2: Data Modeling and Entity-Relationship (ER) Diagrams - Quiz: Data modeling and Entity relationship</t>
        </is>
      </c>
      <c r="E837" s="4" t="n">
        <v>34</v>
      </c>
      <c r="F837" s="4" t="inlineStr">
        <is>
          <t>Library System Entity Relationship - MCQ</t>
        </is>
      </c>
      <c r="G837" s="4" t="inlineStr">
        <is>
          <t>PPREPCS32</t>
        </is>
      </c>
      <c r="H837" s="4" t="inlineStr"/>
      <c r="I837" s="4" t="inlineStr">
        <is>
          <t>Medium</t>
        </is>
      </c>
      <c r="J837" s="5">
        <f>HYPERLINK("https://www.codechef.com/problems/PPREPCS32", "https://www.codechef.com/problems/PPREPCS32")</f>
        <v/>
      </c>
      <c r="K837" s="4" t="inlineStr"/>
      <c r="L837" s="4" t="inlineStr"/>
      <c r="M837" s="4" t="inlineStr"/>
      <c r="N837" s="4" t="inlineStr">
        <is>
          <t>No</t>
        </is>
      </c>
      <c r="O837" s="4" t="inlineStr">
        <is>
          <t>Unattempted</t>
        </is>
      </c>
    </row>
    <row r="838">
      <c r="A838" s="2" t="inlineStr">
        <is>
          <t>Interview Questions</t>
        </is>
      </c>
      <c r="B838" s="2" t="inlineStr">
        <is>
          <t>Top DBMS Interview Questions</t>
        </is>
      </c>
      <c r="C838" s="2" t="inlineStr">
        <is>
          <t>Prepare for DBMS interviews with more than 92 interview questions. This path covers key topics such as data modelling, relational database design, SQL, transaction management, and emerging database technologies.</t>
        </is>
      </c>
      <c r="D838" s="2" t="inlineStr">
        <is>
          <t>Module 2: Data Modeling and Entity-Relationship (ER) Diagrams - Quiz: Data modeling and Entity relationship</t>
        </is>
      </c>
      <c r="E838" s="2" t="n">
        <v>35</v>
      </c>
      <c r="F838" s="2" t="inlineStr">
        <is>
          <t>Library ER Diagram Relationship - MCQ</t>
        </is>
      </c>
      <c r="G838" s="2" t="inlineStr">
        <is>
          <t>PPREPCS33</t>
        </is>
      </c>
      <c r="H838" s="2" t="inlineStr"/>
      <c r="I838" s="2" t="inlineStr">
        <is>
          <t>Medium</t>
        </is>
      </c>
      <c r="J838" s="3">
        <f>HYPERLINK("https://www.codechef.com/problems/PPREPCS33", "https://www.codechef.com/problems/PPREPCS33")</f>
        <v/>
      </c>
      <c r="K838" s="2" t="inlineStr"/>
      <c r="L838" s="2" t="inlineStr"/>
      <c r="M838" s="2" t="inlineStr"/>
      <c r="N838" s="2" t="inlineStr">
        <is>
          <t>No</t>
        </is>
      </c>
      <c r="O838" s="2" t="inlineStr">
        <is>
          <t>Unattempted</t>
        </is>
      </c>
    </row>
    <row r="839">
      <c r="A839" s="4" t="inlineStr">
        <is>
          <t>Interview Questions</t>
        </is>
      </c>
      <c r="B839" s="4" t="inlineStr">
        <is>
          <t>Top DBMS Interview Questions</t>
        </is>
      </c>
      <c r="C839" s="4" t="inlineStr">
        <is>
          <t>Prepare for DBMS interviews with more than 92 interview questions. This path covers key topics such as data modelling, relational database design, SQL, transaction management, and emerging database technologies.</t>
        </is>
      </c>
      <c r="D839" s="4" t="inlineStr">
        <is>
          <t>Module 2: Data Modeling and Entity-Relationship (ER) Diagrams - Quiz: Data modeling and Entity relationship</t>
        </is>
      </c>
      <c r="E839" s="4" t="n">
        <v>36</v>
      </c>
      <c r="F839" s="4" t="inlineStr">
        <is>
          <t>Library Database Entity Attributes - MCQ</t>
        </is>
      </c>
      <c r="G839" s="4" t="inlineStr">
        <is>
          <t>PPREPCS34</t>
        </is>
      </c>
      <c r="H839" s="4" t="inlineStr"/>
      <c r="I839" s="4" t="inlineStr">
        <is>
          <t>Easy</t>
        </is>
      </c>
      <c r="J839" s="5">
        <f>HYPERLINK("https://www.codechef.com/problems/PPREPCS34", "https://www.codechef.com/problems/PPREPCS34")</f>
        <v/>
      </c>
      <c r="K839" s="4" t="inlineStr"/>
      <c r="L839" s="4" t="inlineStr"/>
      <c r="M839" s="4" t="inlineStr"/>
      <c r="N839" s="4" t="inlineStr">
        <is>
          <t>No</t>
        </is>
      </c>
      <c r="O839" s="4" t="inlineStr">
        <is>
          <t>Unattempted</t>
        </is>
      </c>
    </row>
    <row r="840">
      <c r="A840" s="2" t="inlineStr">
        <is>
          <t>Interview Questions</t>
        </is>
      </c>
      <c r="B840" s="2" t="inlineStr">
        <is>
          <t>Top DBMS Interview Questions</t>
        </is>
      </c>
      <c r="C840" s="2" t="inlineStr">
        <is>
          <t>Prepare for DBMS interviews with more than 92 interview questions. This path covers key topics such as data modelling, relational database design, SQL, transaction management, and emerging database technologies.</t>
        </is>
      </c>
      <c r="D840" s="2" t="inlineStr">
        <is>
          <t>Module 2: Data Modeling and Entity-Relationship (ER) Diagrams - Quiz: Data modeling and Entity relationship</t>
        </is>
      </c>
      <c r="E840" s="2" t="n">
        <v>37</v>
      </c>
      <c r="F840" s="2" t="inlineStr">
        <is>
          <t>ER Diagram Table Conversion - MCQ</t>
        </is>
      </c>
      <c r="G840" s="2" t="inlineStr">
        <is>
          <t>PPREPCS36</t>
        </is>
      </c>
      <c r="H840" s="2" t="inlineStr"/>
      <c r="I840" s="2" t="inlineStr">
        <is>
          <t>Medium</t>
        </is>
      </c>
      <c r="J840" s="3">
        <f>HYPERLINK("https://www.codechef.com/problems/PPREPCS36", "https://www.codechef.com/problems/PPREPCS36")</f>
        <v/>
      </c>
      <c r="K840" s="2" t="inlineStr"/>
      <c r="L840" s="2" t="inlineStr"/>
      <c r="M840" s="2" t="inlineStr"/>
      <c r="N840" s="2" t="inlineStr">
        <is>
          <t>No</t>
        </is>
      </c>
      <c r="O840" s="2" t="inlineStr">
        <is>
          <t>Unattempted</t>
        </is>
      </c>
    </row>
    <row r="841">
      <c r="A841" s="4" t="inlineStr">
        <is>
          <t>Interview Questions</t>
        </is>
      </c>
      <c r="B841" s="4" t="inlineStr">
        <is>
          <t>Top DBMS Interview Questions</t>
        </is>
      </c>
      <c r="C841" s="4" t="inlineStr">
        <is>
          <t>Prepare for DBMS interviews with more than 92 interview questions. This path covers key topics such as data modelling, relational database design, SQL, transaction management, and emerging database technologies.</t>
        </is>
      </c>
      <c r="D841" s="4" t="inlineStr">
        <is>
          <t>Module 2: Data Modeling and Entity-Relationship (ER) Diagrams - Quiz: Data modeling and Entity relationship</t>
        </is>
      </c>
      <c r="E841" s="4" t="n">
        <v>38</v>
      </c>
      <c r="F841" s="4" t="inlineStr">
        <is>
          <t>ER Model to Relation Mapping - MCQ</t>
        </is>
      </c>
      <c r="G841" s="4" t="inlineStr">
        <is>
          <t>PPREPCS37</t>
        </is>
      </c>
      <c r="H841" s="4" t="inlineStr"/>
      <c r="I841" s="4" t="inlineStr">
        <is>
          <t>Medium</t>
        </is>
      </c>
      <c r="J841" s="5">
        <f>HYPERLINK("https://www.codechef.com/problems/PPREPCS37", "https://www.codechef.com/problems/PPREPCS37")</f>
        <v/>
      </c>
      <c r="K841" s="4" t="inlineStr"/>
      <c r="L841" s="4" t="inlineStr"/>
      <c r="M841" s="4" t="inlineStr"/>
      <c r="N841" s="4" t="inlineStr">
        <is>
          <t>No</t>
        </is>
      </c>
      <c r="O841" s="4" t="inlineStr">
        <is>
          <t>Unattempted</t>
        </is>
      </c>
    </row>
    <row r="842">
      <c r="A842" s="2" t="inlineStr">
        <is>
          <t>Interview Questions</t>
        </is>
      </c>
      <c r="B842" s="2" t="inlineStr">
        <is>
          <t>Top DBMS Interview Questions</t>
        </is>
      </c>
      <c r="C842" s="2" t="inlineStr">
        <is>
          <t>Prepare for DBMS interviews with more than 92 interview questions. This path covers key topics such as data modelling, relational database design, SQL, transaction management, and emerging database technologies.</t>
        </is>
      </c>
      <c r="D842" s="2" t="inlineStr">
        <is>
          <t>Module 3: Relational Database Design - Relational Database Design: Fundamentals</t>
        </is>
      </c>
      <c r="E842" s="2" t="n">
        <v>39</v>
      </c>
      <c r="F842" s="2" t="inlineStr">
        <is>
          <t>Fundamentals of Relational Databases</t>
        </is>
      </c>
      <c r="G842" s="2" t="inlineStr">
        <is>
          <t>PPREPCS38</t>
        </is>
      </c>
      <c r="H842" s="2" t="inlineStr"/>
      <c r="I842" s="2" t="inlineStr">
        <is>
          <t>Easy</t>
        </is>
      </c>
      <c r="J842" s="3">
        <f>HYPERLINK("https://www.codechef.com/problems/PPREPCS38", "https://www.codechef.com/problems/PPREPCS38")</f>
        <v/>
      </c>
      <c r="K842" s="2" t="inlineStr"/>
      <c r="L842" s="2" t="inlineStr"/>
      <c r="M842" s="2" t="inlineStr"/>
      <c r="N842" s="2" t="inlineStr">
        <is>
          <t>No</t>
        </is>
      </c>
      <c r="O842" s="2" t="inlineStr">
        <is>
          <t>Unattempted</t>
        </is>
      </c>
    </row>
    <row r="843">
      <c r="A843" s="4" t="inlineStr">
        <is>
          <t>Interview Questions</t>
        </is>
      </c>
      <c r="B843" s="4" t="inlineStr">
        <is>
          <t>Top DBMS Interview Questions</t>
        </is>
      </c>
      <c r="C843" s="4" t="inlineStr">
        <is>
          <t>Prepare for DBMS interviews with more than 92 interview questions. This path covers key topics such as data modelling, relational database design, SQL, transaction management, and emerging database technologies.</t>
        </is>
      </c>
      <c r="D843" s="4" t="inlineStr">
        <is>
          <t>Module 3: Relational Database Design - Relational Database Design: Fundamentals</t>
        </is>
      </c>
      <c r="E843" s="4" t="n">
        <v>40</v>
      </c>
      <c r="F843" s="4" t="inlineStr">
        <is>
          <t>Key Concepts  - Adding New Attribute to Table</t>
        </is>
      </c>
      <c r="G843" s="4" t="inlineStr">
        <is>
          <t>PPREPCS39</t>
        </is>
      </c>
      <c r="H843" s="4" t="inlineStr"/>
      <c r="I843" s="4" t="inlineStr">
        <is>
          <t>Easy</t>
        </is>
      </c>
      <c r="J843" s="5">
        <f>HYPERLINK("https://www.codechef.com/problems/PPREPCS39", "https://www.codechef.com/problems/PPREPCS39")</f>
        <v/>
      </c>
      <c r="K843" s="4" t="inlineStr"/>
      <c r="L843" s="4" t="inlineStr"/>
      <c r="M843" s="4" t="inlineStr"/>
      <c r="N843" s="4" t="inlineStr">
        <is>
          <t>No</t>
        </is>
      </c>
      <c r="O843" s="4" t="inlineStr">
        <is>
          <t>Unattempted</t>
        </is>
      </c>
    </row>
    <row r="844">
      <c r="A844" s="2" t="inlineStr">
        <is>
          <t>Interview Questions</t>
        </is>
      </c>
      <c r="B844" s="2" t="inlineStr">
        <is>
          <t>Top DBMS Interview Questions</t>
        </is>
      </c>
      <c r="C844" s="2" t="inlineStr">
        <is>
          <t>Prepare for DBMS interviews with more than 92 interview questions. This path covers key topics such as data modelling, relational database design, SQL, transaction management, and emerging database technologies.</t>
        </is>
      </c>
      <c r="D844" s="2" t="inlineStr">
        <is>
          <t>Module 3: Relational Database Design - Relational Database Design: Fundamentals</t>
        </is>
      </c>
      <c r="E844" s="2" t="n">
        <v>41</v>
      </c>
      <c r="F844" s="2" t="inlineStr">
        <is>
          <t>Key Concepts - Integrity in Employee Database</t>
        </is>
      </c>
      <c r="G844" s="2" t="inlineStr">
        <is>
          <t>PPREPCS40</t>
        </is>
      </c>
      <c r="H844" s="2" t="inlineStr"/>
      <c r="I844" s="2" t="inlineStr">
        <is>
          <t>Easy</t>
        </is>
      </c>
      <c r="J844" s="3">
        <f>HYPERLINK("https://www.codechef.com/problems/PPREPCS40", "https://www.codechef.com/problems/PPREPCS40")</f>
        <v/>
      </c>
      <c r="K844" s="2" t="inlineStr"/>
      <c r="L844" s="2" t="inlineStr"/>
      <c r="M844" s="2" t="inlineStr"/>
      <c r="N844" s="2" t="inlineStr">
        <is>
          <t>No</t>
        </is>
      </c>
      <c r="O844" s="2" t="inlineStr">
        <is>
          <t>Unattempted</t>
        </is>
      </c>
    </row>
    <row r="845">
      <c r="A845" s="4" t="inlineStr">
        <is>
          <t>Interview Questions</t>
        </is>
      </c>
      <c r="B845" s="4" t="inlineStr">
        <is>
          <t>Top DBMS Interview Questions</t>
        </is>
      </c>
      <c r="C845" s="4" t="inlineStr">
        <is>
          <t>Prepare for DBMS interviews with more than 92 interview questions. This path covers key topics such as data modelling, relational database design, SQL, transaction management, and emerging database technologies.</t>
        </is>
      </c>
      <c r="D845" s="4" t="inlineStr">
        <is>
          <t>Module 3: Relational Database Design - Relational Database Design: Fundamentals</t>
        </is>
      </c>
      <c r="E845" s="4" t="n">
        <v>42</v>
      </c>
      <c r="F845" s="4" t="inlineStr">
        <is>
          <t>Keys In RDBMS</t>
        </is>
      </c>
      <c r="G845" s="4" t="inlineStr">
        <is>
          <t>PPREPCS41</t>
        </is>
      </c>
      <c r="H845" s="4" t="inlineStr"/>
      <c r="I845" s="4" t="inlineStr">
        <is>
          <t>Easy</t>
        </is>
      </c>
      <c r="J845" s="5">
        <f>HYPERLINK("https://www.codechef.com/problems/PPREPCS41", "https://www.codechef.com/problems/PPREPCS41")</f>
        <v/>
      </c>
      <c r="K845" s="4" t="inlineStr"/>
      <c r="L845" s="4" t="inlineStr"/>
      <c r="M845" s="4" t="inlineStr"/>
      <c r="N845" s="4" t="inlineStr">
        <is>
          <t>No</t>
        </is>
      </c>
      <c r="O845" s="4" t="inlineStr">
        <is>
          <t>Unattempted</t>
        </is>
      </c>
    </row>
    <row r="846">
      <c r="A846" s="2" t="inlineStr">
        <is>
          <t>Interview Questions</t>
        </is>
      </c>
      <c r="B846" s="2" t="inlineStr">
        <is>
          <t>Top DBMS Interview Questions</t>
        </is>
      </c>
      <c r="C846" s="2" t="inlineStr">
        <is>
          <t>Prepare for DBMS interviews with more than 92 interview questions. This path covers key topics such as data modelling, relational database design, SQL, transaction management, and emerging database technologies.</t>
        </is>
      </c>
      <c r="D846" s="2" t="inlineStr">
        <is>
          <t>Module 3: Relational Database Design - Relational Database Design: Fundamentals</t>
        </is>
      </c>
      <c r="E846" s="2" t="n">
        <v>43</v>
      </c>
      <c r="F846" s="2" t="inlineStr">
        <is>
          <t>Some More Keys in RDBMS</t>
        </is>
      </c>
      <c r="G846" s="2" t="inlineStr">
        <is>
          <t>PPREPCS42</t>
        </is>
      </c>
      <c r="H846" s="2" t="inlineStr"/>
      <c r="I846" s="2" t="inlineStr">
        <is>
          <t>Easy</t>
        </is>
      </c>
      <c r="J846" s="3">
        <f>HYPERLINK("https://www.codechef.com/problems/PPREPCS42", "https://www.codechef.com/problems/PPREPCS42")</f>
        <v/>
      </c>
      <c r="K846" s="2" t="inlineStr"/>
      <c r="L846" s="2" t="inlineStr"/>
      <c r="M846" s="2" t="inlineStr"/>
      <c r="N846" s="2" t="inlineStr">
        <is>
          <t>No</t>
        </is>
      </c>
      <c r="O846" s="2" t="inlineStr">
        <is>
          <t>Unattempted</t>
        </is>
      </c>
    </row>
    <row r="847">
      <c r="A847" s="4" t="inlineStr">
        <is>
          <t>Interview Questions</t>
        </is>
      </c>
      <c r="B847" s="4" t="inlineStr">
        <is>
          <t>Top DBMS Interview Questions</t>
        </is>
      </c>
      <c r="C847" s="4" t="inlineStr">
        <is>
          <t>Prepare for DBMS interviews with more than 92 interview questions. This path covers key topics such as data modelling, relational database design, SQL, transaction management, and emerging database technologies.</t>
        </is>
      </c>
      <c r="D847" s="4" t="inlineStr">
        <is>
          <t>Module 3: Relational Database Design - Relational Database Design: Fundamentals</t>
        </is>
      </c>
      <c r="E847" s="4" t="n">
        <v>44</v>
      </c>
      <c r="F847" s="4" t="inlineStr">
        <is>
          <t>Key Identification - MCQ</t>
        </is>
      </c>
      <c r="G847" s="4" t="inlineStr">
        <is>
          <t>PPREPCS43</t>
        </is>
      </c>
      <c r="H847" s="4" t="inlineStr"/>
      <c r="I847" s="4" t="inlineStr">
        <is>
          <t>Easy</t>
        </is>
      </c>
      <c r="J847" s="5">
        <f>HYPERLINK("https://www.codechef.com/problems/PPREPCS43", "https://www.codechef.com/problems/PPREPCS43")</f>
        <v/>
      </c>
      <c r="K847" s="4" t="inlineStr"/>
      <c r="L847" s="4" t="inlineStr"/>
      <c r="M847" s="4" t="inlineStr"/>
      <c r="N847" s="4" t="inlineStr">
        <is>
          <t>No</t>
        </is>
      </c>
      <c r="O847" s="4" t="inlineStr">
        <is>
          <t>Unattempted</t>
        </is>
      </c>
    </row>
    <row r="848">
      <c r="A848" s="2" t="inlineStr">
        <is>
          <t>Interview Questions</t>
        </is>
      </c>
      <c r="B848" s="2" t="inlineStr">
        <is>
          <t>Top DBMS Interview Questions</t>
        </is>
      </c>
      <c r="C848" s="2" t="inlineStr">
        <is>
          <t>Prepare for DBMS interviews with more than 92 interview questions. This path covers key topics such as data modelling, relational database design, SQL, transaction management, and emerging database technologies.</t>
        </is>
      </c>
      <c r="D848" s="2" t="inlineStr">
        <is>
          <t>Module 3: Relational Database Design - Relational Algebra</t>
        </is>
      </c>
      <c r="E848" s="2" t="n">
        <v>45</v>
      </c>
      <c r="F848" s="2" t="inlineStr">
        <is>
          <t>Relational Algebra Basic Operations - 1</t>
        </is>
      </c>
      <c r="G848" s="2" t="inlineStr">
        <is>
          <t>PPREPCS44</t>
        </is>
      </c>
      <c r="H848" s="2" t="inlineStr"/>
      <c r="I848" s="2" t="inlineStr">
        <is>
          <t>Easy</t>
        </is>
      </c>
      <c r="J848" s="3">
        <f>HYPERLINK("https://www.codechef.com/problems/PPREPCS44", "https://www.codechef.com/problems/PPREPCS44")</f>
        <v/>
      </c>
      <c r="K848" s="2" t="inlineStr"/>
      <c r="L848" s="2" t="inlineStr"/>
      <c r="M848" s="2" t="inlineStr"/>
      <c r="N848" s="2" t="inlineStr">
        <is>
          <t>No</t>
        </is>
      </c>
      <c r="O848" s="2" t="inlineStr">
        <is>
          <t>Unattempted</t>
        </is>
      </c>
    </row>
    <row r="849">
      <c r="A849" s="4" t="inlineStr">
        <is>
          <t>Interview Questions</t>
        </is>
      </c>
      <c r="B849" s="4" t="inlineStr">
        <is>
          <t>Top DBMS Interview Questions</t>
        </is>
      </c>
      <c r="C849" s="4" t="inlineStr">
        <is>
          <t>Prepare for DBMS interviews with more than 92 interview questions. This path covers key topics such as data modelling, relational database design, SQL, transaction management, and emerging database technologies.</t>
        </is>
      </c>
      <c r="D849" s="4" t="inlineStr">
        <is>
          <t>Module 3: Relational Database Design - Relational Algebra</t>
        </is>
      </c>
      <c r="E849" s="4" t="n">
        <v>46</v>
      </c>
      <c r="F849" s="4" t="inlineStr">
        <is>
          <t>Relational Algebra Basic Operations - 2</t>
        </is>
      </c>
      <c r="G849" s="4" t="inlineStr">
        <is>
          <t>PPREPCS45</t>
        </is>
      </c>
      <c r="H849" s="4" t="inlineStr"/>
      <c r="I849" s="4" t="inlineStr">
        <is>
          <t>Medium</t>
        </is>
      </c>
      <c r="J849" s="5">
        <f>HYPERLINK("https://www.codechef.com/problems/PPREPCS45", "https://www.codechef.com/problems/PPREPCS45")</f>
        <v/>
      </c>
      <c r="K849" s="4" t="inlineStr"/>
      <c r="L849" s="4" t="inlineStr"/>
      <c r="M849" s="4" t="inlineStr"/>
      <c r="N849" s="4" t="inlineStr">
        <is>
          <t>No</t>
        </is>
      </c>
      <c r="O849" s="4" t="inlineStr">
        <is>
          <t>Unattempted</t>
        </is>
      </c>
    </row>
    <row r="850">
      <c r="A850" s="2" t="inlineStr">
        <is>
          <t>Interview Questions</t>
        </is>
      </c>
      <c r="B850" s="2" t="inlineStr">
        <is>
          <t>Top DBMS Interview Questions</t>
        </is>
      </c>
      <c r="C850" s="2" t="inlineStr">
        <is>
          <t>Prepare for DBMS interviews with more than 92 interview questions. This path covers key topics such as data modelling, relational database design, SQL, transaction management, and emerging database technologies.</t>
        </is>
      </c>
      <c r="D850" s="2" t="inlineStr">
        <is>
          <t>Module 3: Relational Database Design - Relational Algebra</t>
        </is>
      </c>
      <c r="E850" s="2" t="n">
        <v>47</v>
      </c>
      <c r="F850" s="2" t="inlineStr">
        <is>
          <t>Relational Algebra Query Evaluation - MCQ</t>
        </is>
      </c>
      <c r="G850" s="2" t="inlineStr">
        <is>
          <t>PPREPCS46</t>
        </is>
      </c>
      <c r="H850" s="2" t="inlineStr"/>
      <c r="I850" s="2" t="inlineStr">
        <is>
          <t>Easy</t>
        </is>
      </c>
      <c r="J850" s="3">
        <f>HYPERLINK("https://www.codechef.com/problems/PPREPCS46", "https://www.codechef.com/problems/PPREPCS46")</f>
        <v/>
      </c>
      <c r="K850" s="2" t="inlineStr"/>
      <c r="L850" s="2" t="inlineStr"/>
      <c r="M850" s="2" t="inlineStr"/>
      <c r="N850" s="2" t="inlineStr">
        <is>
          <t>No</t>
        </is>
      </c>
      <c r="O850" s="2" t="inlineStr">
        <is>
          <t>Unattempted</t>
        </is>
      </c>
    </row>
    <row r="851">
      <c r="A851" s="4" t="inlineStr">
        <is>
          <t>Interview Questions</t>
        </is>
      </c>
      <c r="B851" s="4" t="inlineStr">
        <is>
          <t>Top DBMS Interview Questions</t>
        </is>
      </c>
      <c r="C851" s="4" t="inlineStr">
        <is>
          <t>Prepare for DBMS interviews with more than 92 interview questions. This path covers key topics such as data modelling, relational database design, SQL, transaction management, and emerging database technologies.</t>
        </is>
      </c>
      <c r="D851" s="4" t="inlineStr">
        <is>
          <t>Module 3: Relational Database Design - Relational Algebra</t>
        </is>
      </c>
      <c r="E851" s="4" t="n">
        <v>48</v>
      </c>
      <c r="F851" s="4" t="inlineStr">
        <is>
          <t>Joins - Inner Join</t>
        </is>
      </c>
      <c r="G851" s="4" t="inlineStr">
        <is>
          <t>PPREPCS47</t>
        </is>
      </c>
      <c r="H851" s="4" t="inlineStr"/>
      <c r="I851" s="4" t="inlineStr">
        <is>
          <t>Easy</t>
        </is>
      </c>
      <c r="J851" s="5">
        <f>HYPERLINK("https://www.codechef.com/problems/PPREPCS47", "https://www.codechef.com/problems/PPREPCS47")</f>
        <v/>
      </c>
      <c r="K851" s="4" t="inlineStr"/>
      <c r="L851" s="4" t="inlineStr"/>
      <c r="M851" s="4" t="inlineStr"/>
      <c r="N851" s="4" t="inlineStr">
        <is>
          <t>No</t>
        </is>
      </c>
      <c r="O851" s="4" t="inlineStr">
        <is>
          <t>Unattempted</t>
        </is>
      </c>
    </row>
    <row r="852">
      <c r="A852" s="2" t="inlineStr">
        <is>
          <t>Interview Questions</t>
        </is>
      </c>
      <c r="B852" s="2" t="inlineStr">
        <is>
          <t>Top DBMS Interview Questions</t>
        </is>
      </c>
      <c r="C852" s="2" t="inlineStr">
        <is>
          <t>Prepare for DBMS interviews with more than 92 interview questions. This path covers key topics such as data modelling, relational database design, SQL, transaction management, and emerging database technologies.</t>
        </is>
      </c>
      <c r="D852" s="2" t="inlineStr">
        <is>
          <t>Module 3: Relational Database Design - Relational Algebra</t>
        </is>
      </c>
      <c r="E852" s="2" t="n">
        <v>49</v>
      </c>
      <c r="F852" s="2" t="inlineStr">
        <is>
          <t>Joins - Left (or Left Outer) Join</t>
        </is>
      </c>
      <c r="G852" s="2" t="inlineStr">
        <is>
          <t>PPREPCS48</t>
        </is>
      </c>
      <c r="H852" s="2" t="inlineStr"/>
      <c r="I852" s="2" t="inlineStr">
        <is>
          <t>Medium</t>
        </is>
      </c>
      <c r="J852" s="3">
        <f>HYPERLINK("https://www.codechef.com/problems/PPREPCS48", "https://www.codechef.com/problems/PPREPCS48")</f>
        <v/>
      </c>
      <c r="K852" s="2" t="inlineStr"/>
      <c r="L852" s="2" t="inlineStr"/>
      <c r="M852" s="2" t="inlineStr"/>
      <c r="N852" s="2" t="inlineStr">
        <is>
          <t>No</t>
        </is>
      </c>
      <c r="O852" s="2" t="inlineStr">
        <is>
          <t>Unattempted</t>
        </is>
      </c>
    </row>
    <row r="853">
      <c r="A853" s="4" t="inlineStr">
        <is>
          <t>Interview Questions</t>
        </is>
      </c>
      <c r="B853" s="4" t="inlineStr">
        <is>
          <t>Top DBMS Interview Questions</t>
        </is>
      </c>
      <c r="C853" s="4" t="inlineStr">
        <is>
          <t>Prepare for DBMS interviews with more than 92 interview questions. This path covers key topics such as data modelling, relational database design, SQL, transaction management, and emerging database technologies.</t>
        </is>
      </c>
      <c r="D853" s="4" t="inlineStr">
        <is>
          <t>Module 3: Relational Database Design - Relational Algebra</t>
        </is>
      </c>
      <c r="E853" s="4" t="n">
        <v>50</v>
      </c>
      <c r="F853" s="4" t="inlineStr">
        <is>
          <t>Joins - Right (or Right Outer) Join</t>
        </is>
      </c>
      <c r="G853" s="4" t="inlineStr">
        <is>
          <t>PPREPCS49</t>
        </is>
      </c>
      <c r="H853" s="4" t="inlineStr"/>
      <c r="I853" s="4" t="inlineStr">
        <is>
          <t>Easy</t>
        </is>
      </c>
      <c r="J853" s="5">
        <f>HYPERLINK("https://www.codechef.com/problems/PPREPCS49", "https://www.codechef.com/problems/PPREPCS49")</f>
        <v/>
      </c>
      <c r="K853" s="4" t="inlineStr"/>
      <c r="L853" s="4" t="inlineStr"/>
      <c r="M853" s="4" t="inlineStr"/>
      <c r="N853" s="4" t="inlineStr">
        <is>
          <t>No</t>
        </is>
      </c>
      <c r="O853" s="4" t="inlineStr">
        <is>
          <t>Unattempted</t>
        </is>
      </c>
    </row>
    <row r="854">
      <c r="A854" s="2" t="inlineStr">
        <is>
          <t>Interview Questions</t>
        </is>
      </c>
      <c r="B854" s="2" t="inlineStr">
        <is>
          <t>Top DBMS Interview Questions</t>
        </is>
      </c>
      <c r="C854" s="2" t="inlineStr">
        <is>
          <t>Prepare for DBMS interviews with more than 92 interview questions. This path covers key topics such as data modelling, relational database design, SQL, transaction management, and emerging database technologies.</t>
        </is>
      </c>
      <c r="D854" s="2" t="inlineStr">
        <is>
          <t>Module 3: Relational Database Design - Relational Algebra</t>
        </is>
      </c>
      <c r="E854" s="2" t="n">
        <v>51</v>
      </c>
      <c r="F854" s="2" t="inlineStr">
        <is>
          <t>Joins - Full Outer Join</t>
        </is>
      </c>
      <c r="G854" s="2" t="inlineStr">
        <is>
          <t>PPREPCS50</t>
        </is>
      </c>
      <c r="H854" s="2" t="inlineStr"/>
      <c r="I854" s="2" t="inlineStr">
        <is>
          <t>Medium</t>
        </is>
      </c>
      <c r="J854" s="3">
        <f>HYPERLINK("https://www.codechef.com/problems/PPREPCS50", "https://www.codechef.com/problems/PPREPCS50")</f>
        <v/>
      </c>
      <c r="K854" s="2" t="inlineStr"/>
      <c r="L854" s="2" t="inlineStr"/>
      <c r="M854" s="2" t="inlineStr"/>
      <c r="N854" s="2" t="inlineStr">
        <is>
          <t>No</t>
        </is>
      </c>
      <c r="O854" s="2" t="inlineStr">
        <is>
          <t>Unattempted</t>
        </is>
      </c>
    </row>
    <row r="855">
      <c r="A855" s="4" t="inlineStr">
        <is>
          <t>Interview Questions</t>
        </is>
      </c>
      <c r="B855" s="4" t="inlineStr">
        <is>
          <t>Top DBMS Interview Questions</t>
        </is>
      </c>
      <c r="C855" s="4" t="inlineStr">
        <is>
          <t>Prepare for DBMS interviews with more than 92 interview questions. This path covers key topics such as data modelling, relational database design, SQL, transaction management, and emerging database technologies.</t>
        </is>
      </c>
      <c r="D855" s="4" t="inlineStr">
        <is>
          <t>Module 3: Relational Database Design - Relational Algebra</t>
        </is>
      </c>
      <c r="E855" s="4" t="n">
        <v>52</v>
      </c>
      <c r="F855" s="4" t="inlineStr">
        <is>
          <t>Relational Algebra Join Exercise - MCQ</t>
        </is>
      </c>
      <c r="G855" s="4" t="inlineStr">
        <is>
          <t>PPREPCS51</t>
        </is>
      </c>
      <c r="H855" s="4" t="inlineStr"/>
      <c r="I855" s="4" t="inlineStr">
        <is>
          <t>Easy</t>
        </is>
      </c>
      <c r="J855" s="5">
        <f>HYPERLINK("https://www.codechef.com/problems/PPREPCS51", "https://www.codechef.com/problems/PPREPCS51")</f>
        <v/>
      </c>
      <c r="K855" s="4" t="inlineStr"/>
      <c r="L855" s="4" t="inlineStr"/>
      <c r="M855" s="4" t="inlineStr"/>
      <c r="N855" s="4" t="inlineStr">
        <is>
          <t>No</t>
        </is>
      </c>
      <c r="O855" s="4" t="inlineStr">
        <is>
          <t>Unattempted</t>
        </is>
      </c>
    </row>
    <row r="856">
      <c r="A856" s="2" t="inlineStr">
        <is>
          <t>Interview Questions</t>
        </is>
      </c>
      <c r="B856" s="2" t="inlineStr">
        <is>
          <t>Top DBMS Interview Questions</t>
        </is>
      </c>
      <c r="C856" s="2" t="inlineStr">
        <is>
          <t>Prepare for DBMS interviews with more than 92 interview questions. This path covers key topics such as data modelling, relational database design, SQL, transaction management, and emerging database technologies.</t>
        </is>
      </c>
      <c r="D856" s="2" t="inlineStr">
        <is>
          <t>Module 3: Relational Database Design - Relational Algebra</t>
        </is>
      </c>
      <c r="E856" s="2" t="n">
        <v>53</v>
      </c>
      <c r="F856" s="2" t="inlineStr">
        <is>
          <t>Relational Algebra Join Query - MCQ</t>
        </is>
      </c>
      <c r="G856" s="2" t="inlineStr">
        <is>
          <t>PPREPCS52</t>
        </is>
      </c>
      <c r="H856" s="2" t="inlineStr"/>
      <c r="I856" s="2" t="inlineStr">
        <is>
          <t>Medium</t>
        </is>
      </c>
      <c r="J856" s="3">
        <f>HYPERLINK("https://www.codechef.com/problems/PPREPCS52", "https://www.codechef.com/problems/PPREPCS52")</f>
        <v/>
      </c>
      <c r="K856" s="2" t="inlineStr"/>
      <c r="L856" s="2" t="inlineStr"/>
      <c r="M856" s="2" t="inlineStr"/>
      <c r="N856" s="2" t="inlineStr">
        <is>
          <t>No</t>
        </is>
      </c>
      <c r="O856" s="2" t="inlineStr">
        <is>
          <t>Unattempted</t>
        </is>
      </c>
    </row>
    <row r="857">
      <c r="A857" s="4" t="inlineStr">
        <is>
          <t>Interview Questions</t>
        </is>
      </c>
      <c r="B857" s="4" t="inlineStr">
        <is>
          <t>Top DBMS Interview Questions</t>
        </is>
      </c>
      <c r="C857" s="4" t="inlineStr">
        <is>
          <t>Prepare for DBMS interviews with more than 92 interview questions. This path covers key topics such as data modelling, relational database design, SQL, transaction management, and emerging database technologies.</t>
        </is>
      </c>
      <c r="D857" s="4" t="inlineStr">
        <is>
          <t>Module 3: Relational Database Design - Functional Dependencies and Normal Forms</t>
        </is>
      </c>
      <c r="E857" s="4" t="n">
        <v>54</v>
      </c>
      <c r="F857" s="4" t="inlineStr">
        <is>
          <t>Introduction to Functional Dependencies</t>
        </is>
      </c>
      <c r="G857" s="4" t="inlineStr">
        <is>
          <t>PPREPCS53</t>
        </is>
      </c>
      <c r="H857" s="4" t="inlineStr"/>
      <c r="I857" s="4" t="inlineStr">
        <is>
          <t>Easy</t>
        </is>
      </c>
      <c r="J857" s="5">
        <f>HYPERLINK("https://www.codechef.com/problems/PPREPCS53", "https://www.codechef.com/problems/PPREPCS53")</f>
        <v/>
      </c>
      <c r="K857" s="4" t="inlineStr"/>
      <c r="L857" s="4" t="inlineStr"/>
      <c r="M857" s="4" t="inlineStr"/>
      <c r="N857" s="4" t="inlineStr">
        <is>
          <t>No</t>
        </is>
      </c>
      <c r="O857" s="4" t="inlineStr">
        <is>
          <t>Unattempted</t>
        </is>
      </c>
    </row>
    <row r="858">
      <c r="A858" s="2" t="inlineStr">
        <is>
          <t>Interview Questions</t>
        </is>
      </c>
      <c r="B858" s="2" t="inlineStr">
        <is>
          <t>Top DBMS Interview Questions</t>
        </is>
      </c>
      <c r="C858" s="2" t="inlineStr">
        <is>
          <t>Prepare for DBMS interviews with more than 92 interview questions. This path covers key topics such as data modelling, relational database design, SQL, transaction management, and emerging database technologies.</t>
        </is>
      </c>
      <c r="D858" s="2" t="inlineStr">
        <is>
          <t>Module 3: Relational Database Design - Functional Dependencies and Normal Forms</t>
        </is>
      </c>
      <c r="E858" s="2" t="n">
        <v>55</v>
      </c>
      <c r="F858" s="2" t="inlineStr">
        <is>
          <t>Types of Funcational Dependencies</t>
        </is>
      </c>
      <c r="G858" s="2" t="inlineStr">
        <is>
          <t>PPREPCS54</t>
        </is>
      </c>
      <c r="H858" s="2" t="inlineStr"/>
      <c r="I858" s="2" t="inlineStr">
        <is>
          <t>Medium</t>
        </is>
      </c>
      <c r="J858" s="3">
        <f>HYPERLINK("https://www.codechef.com/problems/PPREPCS54", "https://www.codechef.com/problems/PPREPCS54")</f>
        <v/>
      </c>
      <c r="K858" s="2" t="inlineStr"/>
      <c r="L858" s="2" t="inlineStr"/>
      <c r="M858" s="2" t="inlineStr"/>
      <c r="N858" s="2" t="inlineStr">
        <is>
          <t>No</t>
        </is>
      </c>
      <c r="O858" s="2" t="inlineStr">
        <is>
          <t>Unattempted</t>
        </is>
      </c>
    </row>
    <row r="859">
      <c r="A859" s="4" t="inlineStr">
        <is>
          <t>Interview Questions</t>
        </is>
      </c>
      <c r="B859" s="4" t="inlineStr">
        <is>
          <t>Top DBMS Interview Questions</t>
        </is>
      </c>
      <c r="C859" s="4" t="inlineStr">
        <is>
          <t>Prepare for DBMS interviews with more than 92 interview questions. This path covers key topics such as data modelling, relational database design, SQL, transaction management, and emerging database technologies.</t>
        </is>
      </c>
      <c r="D859" s="4" t="inlineStr">
        <is>
          <t>Module 3: Relational Database Design - Functional Dependencies and Normal Forms</t>
        </is>
      </c>
      <c r="E859" s="4" t="n">
        <v>56</v>
      </c>
      <c r="F859" s="4" t="inlineStr">
        <is>
          <t>Rules of Functional Dependencies</t>
        </is>
      </c>
      <c r="G859" s="4" t="inlineStr">
        <is>
          <t>PPREPCS55</t>
        </is>
      </c>
      <c r="H859" s="4" t="inlineStr"/>
      <c r="I859" s="4" t="inlineStr">
        <is>
          <t>Medium</t>
        </is>
      </c>
      <c r="J859" s="5">
        <f>HYPERLINK("https://www.codechef.com/problems/PPREPCS55", "https://www.codechef.com/problems/PPREPCS55")</f>
        <v/>
      </c>
      <c r="K859" s="4" t="inlineStr"/>
      <c r="L859" s="4" t="inlineStr"/>
      <c r="M859" s="4" t="inlineStr"/>
      <c r="N859" s="4" t="inlineStr">
        <is>
          <t>No</t>
        </is>
      </c>
      <c r="O859" s="4" t="inlineStr">
        <is>
          <t>Unattempted</t>
        </is>
      </c>
    </row>
    <row r="860">
      <c r="A860" s="2" t="inlineStr">
        <is>
          <t>Interview Questions</t>
        </is>
      </c>
      <c r="B860" s="2" t="inlineStr">
        <is>
          <t>Top DBMS Interview Questions</t>
        </is>
      </c>
      <c r="C860" s="2" t="inlineStr">
        <is>
          <t>Prepare for DBMS interviews with more than 92 interview questions. This path covers key topics such as data modelling, relational database design, SQL, transaction management, and emerging database technologies.</t>
        </is>
      </c>
      <c r="D860" s="2" t="inlineStr">
        <is>
          <t>Module 3: Relational Database Design - Functional Dependencies and Normal Forms</t>
        </is>
      </c>
      <c r="E860" s="2" t="n">
        <v>57</v>
      </c>
      <c r="F860" s="2" t="inlineStr">
        <is>
          <t>Functional Dependency Analysis - MCQ</t>
        </is>
      </c>
      <c r="G860" s="2" t="inlineStr">
        <is>
          <t>PPREPCS56</t>
        </is>
      </c>
      <c r="H860" s="2" t="inlineStr"/>
      <c r="I860" s="2" t="inlineStr">
        <is>
          <t>Medium</t>
        </is>
      </c>
      <c r="J860" s="3">
        <f>HYPERLINK("https://www.codechef.com/problems/PPREPCS56", "https://www.codechef.com/problems/PPREPCS56")</f>
        <v/>
      </c>
      <c r="K860" s="2" t="inlineStr"/>
      <c r="L860" s="2" t="inlineStr"/>
      <c r="M860" s="2" t="inlineStr"/>
      <c r="N860" s="2" t="inlineStr">
        <is>
          <t>No</t>
        </is>
      </c>
      <c r="O860" s="2" t="inlineStr">
        <is>
          <t>Unattempted</t>
        </is>
      </c>
    </row>
    <row r="861">
      <c r="A861" s="4" t="inlineStr">
        <is>
          <t>Interview Questions</t>
        </is>
      </c>
      <c r="B861" s="4" t="inlineStr">
        <is>
          <t>Top DBMS Interview Questions</t>
        </is>
      </c>
      <c r="C861" s="4" t="inlineStr">
        <is>
          <t>Prepare for DBMS interviews with more than 92 interview questions. This path covers key topics such as data modelling, relational database design, SQL, transaction management, and emerging database technologies.</t>
        </is>
      </c>
      <c r="D861" s="4" t="inlineStr">
        <is>
          <t>Module 3: Relational Database Design - Functional Dependencies and Normal Forms</t>
        </is>
      </c>
      <c r="E861" s="4" t="n">
        <v>58</v>
      </c>
      <c r="F861" s="4" t="inlineStr">
        <is>
          <t>Introduction to Normalization</t>
        </is>
      </c>
      <c r="G861" s="4" t="inlineStr">
        <is>
          <t>PPREPCS57</t>
        </is>
      </c>
      <c r="H861" s="4" t="inlineStr"/>
      <c r="I861" s="4" t="inlineStr">
        <is>
          <t>Easy</t>
        </is>
      </c>
      <c r="J861" s="5">
        <f>HYPERLINK("https://www.codechef.com/problems/PPREPCS57", "https://www.codechef.com/problems/PPREPCS57")</f>
        <v/>
      </c>
      <c r="K861" s="4" t="inlineStr"/>
      <c r="L861" s="4" t="inlineStr"/>
      <c r="M861" s="4" t="inlineStr"/>
      <c r="N861" s="4" t="inlineStr">
        <is>
          <t>No</t>
        </is>
      </c>
      <c r="O861" s="4" t="inlineStr">
        <is>
          <t>Unattempted</t>
        </is>
      </c>
    </row>
    <row r="862">
      <c r="A862" s="2" t="inlineStr">
        <is>
          <t>Interview Questions</t>
        </is>
      </c>
      <c r="B862" s="2" t="inlineStr">
        <is>
          <t>Top DBMS Interview Questions</t>
        </is>
      </c>
      <c r="C862" s="2" t="inlineStr">
        <is>
          <t>Prepare for DBMS interviews with more than 92 interview questions. This path covers key topics such as data modelling, relational database design, SQL, transaction management, and emerging database technologies.</t>
        </is>
      </c>
      <c r="D862" s="2" t="inlineStr">
        <is>
          <t>Module 3: Relational Database Design - Functional Dependencies and Normal Forms</t>
        </is>
      </c>
      <c r="E862" s="2" t="n">
        <v>59</v>
      </c>
      <c r="F862" s="2" t="inlineStr">
        <is>
          <t>Normal Form - 1NF</t>
        </is>
      </c>
      <c r="G862" s="2" t="inlineStr">
        <is>
          <t>PPREPCS58</t>
        </is>
      </c>
      <c r="H862" s="2" t="inlineStr"/>
      <c r="I862" s="2" t="inlineStr">
        <is>
          <t>Easy</t>
        </is>
      </c>
      <c r="J862" s="3">
        <f>HYPERLINK("https://www.codechef.com/problems/PPREPCS58", "https://www.codechef.com/problems/PPREPCS58")</f>
        <v/>
      </c>
      <c r="K862" s="2" t="inlineStr"/>
      <c r="L862" s="2" t="inlineStr"/>
      <c r="M862" s="2" t="inlineStr"/>
      <c r="N862" s="2" t="inlineStr">
        <is>
          <t>No</t>
        </is>
      </c>
      <c r="O862" s="2" t="inlineStr">
        <is>
          <t>Unattempted</t>
        </is>
      </c>
    </row>
    <row r="863">
      <c r="A863" s="4" t="inlineStr">
        <is>
          <t>Interview Questions</t>
        </is>
      </c>
      <c r="B863" s="4" t="inlineStr">
        <is>
          <t>Top DBMS Interview Questions</t>
        </is>
      </c>
      <c r="C863" s="4" t="inlineStr">
        <is>
          <t>Prepare for DBMS interviews with more than 92 interview questions. This path covers key topics such as data modelling, relational database design, SQL, transaction management, and emerging database technologies.</t>
        </is>
      </c>
      <c r="D863" s="4" t="inlineStr">
        <is>
          <t>Module 3: Relational Database Design - Functional Dependencies and Normal Forms</t>
        </is>
      </c>
      <c r="E863" s="4" t="n">
        <v>60</v>
      </c>
      <c r="F863" s="4" t="inlineStr">
        <is>
          <t>Normal Form - 2NF</t>
        </is>
      </c>
      <c r="G863" s="4" t="inlineStr">
        <is>
          <t>PPREPCS59</t>
        </is>
      </c>
      <c r="H863" s="4" t="inlineStr"/>
      <c r="I863" s="4" t="inlineStr">
        <is>
          <t>Medium</t>
        </is>
      </c>
      <c r="J863" s="5">
        <f>HYPERLINK("https://www.codechef.com/problems/PPREPCS59", "https://www.codechef.com/problems/PPREPCS59")</f>
        <v/>
      </c>
      <c r="K863" s="4" t="inlineStr"/>
      <c r="L863" s="4" t="inlineStr"/>
      <c r="M863" s="4" t="inlineStr"/>
      <c r="N863" s="4" t="inlineStr">
        <is>
          <t>No</t>
        </is>
      </c>
      <c r="O863" s="4" t="inlineStr">
        <is>
          <t>Unattempted</t>
        </is>
      </c>
    </row>
    <row r="864">
      <c r="A864" s="2" t="inlineStr">
        <is>
          <t>Interview Questions</t>
        </is>
      </c>
      <c r="B864" s="2" t="inlineStr">
        <is>
          <t>Top DBMS Interview Questions</t>
        </is>
      </c>
      <c r="C864" s="2" t="inlineStr">
        <is>
          <t>Prepare for DBMS interviews with more than 92 interview questions. This path covers key topics such as data modelling, relational database design, SQL, transaction management, and emerging database technologies.</t>
        </is>
      </c>
      <c r="D864" s="2" t="inlineStr">
        <is>
          <t>Module 3: Relational Database Design - Functional Dependencies and Normal Forms</t>
        </is>
      </c>
      <c r="E864" s="2" t="n">
        <v>61</v>
      </c>
      <c r="F864" s="2" t="inlineStr">
        <is>
          <t>Normal Form - 3NF</t>
        </is>
      </c>
      <c r="G864" s="2" t="inlineStr">
        <is>
          <t>PPREPCS60</t>
        </is>
      </c>
      <c r="H864" s="2" t="inlineStr"/>
      <c r="I864" s="2" t="inlineStr">
        <is>
          <t>Medium</t>
        </is>
      </c>
      <c r="J864" s="3">
        <f>HYPERLINK("https://www.codechef.com/problems/PPREPCS60", "https://www.codechef.com/problems/PPREPCS60")</f>
        <v/>
      </c>
      <c r="K864" s="2" t="inlineStr"/>
      <c r="L864" s="2" t="inlineStr"/>
      <c r="M864" s="2" t="inlineStr"/>
      <c r="N864" s="2" t="inlineStr">
        <is>
          <t>No</t>
        </is>
      </c>
      <c r="O864" s="2" t="inlineStr">
        <is>
          <t>Unattempted</t>
        </is>
      </c>
    </row>
    <row r="865">
      <c r="A865" s="4" t="inlineStr">
        <is>
          <t>Interview Questions</t>
        </is>
      </c>
      <c r="B865" s="4" t="inlineStr">
        <is>
          <t>Top DBMS Interview Questions</t>
        </is>
      </c>
      <c r="C865" s="4" t="inlineStr">
        <is>
          <t>Prepare for DBMS interviews with more than 92 interview questions. This path covers key topics such as data modelling, relational database design, SQL, transaction management, and emerging database technologies.</t>
        </is>
      </c>
      <c r="D865" s="4" t="inlineStr">
        <is>
          <t>Module 3: Relational Database Design - Functional Dependencies and Normal Forms</t>
        </is>
      </c>
      <c r="E865" s="4" t="n">
        <v>62</v>
      </c>
      <c r="F865" s="4" t="inlineStr">
        <is>
          <t>Normal Form - BCNF</t>
        </is>
      </c>
      <c r="G865" s="4" t="inlineStr">
        <is>
          <t>PPREPCS61</t>
        </is>
      </c>
      <c r="H865" s="4" t="inlineStr"/>
      <c r="I865" s="4" t="inlineStr">
        <is>
          <t>Hard</t>
        </is>
      </c>
      <c r="J865" s="5">
        <f>HYPERLINK("https://www.codechef.com/problems/PPREPCS61", "https://www.codechef.com/problems/PPREPCS61")</f>
        <v/>
      </c>
      <c r="K865" s="4" t="inlineStr"/>
      <c r="L865" s="4" t="inlineStr"/>
      <c r="M865" s="4" t="inlineStr"/>
      <c r="N865" s="4" t="inlineStr">
        <is>
          <t>No</t>
        </is>
      </c>
      <c r="O865" s="4" t="inlineStr">
        <is>
          <t>Unattempted</t>
        </is>
      </c>
    </row>
    <row r="866">
      <c r="A866" s="2" t="inlineStr">
        <is>
          <t>Interview Questions</t>
        </is>
      </c>
      <c r="B866" s="2" t="inlineStr">
        <is>
          <t>Top DBMS Interview Questions</t>
        </is>
      </c>
      <c r="C866" s="2" t="inlineStr">
        <is>
          <t>Prepare for DBMS interviews with more than 92 interview questions. This path covers key topics such as data modelling, relational database design, SQL, transaction management, and emerging database technologies.</t>
        </is>
      </c>
      <c r="D866" s="2" t="inlineStr">
        <is>
          <t>Module 3: Relational Database Design - Functional Dependencies and Normal Forms</t>
        </is>
      </c>
      <c r="E866" s="2" t="n">
        <v>63</v>
      </c>
      <c r="F866" s="2" t="inlineStr">
        <is>
          <t>Normal Form - 4NF</t>
        </is>
      </c>
      <c r="G866" s="2" t="inlineStr">
        <is>
          <t>PPREPCS62</t>
        </is>
      </c>
      <c r="H866" s="2" t="inlineStr"/>
      <c r="I866" s="2" t="inlineStr">
        <is>
          <t>Hard</t>
        </is>
      </c>
      <c r="J866" s="3">
        <f>HYPERLINK("https://www.codechef.com/problems/PPREPCS62", "https://www.codechef.com/problems/PPREPCS62")</f>
        <v/>
      </c>
      <c r="K866" s="2" t="inlineStr"/>
      <c r="L866" s="2" t="inlineStr"/>
      <c r="M866" s="2" t="inlineStr"/>
      <c r="N866" s="2" t="inlineStr">
        <is>
          <t>No</t>
        </is>
      </c>
      <c r="O866" s="2" t="inlineStr">
        <is>
          <t>Unattempted</t>
        </is>
      </c>
    </row>
    <row r="867">
      <c r="A867" s="4" t="inlineStr">
        <is>
          <t>Interview Questions</t>
        </is>
      </c>
      <c r="B867" s="4" t="inlineStr">
        <is>
          <t>Top DBMS Interview Questions</t>
        </is>
      </c>
      <c r="C867" s="4" t="inlineStr">
        <is>
          <t>Prepare for DBMS interviews with more than 92 interview questions. This path covers key topics such as data modelling, relational database design, SQL, transaction management, and emerging database technologies.</t>
        </is>
      </c>
      <c r="D867" s="4" t="inlineStr">
        <is>
          <t>Module 3: Relational Database Design - Functional Dependencies and Normal Forms</t>
        </is>
      </c>
      <c r="E867" s="4" t="n">
        <v>64</v>
      </c>
      <c r="F867" s="4" t="inlineStr">
        <is>
          <t>Normal form - 5NF</t>
        </is>
      </c>
      <c r="G867" s="4" t="inlineStr">
        <is>
          <t>PPREPCS63</t>
        </is>
      </c>
      <c r="H867" s="4" t="inlineStr"/>
      <c r="I867" s="4" t="inlineStr">
        <is>
          <t>Hard</t>
        </is>
      </c>
      <c r="J867" s="5">
        <f>HYPERLINK("https://www.codechef.com/problems/PPREPCS63", "https://www.codechef.com/problems/PPREPCS63")</f>
        <v/>
      </c>
      <c r="K867" s="4" t="inlineStr"/>
      <c r="L867" s="4" t="inlineStr"/>
      <c r="M867" s="4" t="inlineStr"/>
      <c r="N867" s="4" t="inlineStr">
        <is>
          <t>No</t>
        </is>
      </c>
      <c r="O867" s="4" t="inlineStr">
        <is>
          <t>Unattempted</t>
        </is>
      </c>
    </row>
    <row r="868">
      <c r="A868" s="2" t="inlineStr">
        <is>
          <t>Interview Questions</t>
        </is>
      </c>
      <c r="B868" s="2" t="inlineStr">
        <is>
          <t>Top DBMS Interview Questions</t>
        </is>
      </c>
      <c r="C868" s="2" t="inlineStr">
        <is>
          <t>Prepare for DBMS interviews with more than 92 interview questions. This path covers key topics such as data modelling, relational database design, SQL, transaction management, and emerging database technologies.</t>
        </is>
      </c>
      <c r="D868" s="2" t="inlineStr">
        <is>
          <t>Module 3: Relational Database Design - Quiz: Relational database design: Concepts</t>
        </is>
      </c>
      <c r="E868" s="2" t="n">
        <v>65</v>
      </c>
      <c r="F868" s="2" t="inlineStr">
        <is>
          <t>Relational Database Degree Definition - GATE MCQ</t>
        </is>
      </c>
      <c r="G868" s="2" t="inlineStr">
        <is>
          <t>PPREPCS64</t>
        </is>
      </c>
      <c r="H868" s="2" t="inlineStr"/>
      <c r="I868" s="2" t="inlineStr">
        <is>
          <t>Easy</t>
        </is>
      </c>
      <c r="J868" s="3">
        <f>HYPERLINK("https://www.codechef.com/problems/PPREPCS64", "https://www.codechef.com/problems/PPREPCS64")</f>
        <v/>
      </c>
      <c r="K868" s="2" t="inlineStr"/>
      <c r="L868" s="2" t="inlineStr"/>
      <c r="M868" s="2" t="inlineStr"/>
      <c r="N868" s="2" t="inlineStr">
        <is>
          <t>No</t>
        </is>
      </c>
      <c r="O868" s="2" t="inlineStr">
        <is>
          <t>Unattempted</t>
        </is>
      </c>
    </row>
    <row r="869">
      <c r="A869" s="4" t="inlineStr">
        <is>
          <t>Interview Questions</t>
        </is>
      </c>
      <c r="B869" s="4" t="inlineStr">
        <is>
          <t>Top DBMS Interview Questions</t>
        </is>
      </c>
      <c r="C869" s="4" t="inlineStr">
        <is>
          <t>Prepare for DBMS interviews with more than 92 interview questions. This path covers key topics such as data modelling, relational database design, SQL, transaction management, and emerging database technologies.</t>
        </is>
      </c>
      <c r="D869" s="4" t="inlineStr">
        <is>
          <t>Module 3: Relational Database Design - Quiz: Relational database design: Concepts</t>
        </is>
      </c>
      <c r="E869" s="4" t="n">
        <v>66</v>
      </c>
      <c r="F869" s="4" t="inlineStr">
        <is>
          <t>Understanding Prime Attributes - GATE MCQ</t>
        </is>
      </c>
      <c r="G869" s="4" t="inlineStr">
        <is>
          <t>PPREPCS65</t>
        </is>
      </c>
      <c r="H869" s="4" t="inlineStr"/>
      <c r="I869" s="4" t="inlineStr">
        <is>
          <t>Medium</t>
        </is>
      </c>
      <c r="J869" s="5">
        <f>HYPERLINK("https://www.codechef.com/problems/PPREPCS65", "https://www.codechef.com/problems/PPREPCS65")</f>
        <v/>
      </c>
      <c r="K869" s="4" t="inlineStr"/>
      <c r="L869" s="4" t="inlineStr"/>
      <c r="M869" s="4" t="inlineStr"/>
      <c r="N869" s="4" t="inlineStr">
        <is>
          <t>No</t>
        </is>
      </c>
      <c r="O869" s="4" t="inlineStr">
        <is>
          <t>Unattempted</t>
        </is>
      </c>
    </row>
    <row r="870">
      <c r="A870" s="2" t="inlineStr">
        <is>
          <t>Interview Questions</t>
        </is>
      </c>
      <c r="B870" s="2" t="inlineStr">
        <is>
          <t>Top DBMS Interview Questions</t>
        </is>
      </c>
      <c r="C870" s="2" t="inlineStr">
        <is>
          <t>Prepare for DBMS interviews with more than 92 interview questions. This path covers key topics such as data modelling, relational database design, SQL, transaction management, and emerging database technologies.</t>
        </is>
      </c>
      <c r="D870" s="2" t="inlineStr">
        <is>
          <t>Module 3: Relational Database Design - Quiz: Relational database design: Concepts</t>
        </is>
      </c>
      <c r="E870" s="2" t="n">
        <v>67</v>
      </c>
      <c r="F870" s="2" t="inlineStr">
        <is>
          <t>Relational Algebra Join Size - GATE MCQ</t>
        </is>
      </c>
      <c r="G870" s="2" t="inlineStr">
        <is>
          <t>PPREPCS67</t>
        </is>
      </c>
      <c r="H870" s="2" t="inlineStr"/>
      <c r="I870" s="2" t="inlineStr">
        <is>
          <t>Medium</t>
        </is>
      </c>
      <c r="J870" s="3">
        <f>HYPERLINK("https://www.codechef.com/problems/PPREPCS67", "https://www.codechef.com/problems/PPREPCS67")</f>
        <v/>
      </c>
      <c r="K870" s="2" t="inlineStr"/>
      <c r="L870" s="2" t="inlineStr"/>
      <c r="M870" s="2" t="inlineStr"/>
      <c r="N870" s="2" t="inlineStr">
        <is>
          <t>No</t>
        </is>
      </c>
      <c r="O870" s="2" t="inlineStr">
        <is>
          <t>Unattempted</t>
        </is>
      </c>
    </row>
    <row r="871">
      <c r="A871" s="4" t="inlineStr">
        <is>
          <t>Interview Questions</t>
        </is>
      </c>
      <c r="B871" s="4" t="inlineStr">
        <is>
          <t>Top DBMS Interview Questions</t>
        </is>
      </c>
      <c r="C871" s="4" t="inlineStr">
        <is>
          <t>Prepare for DBMS interviews with more than 92 interview questions. This path covers key topics such as data modelling, relational database design, SQL, transaction management, and emerging database technologies.</t>
        </is>
      </c>
      <c r="D871" s="4" t="inlineStr">
        <is>
          <t>Module 3: Relational Database Design - Quiz: Relational database design: Concepts</t>
        </is>
      </c>
      <c r="E871" s="4" t="n">
        <v>68</v>
      </c>
      <c r="F871" s="4" t="inlineStr">
        <is>
          <t>Counting Superkeys in a Relation - GATE MCQ</t>
        </is>
      </c>
      <c r="G871" s="4" t="inlineStr">
        <is>
          <t>PPREPCS68</t>
        </is>
      </c>
      <c r="H871" s="4" t="inlineStr"/>
      <c r="I871" s="4" t="inlineStr">
        <is>
          <t>Medium</t>
        </is>
      </c>
      <c r="J871" s="5">
        <f>HYPERLINK("https://www.codechef.com/problems/PPREPCS68", "https://www.codechef.com/problems/PPREPCS68")</f>
        <v/>
      </c>
      <c r="K871" s="4" t="inlineStr"/>
      <c r="L871" s="4" t="inlineStr"/>
      <c r="M871" s="4" t="inlineStr"/>
      <c r="N871" s="4" t="inlineStr">
        <is>
          <t>No</t>
        </is>
      </c>
      <c r="O871" s="4" t="inlineStr">
        <is>
          <t>Unattempted</t>
        </is>
      </c>
    </row>
    <row r="872">
      <c r="A872" s="2" t="inlineStr">
        <is>
          <t>Interview Questions</t>
        </is>
      </c>
      <c r="B872" s="2" t="inlineStr">
        <is>
          <t>Top DBMS Interview Questions</t>
        </is>
      </c>
      <c r="C872" s="2" t="inlineStr">
        <is>
          <t>Prepare for DBMS interviews with more than 92 interview questions. This path covers key topics such as data modelling, relational database design, SQL, transaction management, and emerging database technologies.</t>
        </is>
      </c>
      <c r="D872" s="2" t="inlineStr">
        <is>
          <t>Module 3: Relational Database Design - Quiz: Relational database design: Concepts</t>
        </is>
      </c>
      <c r="E872" s="2" t="n">
        <v>69</v>
      </c>
      <c r="F872" s="2" t="inlineStr">
        <is>
          <t>DB Normalization Schema Comparison - GATE MCQ</t>
        </is>
      </c>
      <c r="G872" s="2" t="inlineStr">
        <is>
          <t>PPREPCS69</t>
        </is>
      </c>
      <c r="H872" s="2" t="inlineStr"/>
      <c r="I872" s="2" t="inlineStr">
        <is>
          <t>Hard</t>
        </is>
      </c>
      <c r="J872" s="3">
        <f>HYPERLINK("https://www.codechef.com/problems/PPREPCS69", "https://www.codechef.com/problems/PPREPCS69")</f>
        <v/>
      </c>
      <c r="K872" s="2" t="inlineStr"/>
      <c r="L872" s="2" t="inlineStr"/>
      <c r="M872" s="2" t="inlineStr"/>
      <c r="N872" s="2" t="inlineStr">
        <is>
          <t>No</t>
        </is>
      </c>
      <c r="O872" s="2" t="inlineStr">
        <is>
          <t>Unattempted</t>
        </is>
      </c>
    </row>
    <row r="873">
      <c r="A873" s="4" t="inlineStr">
        <is>
          <t>Interview Questions</t>
        </is>
      </c>
      <c r="B873" s="4" t="inlineStr">
        <is>
          <t>Top DBMS Interview Questions</t>
        </is>
      </c>
      <c r="C873" s="4" t="inlineStr">
        <is>
          <t>Prepare for DBMS interviews with more than 92 interview questions. This path covers key topics such as data modelling, relational database design, SQL, transaction management, and emerging database technologies.</t>
        </is>
      </c>
      <c r="D873" s="4" t="inlineStr">
        <is>
          <t>Module 3: Relational Database Design - Quiz: Relational database design: Concepts</t>
        </is>
      </c>
      <c r="E873" s="4" t="n">
        <v>70</v>
      </c>
      <c r="F873" s="4" t="inlineStr">
        <is>
          <t>Functional Dependency in BCNF - GATE MCQ</t>
        </is>
      </c>
      <c r="G873" s="4" t="inlineStr">
        <is>
          <t>PPREPCS70</t>
        </is>
      </c>
      <c r="H873" s="4" t="inlineStr"/>
      <c r="I873" s="4" t="inlineStr">
        <is>
          <t>Hard</t>
        </is>
      </c>
      <c r="J873" s="5">
        <f>HYPERLINK("https://www.codechef.com/problems/PPREPCS70", "https://www.codechef.com/problems/PPREPCS70")</f>
        <v/>
      </c>
      <c r="K873" s="4" t="inlineStr"/>
      <c r="L873" s="4" t="inlineStr"/>
      <c r="M873" s="4" t="inlineStr"/>
      <c r="N873" s="4" t="inlineStr">
        <is>
          <t>No</t>
        </is>
      </c>
      <c r="O873" s="4" t="inlineStr">
        <is>
          <t>Unattempted</t>
        </is>
      </c>
    </row>
    <row r="874">
      <c r="A874" s="2" t="inlineStr">
        <is>
          <t>Interview Questions</t>
        </is>
      </c>
      <c r="B874" s="2" t="inlineStr">
        <is>
          <t>Top DBMS Interview Questions</t>
        </is>
      </c>
      <c r="C874" s="2" t="inlineStr">
        <is>
          <t>Prepare for DBMS interviews with more than 92 interview questions. This path covers key topics such as data modelling, relational database design, SQL, transaction management, and emerging database technologies.</t>
        </is>
      </c>
      <c r="D874" s="2" t="inlineStr">
        <is>
          <t>Module 3: Relational Database Design - Quiz: Relational database design: Concepts</t>
        </is>
      </c>
      <c r="E874" s="2" t="n">
        <v>71</v>
      </c>
      <c r="F874" s="2" t="inlineStr">
        <is>
          <t>Interview Question on Relational Database Keys</t>
        </is>
      </c>
      <c r="G874" s="2" t="inlineStr">
        <is>
          <t>PPREPCS71</t>
        </is>
      </c>
      <c r="H874" s="2" t="inlineStr"/>
      <c r="I874" s="2" t="inlineStr">
        <is>
          <t>Easy</t>
        </is>
      </c>
      <c r="J874" s="3">
        <f>HYPERLINK("https://www.codechef.com/problems/PPREPCS71", "https://www.codechef.com/problems/PPREPCS71")</f>
        <v/>
      </c>
      <c r="K874" s="2" t="inlineStr"/>
      <c r="L874" s="2" t="inlineStr"/>
      <c r="M874" s="2" t="inlineStr"/>
      <c r="N874" s="2" t="inlineStr">
        <is>
          <t>No</t>
        </is>
      </c>
      <c r="O874" s="2" t="inlineStr">
        <is>
          <t>Unattempted</t>
        </is>
      </c>
    </row>
    <row r="875">
      <c r="A875" s="4" t="inlineStr">
        <is>
          <t>Interview Questions</t>
        </is>
      </c>
      <c r="B875" s="4" t="inlineStr">
        <is>
          <t>Top DBMS Interview Questions</t>
        </is>
      </c>
      <c r="C875" s="4" t="inlineStr">
        <is>
          <t>Prepare for DBMS interviews with more than 92 interview questions. This path covers key topics such as data modelling, relational database design, SQL, transaction management, and emerging database technologies.</t>
        </is>
      </c>
      <c r="D875" s="4" t="inlineStr">
        <is>
          <t>Module 3: Relational Database Design - Quiz: Relational database design: Concepts</t>
        </is>
      </c>
      <c r="E875" s="4" t="n">
        <v>72</v>
      </c>
      <c r="F875" s="4" t="inlineStr">
        <is>
          <t>Interview Question on Database Anomalies</t>
        </is>
      </c>
      <c r="G875" s="4" t="inlineStr">
        <is>
          <t>PPREPCS72</t>
        </is>
      </c>
      <c r="H875" s="4" t="inlineStr"/>
      <c r="I875" s="4" t="inlineStr">
        <is>
          <t>Medium</t>
        </is>
      </c>
      <c r="J875" s="5">
        <f>HYPERLINK("https://www.codechef.com/problems/PPREPCS72", "https://www.codechef.com/problems/PPREPCS72")</f>
        <v/>
      </c>
      <c r="K875" s="4" t="inlineStr"/>
      <c r="L875" s="4" t="inlineStr"/>
      <c r="M875" s="4" t="inlineStr"/>
      <c r="N875" s="4" t="inlineStr">
        <is>
          <t>No</t>
        </is>
      </c>
      <c r="O875" s="4" t="inlineStr">
        <is>
          <t>Unattempted</t>
        </is>
      </c>
    </row>
    <row r="876">
      <c r="A876" s="2" t="inlineStr">
        <is>
          <t>Interview Questions</t>
        </is>
      </c>
      <c r="B876" s="2" t="inlineStr">
        <is>
          <t>Top DBMS Interview Questions</t>
        </is>
      </c>
      <c r="C876" s="2" t="inlineStr">
        <is>
          <t>Prepare for DBMS interviews with more than 92 interview questions. This path covers key topics such as data modelling, relational database design, SQL, transaction management, and emerging database technologies.</t>
        </is>
      </c>
      <c r="D876" s="2" t="inlineStr">
        <is>
          <t>Module 3: Relational Database Design - Quiz: Relational database design: Concepts</t>
        </is>
      </c>
      <c r="E876" s="2" t="n">
        <v>73</v>
      </c>
      <c r="F876" s="2" t="inlineStr">
        <is>
          <t>Interview Question on  Differences in DBMS Keys</t>
        </is>
      </c>
      <c r="G876" s="2" t="inlineStr">
        <is>
          <t>PPREPCS73</t>
        </is>
      </c>
      <c r="H876" s="2" t="inlineStr"/>
      <c r="I876" s="2" t="inlineStr">
        <is>
          <t>Easy</t>
        </is>
      </c>
      <c r="J876" s="3">
        <f>HYPERLINK("https://www.codechef.com/problems/PPREPCS73", "https://www.codechef.com/problems/PPREPCS73")</f>
        <v/>
      </c>
      <c r="K876" s="2" t="inlineStr"/>
      <c r="L876" s="2" t="inlineStr"/>
      <c r="M876" s="2" t="inlineStr"/>
      <c r="N876" s="2" t="inlineStr">
        <is>
          <t>No</t>
        </is>
      </c>
      <c r="O876" s="2" t="inlineStr">
        <is>
          <t>Unattempted</t>
        </is>
      </c>
    </row>
    <row r="877">
      <c r="A877" s="4" t="inlineStr">
        <is>
          <t>Interview Questions</t>
        </is>
      </c>
      <c r="B877" s="4" t="inlineStr">
        <is>
          <t>Top DBMS Interview Questions</t>
        </is>
      </c>
      <c r="C877" s="4" t="inlineStr">
        <is>
          <t>Prepare for DBMS interviews with more than 92 interview questions. This path covers key topics such as data modelling, relational database design, SQL, transaction management, and emerging database technologies.</t>
        </is>
      </c>
      <c r="D877" s="4" t="inlineStr">
        <is>
          <t>Module 4: SQL - SQL Fundamentals Part 1</t>
        </is>
      </c>
      <c r="E877" s="4" t="n">
        <v>74</v>
      </c>
      <c r="F877" s="4" t="inlineStr">
        <is>
          <t>Introduction to SQL (Structured Query Language)</t>
        </is>
      </c>
      <c r="G877" s="4" t="inlineStr">
        <is>
          <t>PPREPCS74</t>
        </is>
      </c>
      <c r="H877" s="4" t="inlineStr"/>
      <c r="I877" s="4" t="inlineStr">
        <is>
          <t>Easy</t>
        </is>
      </c>
      <c r="J877" s="5">
        <f>HYPERLINK("https://www.codechef.com/problems/PPREPCS74", "https://www.codechef.com/problems/PPREPCS74")</f>
        <v/>
      </c>
      <c r="K877" s="4" t="inlineStr"/>
      <c r="L877" s="4" t="inlineStr"/>
      <c r="M877" s="4" t="inlineStr"/>
      <c r="N877" s="4" t="inlineStr">
        <is>
          <t>No</t>
        </is>
      </c>
      <c r="O877" s="4" t="inlineStr">
        <is>
          <t>Unattempted</t>
        </is>
      </c>
    </row>
    <row r="878">
      <c r="A878" s="2" t="inlineStr">
        <is>
          <t>Interview Questions</t>
        </is>
      </c>
      <c r="B878" s="2" t="inlineStr">
        <is>
          <t>Top DBMS Interview Questions</t>
        </is>
      </c>
      <c r="C878" s="2" t="inlineStr">
        <is>
          <t>Prepare for DBMS interviews with more than 92 interview questions. This path covers key topics such as data modelling, relational database design, SQL, transaction management, and emerging database technologies.</t>
        </is>
      </c>
      <c r="D878" s="2" t="inlineStr">
        <is>
          <t>Module 4: SQL - SQL Fundamentals Part 1</t>
        </is>
      </c>
      <c r="E878" s="2" t="n">
        <v>75</v>
      </c>
      <c r="F878" s="2" t="inlineStr">
        <is>
          <t>Basic SQL commands-SELECT, INSERT, UPDATE, DELETE</t>
        </is>
      </c>
      <c r="G878" s="2" t="inlineStr">
        <is>
          <t>PPREPCS75</t>
        </is>
      </c>
      <c r="H878" s="2" t="inlineStr"/>
      <c r="I878" s="2" t="inlineStr">
        <is>
          <t>Easy</t>
        </is>
      </c>
      <c r="J878" s="3">
        <f>HYPERLINK("https://www.codechef.com/problems/PPREPCS75", "https://www.codechef.com/problems/PPREPCS75")</f>
        <v/>
      </c>
      <c r="K878" s="2" t="inlineStr"/>
      <c r="L878" s="2" t="inlineStr"/>
      <c r="M878" s="2" t="inlineStr"/>
      <c r="N878" s="2" t="inlineStr">
        <is>
          <t>No</t>
        </is>
      </c>
      <c r="O878" s="2" t="inlineStr">
        <is>
          <t>Unattempted</t>
        </is>
      </c>
    </row>
    <row r="879">
      <c r="A879" s="4" t="inlineStr">
        <is>
          <t>Interview Questions</t>
        </is>
      </c>
      <c r="B879" s="4" t="inlineStr">
        <is>
          <t>Top DBMS Interview Questions</t>
        </is>
      </c>
      <c r="C879" s="4" t="inlineStr">
        <is>
          <t>Prepare for DBMS interviews with more than 92 interview questions. This path covers key topics such as data modelling, relational database design, SQL, transaction management, and emerging database technologies.</t>
        </is>
      </c>
      <c r="D879" s="4" t="inlineStr">
        <is>
          <t>Module 4: SQL - SQL Fundamentals Part 1</t>
        </is>
      </c>
      <c r="E879" s="4" t="n">
        <v>76</v>
      </c>
      <c r="F879" s="4" t="inlineStr">
        <is>
          <t>Examples for Basic SQL Commands</t>
        </is>
      </c>
      <c r="G879" s="4" t="inlineStr">
        <is>
          <t>PPREPCS76</t>
        </is>
      </c>
      <c r="H879" s="4" t="inlineStr"/>
      <c r="I879" s="4" t="inlineStr">
        <is>
          <t>Easy</t>
        </is>
      </c>
      <c r="J879" s="5">
        <f>HYPERLINK("https://www.codechef.com/problems/PPREPCS76", "https://www.codechef.com/problems/PPREPCS76")</f>
        <v/>
      </c>
      <c r="K879" s="4" t="inlineStr"/>
      <c r="L879" s="4" t="inlineStr"/>
      <c r="M879" s="4" t="inlineStr"/>
      <c r="N879" s="4" t="inlineStr">
        <is>
          <t>No</t>
        </is>
      </c>
      <c r="O879" s="4" t="inlineStr">
        <is>
          <t>Unattempted</t>
        </is>
      </c>
    </row>
    <row r="880">
      <c r="A880" s="2" t="inlineStr">
        <is>
          <t>Interview Questions</t>
        </is>
      </c>
      <c r="B880" s="2" t="inlineStr">
        <is>
          <t>Top DBMS Interview Questions</t>
        </is>
      </c>
      <c r="C880" s="2" t="inlineStr">
        <is>
          <t>Prepare for DBMS interviews with more than 92 interview questions. This path covers key topics such as data modelling, relational database design, SQL, transaction management, and emerging database technologies.</t>
        </is>
      </c>
      <c r="D880" s="2" t="inlineStr">
        <is>
          <t>Module 4: SQL - SQL Fundamentals Part 1</t>
        </is>
      </c>
      <c r="E880" s="2" t="n">
        <v>77</v>
      </c>
      <c r="F880" s="2" t="inlineStr">
        <is>
          <t>SQL Query for Age Filter - MCQ</t>
        </is>
      </c>
      <c r="G880" s="2" t="inlineStr">
        <is>
          <t>PPREPCS77</t>
        </is>
      </c>
      <c r="H880" s="2" t="inlineStr"/>
      <c r="I880" s="2" t="inlineStr">
        <is>
          <t>Easy</t>
        </is>
      </c>
      <c r="J880" s="3">
        <f>HYPERLINK("https://www.codechef.com/problems/PPREPCS77", "https://www.codechef.com/problems/PPREPCS77")</f>
        <v/>
      </c>
      <c r="K880" s="2" t="inlineStr"/>
      <c r="L880" s="2" t="inlineStr"/>
      <c r="M880" s="2" t="inlineStr"/>
      <c r="N880" s="2" t="inlineStr">
        <is>
          <t>No</t>
        </is>
      </c>
      <c r="O880" s="2" t="inlineStr">
        <is>
          <t>Unattempted</t>
        </is>
      </c>
    </row>
    <row r="881">
      <c r="A881" s="4" t="inlineStr">
        <is>
          <t>Interview Questions</t>
        </is>
      </c>
      <c r="B881" s="4" t="inlineStr">
        <is>
          <t>Top DBMS Interview Questions</t>
        </is>
      </c>
      <c r="C881" s="4" t="inlineStr">
        <is>
          <t>Prepare for DBMS interviews with more than 92 interview questions. This path covers key topics such as data modelling, relational database design, SQL, transaction management, and emerging database technologies.</t>
        </is>
      </c>
      <c r="D881" s="4" t="inlineStr">
        <is>
          <t>Module 4: SQL - SQL Fundamentals Part 1</t>
        </is>
      </c>
      <c r="E881" s="4" t="n">
        <v>78</v>
      </c>
      <c r="F881" s="4" t="inlineStr">
        <is>
          <t>SQL Delete Query Syntax - MCQ</t>
        </is>
      </c>
      <c r="G881" s="4" t="inlineStr">
        <is>
          <t>PPREPCS78</t>
        </is>
      </c>
      <c r="H881" s="4" t="inlineStr"/>
      <c r="I881" s="4" t="inlineStr">
        <is>
          <t>Easy</t>
        </is>
      </c>
      <c r="J881" s="5">
        <f>HYPERLINK("https://www.codechef.com/problems/PPREPCS78", "https://www.codechef.com/problems/PPREPCS78")</f>
        <v/>
      </c>
      <c r="K881" s="4" t="inlineStr"/>
      <c r="L881" s="4" t="inlineStr"/>
      <c r="M881" s="4" t="inlineStr"/>
      <c r="N881" s="4" t="inlineStr">
        <is>
          <t>No</t>
        </is>
      </c>
      <c r="O881" s="4" t="inlineStr">
        <is>
          <t>Unattempted</t>
        </is>
      </c>
    </row>
    <row r="882">
      <c r="A882" s="2" t="inlineStr">
        <is>
          <t>Interview Questions</t>
        </is>
      </c>
      <c r="B882" s="2" t="inlineStr">
        <is>
          <t>Top DBMS Interview Questions</t>
        </is>
      </c>
      <c r="C882" s="2" t="inlineStr">
        <is>
          <t>Prepare for DBMS interviews with more than 92 interview questions. This path covers key topics such as data modelling, relational database design, SQL, transaction management, and emerging database technologies.</t>
        </is>
      </c>
      <c r="D882" s="2" t="inlineStr">
        <is>
          <t>Module 4: SQL - SQL Fundamentals Part 1</t>
        </is>
      </c>
      <c r="E882" s="2" t="n">
        <v>79</v>
      </c>
      <c r="F882" s="2" t="inlineStr">
        <is>
          <t>Retrieving data from a single table (FILTER, SORT)</t>
        </is>
      </c>
      <c r="G882" s="2" t="inlineStr">
        <is>
          <t>PPREPCS79</t>
        </is>
      </c>
      <c r="H882" s="2" t="inlineStr"/>
      <c r="I882" s="2" t="inlineStr">
        <is>
          <t>Easy</t>
        </is>
      </c>
      <c r="J882" s="3">
        <f>HYPERLINK("https://www.codechef.com/problems/PPREPCS79", "https://www.codechef.com/problems/PPREPCS79")</f>
        <v/>
      </c>
      <c r="K882" s="2" t="inlineStr"/>
      <c r="L882" s="2" t="inlineStr"/>
      <c r="M882" s="2" t="inlineStr"/>
      <c r="N882" s="2" t="inlineStr">
        <is>
          <t>No</t>
        </is>
      </c>
      <c r="O882" s="2" t="inlineStr">
        <is>
          <t>Unattempted</t>
        </is>
      </c>
    </row>
    <row r="883">
      <c r="A883" s="4" t="inlineStr">
        <is>
          <t>Interview Questions</t>
        </is>
      </c>
      <c r="B883" s="4" t="inlineStr">
        <is>
          <t>Top DBMS Interview Questions</t>
        </is>
      </c>
      <c r="C883" s="4" t="inlineStr">
        <is>
          <t>Prepare for DBMS interviews with more than 92 interview questions. This path covers key topics such as data modelling, relational database design, SQL, transaction management, and emerging database technologies.</t>
        </is>
      </c>
      <c r="D883" s="4" t="inlineStr">
        <is>
          <t>Module 4: SQL - SQL Fundamentals Part 1</t>
        </is>
      </c>
      <c r="E883" s="4" t="n">
        <v>80</v>
      </c>
      <c r="F883" s="4" t="inlineStr">
        <is>
          <t>Example for FILTER and SORT operations</t>
        </is>
      </c>
      <c r="G883" s="4" t="inlineStr">
        <is>
          <t>PPREPCS80</t>
        </is>
      </c>
      <c r="H883" s="4" t="inlineStr"/>
      <c r="I883" s="4" t="inlineStr">
        <is>
          <t>Easy</t>
        </is>
      </c>
      <c r="J883" s="5">
        <f>HYPERLINK("https://www.codechef.com/problems/PPREPCS80", "https://www.codechef.com/problems/PPREPCS80")</f>
        <v/>
      </c>
      <c r="K883" s="4" t="inlineStr"/>
      <c r="L883" s="4" t="inlineStr"/>
      <c r="M883" s="4" t="inlineStr"/>
      <c r="N883" s="4" t="inlineStr">
        <is>
          <t>No</t>
        </is>
      </c>
      <c r="O883" s="4" t="inlineStr">
        <is>
          <t>Unattempted</t>
        </is>
      </c>
    </row>
    <row r="884">
      <c r="A884" s="2" t="inlineStr">
        <is>
          <t>Interview Questions</t>
        </is>
      </c>
      <c r="B884" s="2" t="inlineStr">
        <is>
          <t>Top DBMS Interview Questions</t>
        </is>
      </c>
      <c r="C884" s="2" t="inlineStr">
        <is>
          <t>Prepare for DBMS interviews with more than 92 interview questions. This path covers key topics such as data modelling, relational database design, SQL, transaction management, and emerging database technologies.</t>
        </is>
      </c>
      <c r="D884" s="2" t="inlineStr">
        <is>
          <t>Module 4: SQL - SQL Fundamentals Part 1</t>
        </is>
      </c>
      <c r="E884" s="2" t="n">
        <v>81</v>
      </c>
      <c r="F884" s="2" t="inlineStr">
        <is>
          <t>SQL Query on Retrieve and Sort Books - MCQ</t>
        </is>
      </c>
      <c r="G884" s="2" t="inlineStr">
        <is>
          <t>PPREPCS80A</t>
        </is>
      </c>
      <c r="H884" s="2" t="inlineStr"/>
      <c r="I884" s="2" t="inlineStr">
        <is>
          <t>Easy</t>
        </is>
      </c>
      <c r="J884" s="3">
        <f>HYPERLINK("https://www.codechef.com/problems/PPREPCS80A", "https://www.codechef.com/problems/PPREPCS80A")</f>
        <v/>
      </c>
      <c r="K884" s="2" t="inlineStr"/>
      <c r="L884" s="2" t="inlineStr"/>
      <c r="M884" s="2" t="inlineStr"/>
      <c r="N884" s="2" t="inlineStr">
        <is>
          <t>No</t>
        </is>
      </c>
      <c r="O884" s="2" t="inlineStr">
        <is>
          <t>Unattempted</t>
        </is>
      </c>
    </row>
    <row r="885">
      <c r="A885" s="4" t="inlineStr">
        <is>
          <t>Interview Questions</t>
        </is>
      </c>
      <c r="B885" s="4" t="inlineStr">
        <is>
          <t>Top DBMS Interview Questions</t>
        </is>
      </c>
      <c r="C885" s="4" t="inlineStr">
        <is>
          <t>Prepare for DBMS interviews with more than 92 interview questions. This path covers key topics such as data modelling, relational database design, SQL, transaction management, and emerging database technologies.</t>
        </is>
      </c>
      <c r="D885" s="4" t="inlineStr">
        <is>
          <t>Module 4: SQL - SQL Fundamentals Part 1</t>
        </is>
      </c>
      <c r="E885" s="4" t="n">
        <v>82</v>
      </c>
      <c r="F885" s="4" t="inlineStr">
        <is>
          <t>JOINS in SQL - MCQ</t>
        </is>
      </c>
      <c r="G885" s="4" t="inlineStr">
        <is>
          <t>PPREPCS81</t>
        </is>
      </c>
      <c r="H885" s="4" t="inlineStr"/>
      <c r="I885" s="4" t="inlineStr">
        <is>
          <t>Easy</t>
        </is>
      </c>
      <c r="J885" s="5">
        <f>HYPERLINK("https://www.codechef.com/problems/PPREPCS81", "https://www.codechef.com/problems/PPREPCS81")</f>
        <v/>
      </c>
      <c r="K885" s="4" t="inlineStr"/>
      <c r="L885" s="4" t="inlineStr"/>
      <c r="M885" s="4" t="inlineStr"/>
      <c r="N885" s="4" t="inlineStr">
        <is>
          <t>No</t>
        </is>
      </c>
      <c r="O885" s="4" t="inlineStr">
        <is>
          <t>Unattempted</t>
        </is>
      </c>
    </row>
    <row r="886">
      <c r="A886" s="2" t="inlineStr">
        <is>
          <t>Interview Questions</t>
        </is>
      </c>
      <c r="B886" s="2" t="inlineStr">
        <is>
          <t>Top DBMS Interview Questions</t>
        </is>
      </c>
      <c r="C886" s="2" t="inlineStr">
        <is>
          <t>Prepare for DBMS interviews with more than 92 interview questions. This path covers key topics such as data modelling, relational database design, SQL, transaction management, and emerging database technologies.</t>
        </is>
      </c>
      <c r="D886" s="2" t="inlineStr">
        <is>
          <t>Module 4: SQL - SQL Fundamentals Part 1</t>
        </is>
      </c>
      <c r="E886" s="2" t="n">
        <v>83</v>
      </c>
      <c r="F886" s="2" t="inlineStr">
        <is>
          <t>Types of SQL Joins - MCQ</t>
        </is>
      </c>
      <c r="G886" s="2" t="inlineStr">
        <is>
          <t>PPREPCS82</t>
        </is>
      </c>
      <c r="H886" s="2" t="inlineStr"/>
      <c r="I886" s="2" t="inlineStr">
        <is>
          <t>Easy</t>
        </is>
      </c>
      <c r="J886" s="3">
        <f>HYPERLINK("https://www.codechef.com/problems/PPREPCS82", "https://www.codechef.com/problems/PPREPCS82")</f>
        <v/>
      </c>
      <c r="K886" s="2" t="inlineStr"/>
      <c r="L886" s="2" t="inlineStr"/>
      <c r="M886" s="2" t="inlineStr"/>
      <c r="N886" s="2" t="inlineStr">
        <is>
          <t>No</t>
        </is>
      </c>
      <c r="O886" s="2" t="inlineStr">
        <is>
          <t>Unattempted</t>
        </is>
      </c>
    </row>
    <row r="887">
      <c r="A887" s="4" t="inlineStr">
        <is>
          <t>Interview Questions</t>
        </is>
      </c>
      <c r="B887" s="4" t="inlineStr">
        <is>
          <t>Top DBMS Interview Questions</t>
        </is>
      </c>
      <c r="C887" s="4" t="inlineStr">
        <is>
          <t>Prepare for DBMS interviews with more than 92 interview questions. This path covers key topics such as data modelling, relational database design, SQL, transaction management, and emerging database technologies.</t>
        </is>
      </c>
      <c r="D887" s="4" t="inlineStr">
        <is>
          <t>Module 4: SQL - SQL Fundamentals Part 1</t>
        </is>
      </c>
      <c r="E887" s="4" t="n">
        <v>84</v>
      </c>
      <c r="F887" s="4" t="inlineStr">
        <is>
          <t>SQL LIKE Operator Query</t>
        </is>
      </c>
      <c r="G887" s="4" t="inlineStr">
        <is>
          <t>PPREPCS83</t>
        </is>
      </c>
      <c r="H887" s="4" t="inlineStr"/>
      <c r="I887" s="4" t="inlineStr">
        <is>
          <t>Easy</t>
        </is>
      </c>
      <c r="J887" s="5">
        <f>HYPERLINK("https://www.codechef.com/problems/PPREPCS83", "https://www.codechef.com/problems/PPREPCS83")</f>
        <v/>
      </c>
      <c r="K887" s="4" t="inlineStr"/>
      <c r="L887" s="4" t="inlineStr"/>
      <c r="M887" s="4" t="inlineStr"/>
      <c r="N887" s="4" t="inlineStr">
        <is>
          <t>No</t>
        </is>
      </c>
      <c r="O887" s="4" t="inlineStr">
        <is>
          <t>Unattempted</t>
        </is>
      </c>
    </row>
    <row r="888">
      <c r="A888" s="2" t="inlineStr">
        <is>
          <t>Interview Questions</t>
        </is>
      </c>
      <c r="B888" s="2" t="inlineStr">
        <is>
          <t>Top DBMS Interview Questions</t>
        </is>
      </c>
      <c r="C888" s="2" t="inlineStr">
        <is>
          <t>Prepare for DBMS interviews with more than 92 interview questions. This path covers key topics such as data modelling, relational database design, SQL, transaction management, and emerging database technologies.</t>
        </is>
      </c>
      <c r="D888" s="2" t="inlineStr">
        <is>
          <t>Module 4: SQL - SQL Fundamentals Part 1</t>
        </is>
      </c>
      <c r="E888" s="2" t="n">
        <v>85</v>
      </c>
      <c r="F888" s="2" t="inlineStr">
        <is>
          <t>Subqueries and complex queries</t>
        </is>
      </c>
      <c r="G888" s="2" t="inlineStr">
        <is>
          <t>PPREPCS84</t>
        </is>
      </c>
      <c r="H888" s="2" t="inlineStr"/>
      <c r="I888" s="2" t="inlineStr">
        <is>
          <t>Medium</t>
        </is>
      </c>
      <c r="J888" s="3">
        <f>HYPERLINK("https://www.codechef.com/problems/PPREPCS84", "https://www.codechef.com/problems/PPREPCS84")</f>
        <v/>
      </c>
      <c r="K888" s="2" t="inlineStr"/>
      <c r="L888" s="2" t="inlineStr"/>
      <c r="M888" s="2" t="inlineStr"/>
      <c r="N888" s="2" t="inlineStr">
        <is>
          <t>No</t>
        </is>
      </c>
      <c r="O888" s="2" t="inlineStr">
        <is>
          <t>Unattempted</t>
        </is>
      </c>
    </row>
    <row r="889">
      <c r="A889" s="4" t="inlineStr">
        <is>
          <t>Interview Questions</t>
        </is>
      </c>
      <c r="B889" s="4" t="inlineStr">
        <is>
          <t>Top DBMS Interview Questions</t>
        </is>
      </c>
      <c r="C889" s="4" t="inlineStr">
        <is>
          <t>Prepare for DBMS interviews with more than 92 interview questions. This path covers key topics such as data modelling, relational database design, SQL, transaction management, and emerging database technologies.</t>
        </is>
      </c>
      <c r="D889" s="4" t="inlineStr">
        <is>
          <t>Module 4: SQL - SQL Fundamentals Part 1</t>
        </is>
      </c>
      <c r="E889" s="4" t="n">
        <v>86</v>
      </c>
      <c r="F889" s="4" t="inlineStr">
        <is>
          <t>Employee Salary Query Selection - MCQ</t>
        </is>
      </c>
      <c r="G889" s="4" t="inlineStr">
        <is>
          <t>PPREPCS85</t>
        </is>
      </c>
      <c r="H889" s="4" t="inlineStr"/>
      <c r="I889" s="4" t="inlineStr">
        <is>
          <t>Easy</t>
        </is>
      </c>
      <c r="J889" s="5">
        <f>HYPERLINK("https://www.codechef.com/problems/PPREPCS85", "https://www.codechef.com/problems/PPREPCS85")</f>
        <v/>
      </c>
      <c r="K889" s="4" t="inlineStr"/>
      <c r="L889" s="4" t="inlineStr"/>
      <c r="M889" s="4" t="inlineStr"/>
      <c r="N889" s="4" t="inlineStr">
        <is>
          <t>No</t>
        </is>
      </c>
      <c r="O889" s="4" t="inlineStr">
        <is>
          <t>Unattempted</t>
        </is>
      </c>
    </row>
    <row r="890">
      <c r="A890" s="2" t="inlineStr">
        <is>
          <t>Interview Questions</t>
        </is>
      </c>
      <c r="B890" s="2" t="inlineStr">
        <is>
          <t>Top DBMS Interview Questions</t>
        </is>
      </c>
      <c r="C890" s="2" t="inlineStr">
        <is>
          <t>Prepare for DBMS interviews with more than 92 interview questions. This path covers key topics such as data modelling, relational database design, SQL, transaction management, and emerging database technologies.</t>
        </is>
      </c>
      <c r="D890" s="2" t="inlineStr">
        <is>
          <t>Module 4: SQL - Quiz: SQL fundamentals</t>
        </is>
      </c>
      <c r="E890" s="2" t="n">
        <v>87</v>
      </c>
      <c r="F890" s="2" t="inlineStr">
        <is>
          <t>SQL Query Tuple Count - MCQ</t>
        </is>
      </c>
      <c r="G890" s="2" t="inlineStr">
        <is>
          <t>PPREPCS86</t>
        </is>
      </c>
      <c r="H890" s="2" t="inlineStr"/>
      <c r="I890" s="2" t="inlineStr">
        <is>
          <t>Medium</t>
        </is>
      </c>
      <c r="J890" s="3">
        <f>HYPERLINK("https://www.codechef.com/problems/PPREPCS86", "https://www.codechef.com/problems/PPREPCS86")</f>
        <v/>
      </c>
      <c r="K890" s="2" t="inlineStr"/>
      <c r="L890" s="2" t="inlineStr"/>
      <c r="M890" s="2" t="inlineStr"/>
      <c r="N890" s="2" t="inlineStr">
        <is>
          <t>No</t>
        </is>
      </c>
      <c r="O890" s="2" t="inlineStr">
        <is>
          <t>Unattempted</t>
        </is>
      </c>
    </row>
    <row r="891">
      <c r="A891" s="4" t="inlineStr">
        <is>
          <t>Interview Questions</t>
        </is>
      </c>
      <c r="B891" s="4" t="inlineStr">
        <is>
          <t>Top DBMS Interview Questions</t>
        </is>
      </c>
      <c r="C891" s="4" t="inlineStr">
        <is>
          <t>Prepare for DBMS interviews with more than 92 interview questions. This path covers key topics such as data modelling, relational database design, SQL, transaction management, and emerging database technologies.</t>
        </is>
      </c>
      <c r="D891" s="4" t="inlineStr">
        <is>
          <t>Module 4: SQL - Quiz: SQL fundamentals</t>
        </is>
      </c>
      <c r="E891" s="4" t="n">
        <v>88</v>
      </c>
      <c r="F891" s="4" t="inlineStr">
        <is>
          <t>SQL Query Upper Case Alias - MCQ</t>
        </is>
      </c>
      <c r="G891" s="4" t="inlineStr">
        <is>
          <t>PPREPCS87</t>
        </is>
      </c>
      <c r="H891" s="4" t="inlineStr"/>
      <c r="I891" s="4" t="inlineStr">
        <is>
          <t>Easy</t>
        </is>
      </c>
      <c r="J891" s="5">
        <f>HYPERLINK("https://www.codechef.com/problems/PPREPCS87", "https://www.codechef.com/problems/PPREPCS87")</f>
        <v/>
      </c>
      <c r="K891" s="4" t="inlineStr"/>
      <c r="L891" s="4" t="inlineStr"/>
      <c r="M891" s="4" t="inlineStr"/>
      <c r="N891" s="4" t="inlineStr">
        <is>
          <t>No</t>
        </is>
      </c>
      <c r="O891" s="4" t="inlineStr">
        <is>
          <t>Unattempted</t>
        </is>
      </c>
    </row>
    <row r="892">
      <c r="A892" s="2" t="inlineStr">
        <is>
          <t>Interview Questions</t>
        </is>
      </c>
      <c r="B892" s="2" t="inlineStr">
        <is>
          <t>Top DBMS Interview Questions</t>
        </is>
      </c>
      <c r="C892" s="2" t="inlineStr">
        <is>
          <t>Prepare for DBMS interviews with more than 92 interview questions. This path covers key topics such as data modelling, relational database design, SQL, transaction management, and emerging database technologies.</t>
        </is>
      </c>
      <c r="D892" s="2" t="inlineStr">
        <is>
          <t>Module 4: SQL - Quiz: SQL fundamentals</t>
        </is>
      </c>
      <c r="E892" s="2" t="n">
        <v>89</v>
      </c>
      <c r="F892" s="2" t="inlineStr">
        <is>
          <t>SQL Query for Name Matching - MCQ</t>
        </is>
      </c>
      <c r="G892" s="2" t="inlineStr">
        <is>
          <t>PPREPCS88</t>
        </is>
      </c>
      <c r="H892" s="2" t="inlineStr"/>
      <c r="I892" s="2" t="inlineStr">
        <is>
          <t>Easy</t>
        </is>
      </c>
      <c r="J892" s="3">
        <f>HYPERLINK("https://www.codechef.com/problems/PPREPCS88", "https://www.codechef.com/problems/PPREPCS88")</f>
        <v/>
      </c>
      <c r="K892" s="2" t="inlineStr"/>
      <c r="L892" s="2" t="inlineStr"/>
      <c r="M892" s="2" t="inlineStr"/>
      <c r="N892" s="2" t="inlineStr">
        <is>
          <t>No</t>
        </is>
      </c>
      <c r="O892" s="2" t="inlineStr">
        <is>
          <t>Unattempted</t>
        </is>
      </c>
    </row>
    <row r="893">
      <c r="A893" s="4" t="inlineStr">
        <is>
          <t>Interview Questions</t>
        </is>
      </c>
      <c r="B893" s="4" t="inlineStr">
        <is>
          <t>Top DBMS Interview Questions</t>
        </is>
      </c>
      <c r="C893" s="4" t="inlineStr">
        <is>
          <t>Prepare for DBMS interviews with more than 92 interview questions. This path covers key topics such as data modelling, relational database design, SQL, transaction management, and emerging database technologies.</t>
        </is>
      </c>
      <c r="D893" s="4" t="inlineStr">
        <is>
          <t>Module 4: SQL - Quiz: SQL fundamentals</t>
        </is>
      </c>
      <c r="E893" s="4" t="n">
        <v>90</v>
      </c>
      <c r="F893" s="4" t="inlineStr">
        <is>
          <t>Ordering SQL Query - MCQ</t>
        </is>
      </c>
      <c r="G893" s="4" t="inlineStr">
        <is>
          <t>PPREPCS89</t>
        </is>
      </c>
      <c r="H893" s="4" t="inlineStr"/>
      <c r="I893" s="4" t="inlineStr">
        <is>
          <t>Easy</t>
        </is>
      </c>
      <c r="J893" s="5">
        <f>HYPERLINK("https://www.codechef.com/problems/PPREPCS89", "https://www.codechef.com/problems/PPREPCS89")</f>
        <v/>
      </c>
      <c r="K893" s="4" t="inlineStr"/>
      <c r="L893" s="4" t="inlineStr"/>
      <c r="M893" s="4" t="inlineStr"/>
      <c r="N893" s="4" t="inlineStr">
        <is>
          <t>No</t>
        </is>
      </c>
      <c r="O893" s="4" t="inlineStr">
        <is>
          <t>Unattempted</t>
        </is>
      </c>
    </row>
    <row r="894">
      <c r="A894" s="2" t="inlineStr">
        <is>
          <t>Interview Questions</t>
        </is>
      </c>
      <c r="B894" s="2" t="inlineStr">
        <is>
          <t>Top DBMS Interview Questions</t>
        </is>
      </c>
      <c r="C894" s="2" t="inlineStr">
        <is>
          <t>Prepare for DBMS interviews with more than 92 interview questions. This path covers key topics such as data modelling, relational database design, SQL, transaction management, and emerging database technologies.</t>
        </is>
      </c>
      <c r="D894" s="2" t="inlineStr">
        <is>
          <t>Module 4: SQL - Quiz: SQL fundamentals</t>
        </is>
      </c>
      <c r="E894" s="2" t="n">
        <v>91</v>
      </c>
      <c r="F894" s="2" t="inlineStr">
        <is>
          <t>Retrieve Duplicates</t>
        </is>
      </c>
      <c r="G894" s="2" t="inlineStr">
        <is>
          <t>PPREPCS90</t>
        </is>
      </c>
      <c r="H894" s="2" t="inlineStr"/>
      <c r="I894" s="2" t="inlineStr">
        <is>
          <t>Easy</t>
        </is>
      </c>
      <c r="J894" s="3">
        <f>HYPERLINK("https://www.codechef.com/problems/PPREPCS90", "https://www.codechef.com/problems/PPREPCS90")</f>
        <v/>
      </c>
      <c r="K894" s="2" t="inlineStr"/>
      <c r="L894" s="2" t="inlineStr"/>
      <c r="M894" s="2" t="inlineStr"/>
      <c r="N894" s="2" t="inlineStr">
        <is>
          <t>No</t>
        </is>
      </c>
      <c r="O894" s="2" t="inlineStr">
        <is>
          <t>Unattempted</t>
        </is>
      </c>
    </row>
    <row r="895">
      <c r="A895" s="4" t="inlineStr">
        <is>
          <t>Interview Questions</t>
        </is>
      </c>
      <c r="B895" s="4" t="inlineStr">
        <is>
          <t>Top DBMS Interview Questions</t>
        </is>
      </c>
      <c r="C895" s="4" t="inlineStr">
        <is>
          <t>Prepare for DBMS interviews with more than 92 interview questions. This path covers key topics such as data modelling, relational database design, SQL, transaction management, and emerging database technologies.</t>
        </is>
      </c>
      <c r="D895" s="4" t="inlineStr">
        <is>
          <t>Module 4: SQL - Quiz: SQL fundamentals</t>
        </is>
      </c>
      <c r="E895" s="4" t="n">
        <v>92</v>
      </c>
      <c r="F895" s="4" t="inlineStr">
        <is>
          <t>Finding Third-Highest Salary - The TOP Keyword</t>
        </is>
      </c>
      <c r="G895" s="4" t="inlineStr">
        <is>
          <t>PPREPCS91</t>
        </is>
      </c>
      <c r="H895" s="4" t="inlineStr"/>
      <c r="I895" s="4" t="inlineStr">
        <is>
          <t>Medium</t>
        </is>
      </c>
      <c r="J895" s="5">
        <f>HYPERLINK("https://www.codechef.com/problems/PPREPCS91", "https://www.codechef.com/problems/PPREPCS91")</f>
        <v/>
      </c>
      <c r="K895" s="4" t="inlineStr"/>
      <c r="L895" s="4" t="inlineStr"/>
      <c r="M895" s="4" t="inlineStr"/>
      <c r="N895" s="4" t="inlineStr">
        <is>
          <t>No</t>
        </is>
      </c>
      <c r="O895" s="4" t="inlineStr">
        <is>
          <t>Unattempted</t>
        </is>
      </c>
    </row>
    <row r="896">
      <c r="A896" s="2" t="inlineStr">
        <is>
          <t>Interview Questions</t>
        </is>
      </c>
      <c r="B896" s="2" t="inlineStr">
        <is>
          <t>Top DBMS Interview Questions</t>
        </is>
      </c>
      <c r="C896" s="2" t="inlineStr">
        <is>
          <t>Prepare for DBMS interviews with more than 92 interview questions. This path covers key topics such as data modelling, relational database design, SQL, transaction management, and emerging database technologies.</t>
        </is>
      </c>
      <c r="D896" s="2" t="inlineStr">
        <is>
          <t>Module 4: SQL - Quiz: SQL fundamentals</t>
        </is>
      </c>
      <c r="E896" s="2" t="n">
        <v>93</v>
      </c>
      <c r="F896" s="2" t="inlineStr">
        <is>
          <t>Employee Salaries by Position - MCQ</t>
        </is>
      </c>
      <c r="G896" s="2" t="inlineStr">
        <is>
          <t>PPREPCS92</t>
        </is>
      </c>
      <c r="H896" s="2" t="inlineStr"/>
      <c r="I896" s="2" t="inlineStr">
        <is>
          <t>Easy</t>
        </is>
      </c>
      <c r="J896" s="3">
        <f>HYPERLINK("https://www.codechef.com/problems/PPREPCS92", "https://www.codechef.com/problems/PPREPCS92")</f>
        <v/>
      </c>
      <c r="K896" s="2" t="inlineStr"/>
      <c r="L896" s="2" t="inlineStr"/>
      <c r="M896" s="2" t="inlineStr"/>
      <c r="N896" s="2" t="inlineStr">
        <is>
          <t>No</t>
        </is>
      </c>
      <c r="O896" s="2" t="inlineStr">
        <is>
          <t>Unattempted</t>
        </is>
      </c>
    </row>
    <row r="897">
      <c r="A897" s="4" t="inlineStr">
        <is>
          <t>Interview Questions</t>
        </is>
      </c>
      <c r="B897" s="4" t="inlineStr">
        <is>
          <t>Top DBMS Interview Questions</t>
        </is>
      </c>
      <c r="C897" s="4" t="inlineStr">
        <is>
          <t>Prepare for DBMS interviews with more than 92 interview questions. This path covers key topics such as data modelling, relational database design, SQL, transaction management, and emerging database technologies.</t>
        </is>
      </c>
      <c r="D897" s="4" t="inlineStr">
        <is>
          <t>Module 4: SQL - Quiz: SQL fundamentals</t>
        </is>
      </c>
      <c r="E897" s="4" t="n">
        <v>94</v>
      </c>
      <c r="F897" s="4" t="inlineStr">
        <is>
          <t>SQL Query on Train Reservations - GATE MCQ</t>
        </is>
      </c>
      <c r="G897" s="4" t="inlineStr">
        <is>
          <t>PPREPCS93</t>
        </is>
      </c>
      <c r="H897" s="4" t="inlineStr"/>
      <c r="I897" s="4" t="inlineStr">
        <is>
          <t>Medium</t>
        </is>
      </c>
      <c r="J897" s="5">
        <f>HYPERLINK("https://www.codechef.com/problems/PPREPCS93", "https://www.codechef.com/problems/PPREPCS93")</f>
        <v/>
      </c>
      <c r="K897" s="4" t="inlineStr"/>
      <c r="L897" s="4" t="inlineStr"/>
      <c r="M897" s="4" t="inlineStr"/>
      <c r="N897" s="4" t="inlineStr">
        <is>
          <t>No</t>
        </is>
      </c>
      <c r="O897" s="4" t="inlineStr">
        <is>
          <t>Unattempted</t>
        </is>
      </c>
    </row>
    <row r="898">
      <c r="A898" s="2" t="inlineStr">
        <is>
          <t>Interview Questions</t>
        </is>
      </c>
      <c r="B898" s="2" t="inlineStr">
        <is>
          <t>Top DBMS Interview Questions</t>
        </is>
      </c>
      <c r="C898" s="2" t="inlineStr">
        <is>
          <t>Prepare for DBMS interviews with more than 92 interview questions. This path covers key topics such as data modelling, relational database design, SQL, transaction management, and emerging database technologies.</t>
        </is>
      </c>
      <c r="D898" s="2" t="inlineStr">
        <is>
          <t>Module 4: SQL - Quiz: SQL fundamentals</t>
        </is>
      </c>
      <c r="E898" s="2" t="n">
        <v>95</v>
      </c>
      <c r="F898" s="2" t="inlineStr">
        <is>
          <t>SQL Query Comparison - GATE MCQ</t>
        </is>
      </c>
      <c r="G898" s="2" t="inlineStr">
        <is>
          <t>PPREPCS94</t>
        </is>
      </c>
      <c r="H898" s="2" t="inlineStr"/>
      <c r="I898" s="2" t="inlineStr">
        <is>
          <t>Hard</t>
        </is>
      </c>
      <c r="J898" s="3">
        <f>HYPERLINK("https://www.codechef.com/problems/PPREPCS94", "https://www.codechef.com/problems/PPREPCS94")</f>
        <v/>
      </c>
      <c r="K898" s="2" t="inlineStr"/>
      <c r="L898" s="2" t="inlineStr"/>
      <c r="M898" s="2" t="inlineStr"/>
      <c r="N898" s="2" t="inlineStr">
        <is>
          <t>No</t>
        </is>
      </c>
      <c r="O898" s="2" t="inlineStr">
        <is>
          <t>Unattempted</t>
        </is>
      </c>
    </row>
    <row r="899">
      <c r="A899" s="4" t="inlineStr">
        <is>
          <t>Interview Questions</t>
        </is>
      </c>
      <c r="B899" s="4" t="inlineStr">
        <is>
          <t>Top DBMS Interview Questions</t>
        </is>
      </c>
      <c r="C899" s="4" t="inlineStr">
        <is>
          <t>Prepare for DBMS interviews with more than 92 interview questions. This path covers key topics such as data modelling, relational database design, SQL, transaction management, and emerging database technologies.</t>
        </is>
      </c>
      <c r="D899" s="4" t="inlineStr">
        <is>
          <t>Module 4: SQL - Quiz: SQL fundamentals</t>
        </is>
      </c>
      <c r="E899" s="4" t="n">
        <v>96</v>
      </c>
      <c r="F899" s="4" t="inlineStr">
        <is>
          <t>Count Tuples - GATE MCQ</t>
        </is>
      </c>
      <c r="G899" s="4" t="inlineStr">
        <is>
          <t>PPREPCS95</t>
        </is>
      </c>
      <c r="H899" s="4" t="inlineStr"/>
      <c r="I899" s="4" t="inlineStr">
        <is>
          <t>Easy</t>
        </is>
      </c>
      <c r="J899" s="5">
        <f>HYPERLINK("https://www.codechef.com/problems/PPREPCS95", "https://www.codechef.com/problems/PPREPCS95")</f>
        <v/>
      </c>
      <c r="K899" s="4" t="inlineStr"/>
      <c r="L899" s="4" t="inlineStr"/>
      <c r="M899" s="4" t="inlineStr"/>
      <c r="N899" s="4" t="inlineStr">
        <is>
          <t>No</t>
        </is>
      </c>
      <c r="O899" s="4" t="inlineStr">
        <is>
          <t>Unattempted</t>
        </is>
      </c>
    </row>
    <row r="900">
      <c r="A900" s="2" t="inlineStr">
        <is>
          <t>Interview Questions</t>
        </is>
      </c>
      <c r="B900" s="2" t="inlineStr">
        <is>
          <t>Top DBMS Interview Questions</t>
        </is>
      </c>
      <c r="C900" s="2" t="inlineStr">
        <is>
          <t>Prepare for DBMS interviews with more than 92 interview questions. This path covers key topics such as data modelling, relational database design, SQL, transaction management, and emerging database technologies.</t>
        </is>
      </c>
      <c r="D900" s="2" t="inlineStr">
        <is>
          <t>Module 5: Transactions and Concurrency Control - Transactions and Concurrency Control</t>
        </is>
      </c>
      <c r="E900" s="2" t="n">
        <v>97</v>
      </c>
      <c r="F900" s="2" t="inlineStr">
        <is>
          <t>What is Transaction in DBMS</t>
        </is>
      </c>
      <c r="G900" s="2" t="inlineStr">
        <is>
          <t>PPREPCS96</t>
        </is>
      </c>
      <c r="H900" s="2" t="inlineStr"/>
      <c r="I900" s="2" t="inlineStr">
        <is>
          <t>Easy</t>
        </is>
      </c>
      <c r="J900" s="3">
        <f>HYPERLINK("https://www.codechef.com/problems/PPREPCS96", "https://www.codechef.com/problems/PPREPCS96")</f>
        <v/>
      </c>
      <c r="K900" s="2" t="inlineStr"/>
      <c r="L900" s="2" t="inlineStr"/>
      <c r="M900" s="2" t="inlineStr"/>
      <c r="N900" s="2" t="inlineStr">
        <is>
          <t>No</t>
        </is>
      </c>
      <c r="O900" s="2" t="inlineStr">
        <is>
          <t>Unattempted</t>
        </is>
      </c>
    </row>
    <row r="901">
      <c r="A901" s="4" t="inlineStr">
        <is>
          <t>Interview Questions</t>
        </is>
      </c>
      <c r="B901" s="4" t="inlineStr">
        <is>
          <t>Top DBMS Interview Questions</t>
        </is>
      </c>
      <c r="C901" s="4" t="inlineStr">
        <is>
          <t>Prepare for DBMS interviews with more than 92 interview questions. This path covers key topics such as data modelling, relational database design, SQL, transaction management, and emerging database technologies.</t>
        </is>
      </c>
      <c r="D901" s="4" t="inlineStr">
        <is>
          <t>Module 5: Transactions and Concurrency Control - Transactions and Concurrency Control</t>
        </is>
      </c>
      <c r="E901" s="4" t="n">
        <v>98</v>
      </c>
      <c r="F901" s="4" t="inlineStr">
        <is>
          <t>ACID Properties in DBMS</t>
        </is>
      </c>
      <c r="G901" s="4" t="inlineStr">
        <is>
          <t>PPREPCS97</t>
        </is>
      </c>
      <c r="H901" s="4" t="inlineStr"/>
      <c r="I901" s="4" t="inlineStr">
        <is>
          <t>Easy</t>
        </is>
      </c>
      <c r="J901" s="5">
        <f>HYPERLINK("https://www.codechef.com/problems/PPREPCS97", "https://www.codechef.com/problems/PPREPCS97")</f>
        <v/>
      </c>
      <c r="K901" s="4" t="inlineStr"/>
      <c r="L901" s="4" t="inlineStr"/>
      <c r="M901" s="4" t="inlineStr"/>
      <c r="N901" s="4" t="inlineStr">
        <is>
          <t>No</t>
        </is>
      </c>
      <c r="O901" s="4" t="inlineStr">
        <is>
          <t>Unattempted</t>
        </is>
      </c>
    </row>
    <row r="902">
      <c r="A902" s="2" t="inlineStr">
        <is>
          <t>Interview Questions</t>
        </is>
      </c>
      <c r="B902" s="2" t="inlineStr">
        <is>
          <t>Top DBMS Interview Questions</t>
        </is>
      </c>
      <c r="C902" s="2" t="inlineStr">
        <is>
          <t>Prepare for DBMS interviews with more than 92 interview questions. This path covers key topics such as data modelling, relational database design, SQL, transaction management, and emerging database technologies.</t>
        </is>
      </c>
      <c r="D902" s="2" t="inlineStr">
        <is>
          <t>Module 5: Transactions and Concurrency Control - Transactions and Concurrency Control</t>
        </is>
      </c>
      <c r="E902" s="2" t="n">
        <v>99</v>
      </c>
      <c r="F902" s="2" t="inlineStr">
        <is>
          <t>Schedule in DBMS</t>
        </is>
      </c>
      <c r="G902" s="2" t="inlineStr">
        <is>
          <t>PPREPCS98</t>
        </is>
      </c>
      <c r="H902" s="2" t="inlineStr"/>
      <c r="I902" s="2" t="inlineStr">
        <is>
          <t>Medium</t>
        </is>
      </c>
      <c r="J902" s="3">
        <f>HYPERLINK("https://www.codechef.com/problems/PPREPCS98", "https://www.codechef.com/problems/PPREPCS98")</f>
        <v/>
      </c>
      <c r="K902" s="2" t="inlineStr"/>
      <c r="L902" s="2" t="inlineStr"/>
      <c r="M902" s="2" t="inlineStr"/>
      <c r="N902" s="2" t="inlineStr">
        <is>
          <t>No</t>
        </is>
      </c>
      <c r="O902" s="2" t="inlineStr">
        <is>
          <t>Unattempted</t>
        </is>
      </c>
    </row>
    <row r="903">
      <c r="A903" s="4" t="inlineStr">
        <is>
          <t>Interview Questions</t>
        </is>
      </c>
      <c r="B903" s="4" t="inlineStr">
        <is>
          <t>Top DBMS Interview Questions</t>
        </is>
      </c>
      <c r="C903" s="4" t="inlineStr">
        <is>
          <t>Prepare for DBMS interviews with more than 92 interview questions. This path covers key topics such as data modelling, relational database design, SQL, transaction management, and emerging database technologies.</t>
        </is>
      </c>
      <c r="D903" s="4" t="inlineStr">
        <is>
          <t>Module 5: Transactions and Concurrency Control - Transactions and Concurrency Control</t>
        </is>
      </c>
      <c r="E903" s="4" t="n">
        <v>100</v>
      </c>
      <c r="F903" s="4" t="inlineStr">
        <is>
          <t>Interview Questions on DBMS Concepts</t>
        </is>
      </c>
      <c r="G903" s="4" t="inlineStr">
        <is>
          <t>PPREPCS99</t>
        </is>
      </c>
      <c r="H903" s="4" t="inlineStr"/>
      <c r="I903" s="4" t="inlineStr">
        <is>
          <t>Easy</t>
        </is>
      </c>
      <c r="J903" s="5">
        <f>HYPERLINK("https://www.codechef.com/problems/PPREPCS99", "https://www.codechef.com/problems/PPREPCS99")</f>
        <v/>
      </c>
      <c r="K903" s="4" t="inlineStr"/>
      <c r="L903" s="4" t="inlineStr"/>
      <c r="M903" s="4" t="inlineStr"/>
      <c r="N903" s="4" t="inlineStr">
        <is>
          <t>No</t>
        </is>
      </c>
      <c r="O903" s="4" t="inlineStr">
        <is>
          <t>Unattempted</t>
        </is>
      </c>
    </row>
    <row r="904">
      <c r="A904" s="2" t="inlineStr">
        <is>
          <t>Interview Questions</t>
        </is>
      </c>
      <c r="B904" s="2" t="inlineStr">
        <is>
          <t>Top DBMS Interview Questions</t>
        </is>
      </c>
      <c r="C904" s="2" t="inlineStr">
        <is>
          <t>Prepare for DBMS interviews with more than 92 interview questions. This path covers key topics such as data modelling, relational database design, SQL, transaction management, and emerging database technologies.</t>
        </is>
      </c>
      <c r="D904" s="2" t="inlineStr">
        <is>
          <t>Module 5: Transactions and Concurrency Control - Transactions and Concurrency Control</t>
        </is>
      </c>
      <c r="E904" s="2" t="n">
        <v>101</v>
      </c>
      <c r="F904" s="2" t="inlineStr">
        <is>
          <t>Serializability in DBMS</t>
        </is>
      </c>
      <c r="G904" s="2" t="inlineStr">
        <is>
          <t>PPREPCS100</t>
        </is>
      </c>
      <c r="H904" s="2" t="inlineStr"/>
      <c r="I904" s="2" t="inlineStr">
        <is>
          <t>Hard</t>
        </is>
      </c>
      <c r="J904" s="3">
        <f>HYPERLINK("https://www.codechef.com/problems/PPREPCS100", "https://www.codechef.com/problems/PPREPCS100")</f>
        <v/>
      </c>
      <c r="K904" s="2" t="inlineStr"/>
      <c r="L904" s="2" t="inlineStr"/>
      <c r="M904" s="2" t="inlineStr"/>
      <c r="N904" s="2" t="inlineStr">
        <is>
          <t>No</t>
        </is>
      </c>
      <c r="O904" s="2" t="inlineStr">
        <is>
          <t>Unattempted</t>
        </is>
      </c>
    </row>
    <row r="905">
      <c r="A905" s="4" t="inlineStr">
        <is>
          <t>Interview Questions</t>
        </is>
      </c>
      <c r="B905" s="4" t="inlineStr">
        <is>
          <t>Top DBMS Interview Questions</t>
        </is>
      </c>
      <c r="C905" s="4" t="inlineStr">
        <is>
          <t>Prepare for DBMS interviews with more than 92 interview questions. This path covers key topics such as data modelling, relational database design, SQL, transaction management, and emerging database technologies.</t>
        </is>
      </c>
      <c r="D905" s="4" t="inlineStr">
        <is>
          <t>Module 5: Transactions and Concurrency Control - Transactions and Concurrency Control</t>
        </is>
      </c>
      <c r="E905" s="4" t="n">
        <v>102</v>
      </c>
      <c r="F905" s="4" t="inlineStr">
        <is>
          <t>Recoverability in DBMS</t>
        </is>
      </c>
      <c r="G905" s="4" t="inlineStr">
        <is>
          <t>PPREPCS101</t>
        </is>
      </c>
      <c r="H905" s="4" t="inlineStr"/>
      <c r="I905" s="4" t="inlineStr">
        <is>
          <t>Medium</t>
        </is>
      </c>
      <c r="J905" s="5">
        <f>HYPERLINK("https://www.codechef.com/problems/PPREPCS101", "https://www.codechef.com/problems/PPREPCS101")</f>
        <v/>
      </c>
      <c r="K905" s="4" t="inlineStr"/>
      <c r="L905" s="4" t="inlineStr"/>
      <c r="M905" s="4" t="inlineStr"/>
      <c r="N905" s="4" t="inlineStr">
        <is>
          <t>No</t>
        </is>
      </c>
      <c r="O905" s="4" t="inlineStr">
        <is>
          <t>Unattempted</t>
        </is>
      </c>
    </row>
    <row r="906">
      <c r="A906" s="2" t="inlineStr">
        <is>
          <t>Interview Questions</t>
        </is>
      </c>
      <c r="B906" s="2" t="inlineStr">
        <is>
          <t>Top DBMS Interview Questions</t>
        </is>
      </c>
      <c r="C906" s="2" t="inlineStr">
        <is>
          <t>Prepare for DBMS interviews with more than 92 interview questions. This path covers key topics such as data modelling, relational database design, SQL, transaction management, and emerging database technologies.</t>
        </is>
      </c>
      <c r="D906" s="2" t="inlineStr">
        <is>
          <t>Module 5: Transactions and Concurrency Control - Transactions and Concurrency Control</t>
        </is>
      </c>
      <c r="E906" s="2" t="n">
        <v>103</v>
      </c>
      <c r="F906" s="2" t="inlineStr">
        <is>
          <t>Deadlock in DBMS</t>
        </is>
      </c>
      <c r="G906" s="2" t="inlineStr">
        <is>
          <t>PPREPCS102</t>
        </is>
      </c>
      <c r="H906" s="2" t="inlineStr"/>
      <c r="I906" s="2" t="inlineStr">
        <is>
          <t>Hard</t>
        </is>
      </c>
      <c r="J906" s="3">
        <f>HYPERLINK("https://www.codechef.com/problems/PPREPCS102", "https://www.codechef.com/problems/PPREPCS102")</f>
        <v/>
      </c>
      <c r="K906" s="2" t="inlineStr"/>
      <c r="L906" s="2" t="inlineStr"/>
      <c r="M906" s="2" t="inlineStr"/>
      <c r="N906" s="2" t="inlineStr">
        <is>
          <t>No</t>
        </is>
      </c>
      <c r="O906" s="2" t="inlineStr">
        <is>
          <t>Unattempted</t>
        </is>
      </c>
    </row>
    <row r="907">
      <c r="A907" s="4" t="inlineStr">
        <is>
          <t>Interview Questions</t>
        </is>
      </c>
      <c r="B907" s="4" t="inlineStr">
        <is>
          <t>Top DBMS Interview Questions</t>
        </is>
      </c>
      <c r="C907" s="4" t="inlineStr">
        <is>
          <t>Prepare for DBMS interviews with more than 92 interview questions. This path covers key topics such as data modelling, relational database design, SQL, transaction management, and emerging database technologies.</t>
        </is>
      </c>
      <c r="D907" s="4" t="inlineStr">
        <is>
          <t>Module 5: Transactions and Concurrency Control - Transactions and Concurrency Control</t>
        </is>
      </c>
      <c r="E907" s="4" t="n">
        <v>104</v>
      </c>
      <c r="F907" s="4" t="inlineStr">
        <is>
          <t>Case Study</t>
        </is>
      </c>
      <c r="G907" s="4" t="inlineStr">
        <is>
          <t>PPREPCS103</t>
        </is>
      </c>
      <c r="H907" s="4" t="inlineStr"/>
      <c r="I907" s="4" t="inlineStr">
        <is>
          <t>Easy</t>
        </is>
      </c>
      <c r="J907" s="5">
        <f>HYPERLINK("https://www.codechef.com/problems/PPREPCS103", "https://www.codechef.com/problems/PPREPCS103")</f>
        <v/>
      </c>
      <c r="K907" s="4" t="inlineStr"/>
      <c r="L907" s="4" t="inlineStr"/>
      <c r="M907" s="4" t="inlineStr"/>
      <c r="N907" s="4" t="inlineStr">
        <is>
          <t>No</t>
        </is>
      </c>
      <c r="O907" s="4" t="inlineStr">
        <is>
          <t>Unattempted</t>
        </is>
      </c>
    </row>
    <row r="908">
      <c r="A908" s="2" t="inlineStr">
        <is>
          <t>Interview Questions</t>
        </is>
      </c>
      <c r="B908" s="2" t="inlineStr">
        <is>
          <t>Top DBMS Interview Questions</t>
        </is>
      </c>
      <c r="C908" s="2" t="inlineStr">
        <is>
          <t>Prepare for DBMS interviews with more than 92 interview questions. This path covers key topics such as data modelling, relational database design, SQL, transaction management, and emerging database technologies.</t>
        </is>
      </c>
      <c r="D908" s="2" t="inlineStr">
        <is>
          <t>Module 5: Transactions and Concurrency Control - Transactions and Concurrency Control</t>
        </is>
      </c>
      <c r="E908" s="2" t="n">
        <v>105</v>
      </c>
      <c r="F908" s="2" t="inlineStr">
        <is>
          <t>Concurrency Control in DBMS</t>
        </is>
      </c>
      <c r="G908" s="2" t="inlineStr">
        <is>
          <t>PPREPCS104</t>
        </is>
      </c>
      <c r="H908" s="2" t="inlineStr"/>
      <c r="I908" s="2" t="inlineStr">
        <is>
          <t>Hard</t>
        </is>
      </c>
      <c r="J908" s="3">
        <f>HYPERLINK("https://www.codechef.com/problems/PPREPCS104", "https://www.codechef.com/problems/PPREPCS104")</f>
        <v/>
      </c>
      <c r="K908" s="2" t="inlineStr"/>
      <c r="L908" s="2" t="inlineStr"/>
      <c r="M908" s="2" t="inlineStr"/>
      <c r="N908" s="2" t="inlineStr">
        <is>
          <t>No</t>
        </is>
      </c>
      <c r="O908" s="2" t="inlineStr">
        <is>
          <t>Unattempted</t>
        </is>
      </c>
    </row>
    <row r="909">
      <c r="A909" s="4" t="inlineStr">
        <is>
          <t>Interview Questions</t>
        </is>
      </c>
      <c r="B909" s="4" t="inlineStr">
        <is>
          <t>Top DBMS Interview Questions</t>
        </is>
      </c>
      <c r="C909" s="4" t="inlineStr">
        <is>
          <t>Prepare for DBMS interviews with more than 92 interview questions. This path covers key topics such as data modelling, relational database design, SQL, transaction management, and emerging database technologies.</t>
        </is>
      </c>
      <c r="D909" s="4" t="inlineStr">
        <is>
          <t>Module 5: Transactions and Concurrency Control - Transactions and Concurrency Control</t>
        </is>
      </c>
      <c r="E909" s="4" t="n">
        <v>106</v>
      </c>
      <c r="F909" s="4" t="inlineStr">
        <is>
          <t>Distributed Database System in DBMS</t>
        </is>
      </c>
      <c r="G909" s="4" t="inlineStr">
        <is>
          <t>PPREPCS105</t>
        </is>
      </c>
      <c r="H909" s="4" t="inlineStr"/>
      <c r="I909" s="4" t="inlineStr">
        <is>
          <t>Hard</t>
        </is>
      </c>
      <c r="J909" s="5">
        <f>HYPERLINK("https://www.codechef.com/problems/PPREPCS105", "https://www.codechef.com/problems/PPREPCS105")</f>
        <v/>
      </c>
      <c r="K909" s="4" t="inlineStr"/>
      <c r="L909" s="4" t="inlineStr"/>
      <c r="M909" s="4" t="inlineStr"/>
      <c r="N909" s="4" t="inlineStr">
        <is>
          <t>No</t>
        </is>
      </c>
      <c r="O909" s="4" t="inlineStr">
        <is>
          <t>Unattempted</t>
        </is>
      </c>
    </row>
    <row r="910">
      <c r="A910" s="2" t="inlineStr">
        <is>
          <t>Interview Questions</t>
        </is>
      </c>
      <c r="B910" s="2" t="inlineStr">
        <is>
          <t>Top DBMS Interview Questions</t>
        </is>
      </c>
      <c r="C910" s="2" t="inlineStr">
        <is>
          <t>Prepare for DBMS interviews with more than 92 interview questions. This path covers key topics such as data modelling, relational database design, SQL, transaction management, and emerging database technologies.</t>
        </is>
      </c>
      <c r="D910" s="2" t="inlineStr">
        <is>
          <t>Module 5: Transactions and Concurrency Control - Transactions and Concurrency Control</t>
        </is>
      </c>
      <c r="E910" s="2" t="n">
        <v>107</v>
      </c>
      <c r="F910" s="2" t="inlineStr">
        <is>
          <t>Query Processing in DBMS</t>
        </is>
      </c>
      <c r="G910" s="2" t="inlineStr">
        <is>
          <t>PPREPCS106</t>
        </is>
      </c>
      <c r="H910" s="2" t="inlineStr"/>
      <c r="I910" s="2" t="inlineStr">
        <is>
          <t>Medium</t>
        </is>
      </c>
      <c r="J910" s="3">
        <f>HYPERLINK("https://www.codechef.com/problems/PPREPCS106", "https://www.codechef.com/problems/PPREPCS106")</f>
        <v/>
      </c>
      <c r="K910" s="2" t="inlineStr"/>
      <c r="L910" s="2" t="inlineStr"/>
      <c r="M910" s="2" t="inlineStr"/>
      <c r="N910" s="2" t="inlineStr">
        <is>
          <t>No</t>
        </is>
      </c>
      <c r="O910" s="2" t="inlineStr">
        <is>
          <t>Unattempted</t>
        </is>
      </c>
    </row>
    <row r="911">
      <c r="A911" s="4" t="inlineStr">
        <is>
          <t>Interview Questions</t>
        </is>
      </c>
      <c r="B911" s="4" t="inlineStr">
        <is>
          <t>Top DBMS Interview Questions</t>
        </is>
      </c>
      <c r="C911" s="4" t="inlineStr">
        <is>
          <t>Prepare for DBMS interviews with more than 92 interview questions. This path covers key topics such as data modelling, relational database design, SQL, transaction management, and emerging database technologies.</t>
        </is>
      </c>
      <c r="D911" s="4" t="inlineStr">
        <is>
          <t>Module 5: Transactions and Concurrency Control - Transactions and Concurrency Control</t>
        </is>
      </c>
      <c r="E911" s="4" t="n">
        <v>108</v>
      </c>
      <c r="F911" s="4" t="inlineStr">
        <is>
          <t>More Interview Questions on Transactions</t>
        </is>
      </c>
      <c r="G911" s="4" t="inlineStr">
        <is>
          <t>PPREPCS107</t>
        </is>
      </c>
      <c r="H911" s="4" t="inlineStr"/>
      <c r="I911" s="4" t="inlineStr">
        <is>
          <t>Easy</t>
        </is>
      </c>
      <c r="J911" s="5">
        <f>HYPERLINK("https://www.codechef.com/problems/PPREPCS107", "https://www.codechef.com/problems/PPREPCS107")</f>
        <v/>
      </c>
      <c r="K911" s="4" t="inlineStr"/>
      <c r="L911" s="4" t="inlineStr"/>
      <c r="M911" s="4" t="inlineStr"/>
      <c r="N911" s="4" t="inlineStr">
        <is>
          <t>No</t>
        </is>
      </c>
      <c r="O911" s="4" t="inlineStr">
        <is>
          <t>Unattempted</t>
        </is>
      </c>
    </row>
    <row r="912">
      <c r="A912" s="2" t="inlineStr">
        <is>
          <t>Interview Questions</t>
        </is>
      </c>
      <c r="B912" s="2" t="inlineStr">
        <is>
          <t>Top DBMS Interview Questions</t>
        </is>
      </c>
      <c r="C912" s="2" t="inlineStr">
        <is>
          <t>Prepare for DBMS interviews with more than 92 interview questions. This path covers key topics such as data modelling, relational database design, SQL, transaction management, and emerging database technologies.</t>
        </is>
      </c>
      <c r="D912" s="2" t="inlineStr">
        <is>
          <t>Module 5: Transactions and Concurrency Control - Quiz: Transactions and Concurrency Control</t>
        </is>
      </c>
      <c r="E912" s="2" t="n">
        <v>109</v>
      </c>
      <c r="F912" s="2" t="inlineStr">
        <is>
          <t>Concurrency Control Protocols in DBMS - MCQ</t>
        </is>
      </c>
      <c r="G912" s="2" t="inlineStr">
        <is>
          <t>PPREPCS108</t>
        </is>
      </c>
      <c r="H912" s="2" t="inlineStr"/>
      <c r="I912" s="2" t="inlineStr">
        <is>
          <t>Hard</t>
        </is>
      </c>
      <c r="J912" s="3">
        <f>HYPERLINK("https://www.codechef.com/problems/PPREPCS108", "https://www.codechef.com/problems/PPREPCS108")</f>
        <v/>
      </c>
      <c r="K912" s="2" t="inlineStr"/>
      <c r="L912" s="2" t="inlineStr"/>
      <c r="M912" s="2" t="inlineStr"/>
      <c r="N912" s="2" t="inlineStr">
        <is>
          <t>No</t>
        </is>
      </c>
      <c r="O912" s="2" t="inlineStr">
        <is>
          <t>Unattempted</t>
        </is>
      </c>
    </row>
    <row r="913">
      <c r="A913" s="4" t="inlineStr">
        <is>
          <t>Interview Questions</t>
        </is>
      </c>
      <c r="B913" s="4" t="inlineStr">
        <is>
          <t>Top DBMS Interview Questions</t>
        </is>
      </c>
      <c r="C913" s="4" t="inlineStr">
        <is>
          <t>Prepare for DBMS interviews with more than 92 interview questions. This path covers key topics such as data modelling, relational database design, SQL, transaction management, and emerging database technologies.</t>
        </is>
      </c>
      <c r="D913" s="4" t="inlineStr">
        <is>
          <t>Module 5: Transactions and Concurrency Control - Quiz: Transactions and Concurrency Control</t>
        </is>
      </c>
      <c r="E913" s="4" t="n">
        <v>110</v>
      </c>
      <c r="F913" s="4" t="inlineStr">
        <is>
          <t>Correct Serialization Order - MCQ</t>
        </is>
      </c>
      <c r="G913" s="4" t="inlineStr">
        <is>
          <t>PPREPCS109</t>
        </is>
      </c>
      <c r="H913" s="4" t="inlineStr"/>
      <c r="I913" s="4" t="inlineStr">
        <is>
          <t>Easy</t>
        </is>
      </c>
      <c r="J913" s="5">
        <f>HYPERLINK("https://www.codechef.com/problems/PPREPCS109", "https://www.codechef.com/problems/PPREPCS109")</f>
        <v/>
      </c>
      <c r="K913" s="4" t="inlineStr"/>
      <c r="L913" s="4" t="inlineStr"/>
      <c r="M913" s="4" t="inlineStr"/>
      <c r="N913" s="4" t="inlineStr">
        <is>
          <t>No</t>
        </is>
      </c>
      <c r="O913" s="4" t="inlineStr">
        <is>
          <t>Unattempted</t>
        </is>
      </c>
    </row>
    <row r="914">
      <c r="A914" s="2" t="inlineStr">
        <is>
          <t>Interview Questions</t>
        </is>
      </c>
      <c r="B914" s="2" t="inlineStr">
        <is>
          <t>Top DBMS Interview Questions</t>
        </is>
      </c>
      <c r="C914" s="2" t="inlineStr">
        <is>
          <t>Prepare for DBMS interviews with more than 92 interview questions. This path covers key topics such as data modelling, relational database design, SQL, transaction management, and emerging database technologies.</t>
        </is>
      </c>
      <c r="D914" s="2" t="inlineStr">
        <is>
          <t>Module 5: Transactions and Concurrency Control - Quiz: Transactions and Concurrency Control</t>
        </is>
      </c>
      <c r="E914" s="2" t="n">
        <v>111</v>
      </c>
      <c r="F914" s="2" t="inlineStr">
        <is>
          <t>Conflict Serializability in Schedules - MCQ</t>
        </is>
      </c>
      <c r="G914" s="2" t="inlineStr">
        <is>
          <t>PPREPCS110</t>
        </is>
      </c>
      <c r="H914" s="2" t="inlineStr"/>
      <c r="I914" s="2" t="inlineStr">
        <is>
          <t>Hard</t>
        </is>
      </c>
      <c r="J914" s="3">
        <f>HYPERLINK("https://www.codechef.com/problems/PPREPCS110", "https://www.codechef.com/problems/PPREPCS110")</f>
        <v/>
      </c>
      <c r="K914" s="2" t="inlineStr"/>
      <c r="L914" s="2" t="inlineStr"/>
      <c r="M914" s="2" t="inlineStr"/>
      <c r="N914" s="2" t="inlineStr">
        <is>
          <t>No</t>
        </is>
      </c>
      <c r="O914" s="2" t="inlineStr">
        <is>
          <t>Unattempted</t>
        </is>
      </c>
    </row>
    <row r="915">
      <c r="A915" s="4" t="inlineStr">
        <is>
          <t>Interview Questions</t>
        </is>
      </c>
      <c r="B915" s="4" t="inlineStr">
        <is>
          <t>Top DBMS Interview Questions</t>
        </is>
      </c>
      <c r="C915" s="4" t="inlineStr">
        <is>
          <t>Prepare for DBMS interviews with more than 92 interview questions. This path covers key topics such as data modelling, relational database design, SQL, transaction management, and emerging database technologies.</t>
        </is>
      </c>
      <c r="D915" s="4" t="inlineStr">
        <is>
          <t>Module 5: Transactions and Concurrency Control - Quiz: Transactions and Concurrency Control</t>
        </is>
      </c>
      <c r="E915" s="4" t="n">
        <v>112</v>
      </c>
      <c r="F915" s="4" t="inlineStr">
        <is>
          <t>Transaction Schedule Analysis - MCQ</t>
        </is>
      </c>
      <c r="G915" s="4" t="inlineStr">
        <is>
          <t>PPREPCS111</t>
        </is>
      </c>
      <c r="H915" s="4" t="inlineStr"/>
      <c r="I915" s="4" t="inlineStr">
        <is>
          <t>Hard</t>
        </is>
      </c>
      <c r="J915" s="5">
        <f>HYPERLINK("https://www.codechef.com/problems/PPREPCS111", "https://www.codechef.com/problems/PPREPCS111")</f>
        <v/>
      </c>
      <c r="K915" s="4" t="inlineStr"/>
      <c r="L915" s="4" t="inlineStr"/>
      <c r="M915" s="4" t="inlineStr"/>
      <c r="N915" s="4" t="inlineStr">
        <is>
          <t>No</t>
        </is>
      </c>
      <c r="O915" s="4" t="inlineStr">
        <is>
          <t>Unattempted</t>
        </is>
      </c>
    </row>
    <row r="916">
      <c r="A916" s="2" t="inlineStr">
        <is>
          <t>Interview Questions</t>
        </is>
      </c>
      <c r="B916" s="2" t="inlineStr">
        <is>
          <t>Top DBMS Interview Questions</t>
        </is>
      </c>
      <c r="C916" s="2" t="inlineStr">
        <is>
          <t>Prepare for DBMS interviews with more than 92 interview questions. This path covers key topics such as data modelling, relational database design, SQL, transaction management, and emerging database technologies.</t>
        </is>
      </c>
      <c r="D916" s="2" t="inlineStr">
        <is>
          <t>Module 5: Transactions and Concurrency Control - Quiz: Transactions and Concurrency Control</t>
        </is>
      </c>
      <c r="E916" s="2" t="n">
        <v>113</v>
      </c>
      <c r="F916" s="2" t="inlineStr">
        <is>
          <t>Irrecoverable Error Scenarios in DBMS - MCQ</t>
        </is>
      </c>
      <c r="G916" s="2" t="inlineStr">
        <is>
          <t>PPREPCS112</t>
        </is>
      </c>
      <c r="H916" s="2" t="inlineStr"/>
      <c r="I916" s="2" t="inlineStr">
        <is>
          <t>Hard</t>
        </is>
      </c>
      <c r="J916" s="3">
        <f>HYPERLINK("https://www.codechef.com/problems/PPREPCS112", "https://www.codechef.com/problems/PPREPCS112")</f>
        <v/>
      </c>
      <c r="K916" s="2" t="inlineStr"/>
      <c r="L916" s="2" t="inlineStr"/>
      <c r="M916" s="2" t="inlineStr"/>
      <c r="N916" s="2" t="inlineStr">
        <is>
          <t>No</t>
        </is>
      </c>
      <c r="O916" s="2" t="inlineStr">
        <is>
          <t>Unattempted</t>
        </is>
      </c>
    </row>
    <row r="917">
      <c r="A917" s="4" t="inlineStr">
        <is>
          <t>Interview Questions</t>
        </is>
      </c>
      <c r="B917" s="4" t="inlineStr">
        <is>
          <t>Top DBMS Interview Questions</t>
        </is>
      </c>
      <c r="C917" s="4" t="inlineStr">
        <is>
          <t>Prepare for DBMS interviews with more than 92 interview questions. This path covers key topics such as data modelling, relational database design, SQL, transaction management, and emerging database technologies.</t>
        </is>
      </c>
      <c r="D917" s="4" t="inlineStr">
        <is>
          <t>Module 5: Transactions and Concurrency Control - Quiz: Transactions and Concurrency Control</t>
        </is>
      </c>
      <c r="E917" s="4" t="n">
        <v>114</v>
      </c>
      <c r="F917" s="4" t="inlineStr">
        <is>
          <t>Bank Transaction Constraint - MCQ</t>
        </is>
      </c>
      <c r="G917" s="4" t="inlineStr">
        <is>
          <t>PPREPCS113</t>
        </is>
      </c>
      <c r="H917" s="4" t="inlineStr"/>
      <c r="I917" s="4" t="inlineStr">
        <is>
          <t>Medium</t>
        </is>
      </c>
      <c r="J917" s="5">
        <f>HYPERLINK("https://www.codechef.com/problems/PPREPCS113", "https://www.codechef.com/problems/PPREPCS113")</f>
        <v/>
      </c>
      <c r="K917" s="4" t="inlineStr"/>
      <c r="L917" s="4" t="inlineStr"/>
      <c r="M917" s="4" t="inlineStr"/>
      <c r="N917" s="4" t="inlineStr">
        <is>
          <t>No</t>
        </is>
      </c>
      <c r="O917" s="4" t="inlineStr">
        <is>
          <t>Unattempted</t>
        </is>
      </c>
    </row>
    <row r="918">
      <c r="A918" s="2" t="inlineStr">
        <is>
          <t>Interview Questions</t>
        </is>
      </c>
      <c r="B918" s="2" t="inlineStr">
        <is>
          <t>Top DBMS Interview Questions</t>
        </is>
      </c>
      <c r="C918" s="2" t="inlineStr">
        <is>
          <t>Prepare for DBMS interviews with more than 92 interview questions. This path covers key topics such as data modelling, relational database design, SQL, transaction management, and emerging database technologies.</t>
        </is>
      </c>
      <c r="D918" s="2" t="inlineStr">
        <is>
          <t>Module 5: Transactions and Concurrency Control - Quiz: Transactions and Concurrency Control</t>
        </is>
      </c>
      <c r="E918" s="2" t="n">
        <v>115</v>
      </c>
      <c r="F918" s="2" t="inlineStr">
        <is>
          <t>Checkpoint Recovery Operations Analysis - MCQ</t>
        </is>
      </c>
      <c r="G918" s="2" t="inlineStr">
        <is>
          <t>PPREPCS114</t>
        </is>
      </c>
      <c r="H918" s="2" t="inlineStr"/>
      <c r="I918" s="2" t="inlineStr">
        <is>
          <t>Medium</t>
        </is>
      </c>
      <c r="J918" s="3">
        <f>HYPERLINK("https://www.codechef.com/problems/PPREPCS114", "https://www.codechef.com/problems/PPREPCS114")</f>
        <v/>
      </c>
      <c r="K918" s="2" t="inlineStr"/>
      <c r="L918" s="2" t="inlineStr"/>
      <c r="M918" s="2" t="inlineStr"/>
      <c r="N918" s="2" t="inlineStr">
        <is>
          <t>No</t>
        </is>
      </c>
      <c r="O918" s="2" t="inlineStr">
        <is>
          <t>Unattempted</t>
        </is>
      </c>
    </row>
    <row r="919">
      <c r="A919" s="4" t="inlineStr">
        <is>
          <t>Interview Questions</t>
        </is>
      </c>
      <c r="B919" s="4" t="inlineStr">
        <is>
          <t>Top DBMS Interview Questions</t>
        </is>
      </c>
      <c r="C919" s="4" t="inlineStr">
        <is>
          <t>Prepare for DBMS interviews with more than 92 interview questions. This path covers key topics such as data modelling, relational database design, SQL, transaction management, and emerging database technologies.</t>
        </is>
      </c>
      <c r="D919" s="4" t="inlineStr">
        <is>
          <t>Module 5: Transactions and Concurrency Control - Quiz: Transactions and Concurrency Control</t>
        </is>
      </c>
      <c r="E919" s="4" t="n">
        <v>116</v>
      </c>
      <c r="F919" s="4" t="inlineStr">
        <is>
          <t>Two-Phase Locking Protocol Analysis - MCQ</t>
        </is>
      </c>
      <c r="G919" s="4" t="inlineStr">
        <is>
          <t>PPREPCS115</t>
        </is>
      </c>
      <c r="H919" s="4" t="inlineStr"/>
      <c r="I919" s="4" t="inlineStr">
        <is>
          <t>Hard</t>
        </is>
      </c>
      <c r="J919" s="5">
        <f>HYPERLINK("https://www.codechef.com/problems/PPREPCS115", "https://www.codechef.com/problems/PPREPCS115")</f>
        <v/>
      </c>
      <c r="K919" s="4" t="inlineStr"/>
      <c r="L919" s="4" t="inlineStr"/>
      <c r="M919" s="4" t="inlineStr"/>
      <c r="N919" s="4" t="inlineStr">
        <is>
          <t>No</t>
        </is>
      </c>
      <c r="O919" s="4" t="inlineStr">
        <is>
          <t>Unattempted</t>
        </is>
      </c>
    </row>
    <row r="920">
      <c r="A920" s="2" t="inlineStr">
        <is>
          <t>Interview Questions</t>
        </is>
      </c>
      <c r="B920" s="2" t="inlineStr">
        <is>
          <t>Top DBMS Interview Questions</t>
        </is>
      </c>
      <c r="C920" s="2" t="inlineStr">
        <is>
          <t>Prepare for DBMS interviews with more than 92 interview questions. This path covers key topics such as data modelling, relational database design, SQL, transaction management, and emerging database technologies.</t>
        </is>
      </c>
      <c r="D920" s="2" t="inlineStr">
        <is>
          <t>Module 5: Transactions and Concurrency Control - Quiz: Transactions and Concurrency Control</t>
        </is>
      </c>
      <c r="E920" s="2" t="n">
        <v>117</v>
      </c>
      <c r="F920" s="2" t="inlineStr">
        <is>
          <t>Transaction Recovery Procedure - MCQ</t>
        </is>
      </c>
      <c r="G920" s="2" t="inlineStr">
        <is>
          <t>PPREPCS116</t>
        </is>
      </c>
      <c r="H920" s="2" t="inlineStr"/>
      <c r="I920" s="2" t="inlineStr">
        <is>
          <t>Hard</t>
        </is>
      </c>
      <c r="J920" s="3">
        <f>HYPERLINK("https://www.codechef.com/problems/PPREPCS116", "https://www.codechef.com/problems/PPREPCS116")</f>
        <v/>
      </c>
      <c r="K920" s="2" t="inlineStr"/>
      <c r="L920" s="2" t="inlineStr"/>
      <c r="M920" s="2" t="inlineStr"/>
      <c r="N920" s="2" t="inlineStr">
        <is>
          <t>No</t>
        </is>
      </c>
      <c r="O920" s="2" t="inlineStr">
        <is>
          <t>Unattempted</t>
        </is>
      </c>
    </row>
    <row r="921">
      <c r="A921" s="4" t="inlineStr">
        <is>
          <t>Interview Questions</t>
        </is>
      </c>
      <c r="B921" s="4" t="inlineStr">
        <is>
          <t>Top DBMS Interview Questions</t>
        </is>
      </c>
      <c r="C921" s="4" t="inlineStr">
        <is>
          <t>Prepare for DBMS interviews with more than 92 interview questions. This path covers key topics such as data modelling, relational database design, SQL, transaction management, and emerging database technologies.</t>
        </is>
      </c>
      <c r="D921" s="4" t="inlineStr">
        <is>
          <t>Module 5: Transactions and Concurrency Control - Quiz: Transactions and Concurrency Control</t>
        </is>
      </c>
      <c r="E921" s="4" t="n">
        <v>118</v>
      </c>
      <c r="F921" s="4" t="inlineStr">
        <is>
          <t>Transaction Precedence Graph Analysis - MCQ</t>
        </is>
      </c>
      <c r="G921" s="4" t="inlineStr">
        <is>
          <t>PPREPCS117</t>
        </is>
      </c>
      <c r="H921" s="4" t="inlineStr"/>
      <c r="I921" s="4" t="inlineStr">
        <is>
          <t>Hard</t>
        </is>
      </c>
      <c r="J921" s="5">
        <f>HYPERLINK("https://www.codechef.com/problems/PPREPCS117", "https://www.codechef.com/problems/PPREPCS117")</f>
        <v/>
      </c>
      <c r="K921" s="4" t="inlineStr"/>
      <c r="L921" s="4" t="inlineStr"/>
      <c r="M921" s="4" t="inlineStr"/>
      <c r="N921" s="4" t="inlineStr">
        <is>
          <t>No</t>
        </is>
      </c>
      <c r="O921" s="4" t="inlineStr">
        <is>
          <t>Unattempted</t>
        </is>
      </c>
    </row>
    <row r="922">
      <c r="A922" s="2" t="inlineStr">
        <is>
          <t>Interview Questions</t>
        </is>
      </c>
      <c r="B922" s="2" t="inlineStr">
        <is>
          <t>Top DBMS Interview Questions</t>
        </is>
      </c>
      <c r="C922" s="2" t="inlineStr">
        <is>
          <t>Prepare for DBMS interviews with more than 92 interview questions. This path covers key topics such as data modelling, relational database design, SQL, transaction management, and emerging database technologies.</t>
        </is>
      </c>
      <c r="D922" s="2" t="inlineStr">
        <is>
          <t>Module 6: NoSQL and New Database Technologies - NoSQL and New Database Technologies</t>
        </is>
      </c>
      <c r="E922" s="2" t="n">
        <v>119</v>
      </c>
      <c r="F922" s="2" t="inlineStr">
        <is>
          <t>Introduction to NoSQL databases</t>
        </is>
      </c>
      <c r="G922" s="2" t="inlineStr">
        <is>
          <t>PPREPCS118</t>
        </is>
      </c>
      <c r="H922" s="2" t="inlineStr"/>
      <c r="I922" s="2" t="inlineStr">
        <is>
          <t>Easy</t>
        </is>
      </c>
      <c r="J922" s="3">
        <f>HYPERLINK("https://www.codechef.com/problems/PPREPCS118", "https://www.codechef.com/problems/PPREPCS118")</f>
        <v/>
      </c>
      <c r="K922" s="2" t="inlineStr"/>
      <c r="L922" s="2" t="inlineStr"/>
      <c r="M922" s="2" t="inlineStr"/>
      <c r="N922" s="2" t="inlineStr">
        <is>
          <t>No</t>
        </is>
      </c>
      <c r="O922" s="2" t="inlineStr">
        <is>
          <t>Unattempted</t>
        </is>
      </c>
    </row>
    <row r="923">
      <c r="A923" s="4" t="inlineStr">
        <is>
          <t>Interview Questions</t>
        </is>
      </c>
      <c r="B923" s="4" t="inlineStr">
        <is>
          <t>Top DBMS Interview Questions</t>
        </is>
      </c>
      <c r="C923" s="4" t="inlineStr">
        <is>
          <t>Prepare for DBMS interviews with more than 92 interview questions. This path covers key topics such as data modelling, relational database design, SQL, transaction management, and emerging database technologies.</t>
        </is>
      </c>
      <c r="D923" s="4" t="inlineStr">
        <is>
          <t>Module 6: NoSQL and New Database Technologies - NoSQL and New Database Technologies</t>
        </is>
      </c>
      <c r="E923" s="4" t="n">
        <v>120</v>
      </c>
      <c r="F923" s="4" t="inlineStr">
        <is>
          <t>Different types of NoSQL databases</t>
        </is>
      </c>
      <c r="G923" s="4" t="inlineStr">
        <is>
          <t>PPREPCS119</t>
        </is>
      </c>
      <c r="H923" s="4" t="inlineStr"/>
      <c r="I923" s="4" t="inlineStr">
        <is>
          <t>Easy</t>
        </is>
      </c>
      <c r="J923" s="5">
        <f>HYPERLINK("https://www.codechef.com/problems/PPREPCS119", "https://www.codechef.com/problems/PPREPCS119")</f>
        <v/>
      </c>
      <c r="K923" s="4" t="inlineStr"/>
      <c r="L923" s="4" t="inlineStr"/>
      <c r="M923" s="4" t="inlineStr"/>
      <c r="N923" s="4" t="inlineStr">
        <is>
          <t>No</t>
        </is>
      </c>
      <c r="O923" s="4" t="inlineStr">
        <is>
          <t>Unattempted</t>
        </is>
      </c>
    </row>
    <row r="924">
      <c r="A924" s="2" t="inlineStr">
        <is>
          <t>Interview Questions</t>
        </is>
      </c>
      <c r="B924" s="2" t="inlineStr">
        <is>
          <t>Top DBMS Interview Questions</t>
        </is>
      </c>
      <c r="C924" s="2" t="inlineStr">
        <is>
          <t>Prepare for DBMS interviews with more than 92 interview questions. This path covers key topics such as data modelling, relational database design, SQL, transaction management, and emerging database technologies.</t>
        </is>
      </c>
      <c r="D924" s="2" t="inlineStr">
        <is>
          <t>Module 6: NoSQL and New Database Technologies - NoSQL and New Database Technologies</t>
        </is>
      </c>
      <c r="E924" s="2" t="n">
        <v>121</v>
      </c>
      <c r="F924" s="2" t="inlineStr">
        <is>
          <t>Comparison with relational databases</t>
        </is>
      </c>
      <c r="G924" s="2" t="inlineStr">
        <is>
          <t>PPREPCS120</t>
        </is>
      </c>
      <c r="H924" s="2" t="inlineStr"/>
      <c r="I924" s="2" t="inlineStr">
        <is>
          <t>Easy</t>
        </is>
      </c>
      <c r="J924" s="3">
        <f>HYPERLINK("https://www.codechef.com/problems/PPREPCS120", "https://www.codechef.com/problems/PPREPCS120")</f>
        <v/>
      </c>
      <c r="K924" s="2" t="inlineStr"/>
      <c r="L924" s="2" t="inlineStr"/>
      <c r="M924" s="2" t="inlineStr"/>
      <c r="N924" s="2" t="inlineStr">
        <is>
          <t>No</t>
        </is>
      </c>
      <c r="O924" s="2" t="inlineStr">
        <is>
          <t>Unattempted</t>
        </is>
      </c>
    </row>
    <row r="925">
      <c r="A925" s="4" t="inlineStr">
        <is>
          <t>Interview Questions</t>
        </is>
      </c>
      <c r="B925" s="4" t="inlineStr">
        <is>
          <t>Top DBMS Interview Questions</t>
        </is>
      </c>
      <c r="C925" s="4" t="inlineStr">
        <is>
          <t>Prepare for DBMS interviews with more than 92 interview questions. This path covers key topics such as data modelling, relational database design, SQL, transaction management, and emerging database technologies.</t>
        </is>
      </c>
      <c r="D925" s="4" t="inlineStr">
        <is>
          <t>Module 6: NoSQL and New Database Technologies - NoSQL and New Database Technologies</t>
        </is>
      </c>
      <c r="E925" s="4" t="n">
        <v>122</v>
      </c>
      <c r="F925" s="4" t="inlineStr">
        <is>
          <t>Quiz</t>
        </is>
      </c>
      <c r="G925" s="4" t="inlineStr">
        <is>
          <t>PPREPCS121</t>
        </is>
      </c>
      <c r="H925" s="4" t="inlineStr"/>
      <c r="I925" s="4" t="inlineStr">
        <is>
          <t>Easy</t>
        </is>
      </c>
      <c r="J925" s="5">
        <f>HYPERLINK("https://www.codechef.com/problems/PPREPCS121", "https://www.codechef.com/problems/PPREPCS121")</f>
        <v/>
      </c>
      <c r="K925" s="4" t="inlineStr"/>
      <c r="L925" s="4" t="inlineStr"/>
      <c r="M925" s="4" t="inlineStr"/>
      <c r="N925" s="4" t="inlineStr">
        <is>
          <t>No</t>
        </is>
      </c>
      <c r="O925" s="4" t="inlineStr">
        <is>
          <t>Unattempted</t>
        </is>
      </c>
    </row>
    <row r="926">
      <c r="A926" s="2" t="inlineStr">
        <is>
          <t>Interview Questions</t>
        </is>
      </c>
      <c r="B926" s="2" t="inlineStr">
        <is>
          <t>Top DBMS Interview Questions</t>
        </is>
      </c>
      <c r="C926" s="2" t="inlineStr">
        <is>
          <t>Prepare for DBMS interviews with more than 92 interview questions. This path covers key topics such as data modelling, relational database design, SQL, transaction management, and emerging database technologies.</t>
        </is>
      </c>
      <c r="D926" s="2" t="inlineStr">
        <is>
          <t>Module 7: Interview Questions - Interview Questions MCQ</t>
        </is>
      </c>
      <c r="E926" s="2" t="n">
        <v>123</v>
      </c>
      <c r="F926" s="2" t="inlineStr">
        <is>
          <t>DBMS vs File-Based Systems - MCQ</t>
        </is>
      </c>
      <c r="G926" s="2" t="inlineStr">
        <is>
          <t>PPREPCS122</t>
        </is>
      </c>
      <c r="H926" s="2" t="inlineStr"/>
      <c r="I926" s="2" t="inlineStr">
        <is>
          <t>Easy</t>
        </is>
      </c>
      <c r="J926" s="3">
        <f>HYPERLINK("https://www.codechef.com/problems/PPREPCS122", "https://www.codechef.com/problems/PPREPCS122")</f>
        <v/>
      </c>
      <c r="K926" s="2" t="inlineStr"/>
      <c r="L926" s="2" t="inlineStr"/>
      <c r="M926" s="2" t="inlineStr"/>
      <c r="N926" s="2" t="inlineStr">
        <is>
          <t>No</t>
        </is>
      </c>
      <c r="O926" s="2" t="inlineStr">
        <is>
          <t>Unattempted</t>
        </is>
      </c>
    </row>
    <row r="927">
      <c r="A927" s="4" t="inlineStr">
        <is>
          <t>Interview Questions</t>
        </is>
      </c>
      <c r="B927" s="4" t="inlineStr">
        <is>
          <t>Top DBMS Interview Questions</t>
        </is>
      </c>
      <c r="C927" s="4" t="inlineStr">
        <is>
          <t>Prepare for DBMS interviews with more than 92 interview questions. This path covers key topics such as data modelling, relational database design, SQL, transaction management, and emerging database technologies.</t>
        </is>
      </c>
      <c r="D927" s="4" t="inlineStr">
        <is>
          <t>Module 7: Interview Questions - Interview Questions MCQ</t>
        </is>
      </c>
      <c r="E927" s="4" t="n">
        <v>124</v>
      </c>
      <c r="F927" s="4" t="inlineStr">
        <is>
          <t>Database Key Concepts Overview - MCQ</t>
        </is>
      </c>
      <c r="G927" s="4" t="inlineStr">
        <is>
          <t>PPREPCS123</t>
        </is>
      </c>
      <c r="H927" s="4" t="inlineStr"/>
      <c r="I927" s="4" t="inlineStr">
        <is>
          <t>Easy</t>
        </is>
      </c>
      <c r="J927" s="5">
        <f>HYPERLINK("https://www.codechef.com/problems/PPREPCS123", "https://www.codechef.com/problems/PPREPCS123")</f>
        <v/>
      </c>
      <c r="K927" s="4" t="inlineStr"/>
      <c r="L927" s="4" t="inlineStr"/>
      <c r="M927" s="4" t="inlineStr"/>
      <c r="N927" s="4" t="inlineStr">
        <is>
          <t>No</t>
        </is>
      </c>
      <c r="O927" s="4" t="inlineStr">
        <is>
          <t>Unattempted</t>
        </is>
      </c>
    </row>
    <row r="928">
      <c r="A928" s="2" t="inlineStr">
        <is>
          <t>Interview Questions</t>
        </is>
      </c>
      <c r="B928" s="2" t="inlineStr">
        <is>
          <t>Top DBMS Interview Questions</t>
        </is>
      </c>
      <c r="C928" s="2" t="inlineStr">
        <is>
          <t>Prepare for DBMS interviews with more than 92 interview questions. This path covers key topics such as data modelling, relational database design, SQL, transaction management, and emerging database technologies.</t>
        </is>
      </c>
      <c r="D928" s="2" t="inlineStr">
        <is>
          <t>Module 7: Interview Questions - Interview Questions MCQ</t>
        </is>
      </c>
      <c r="E928" s="2" t="n">
        <v>125</v>
      </c>
      <c r="F928" s="2" t="inlineStr">
        <is>
          <t>SQL Statement Categories - MCQ</t>
        </is>
      </c>
      <c r="G928" s="2" t="inlineStr">
        <is>
          <t>PPREPCS124</t>
        </is>
      </c>
      <c r="H928" s="2" t="inlineStr"/>
      <c r="I928" s="2" t="inlineStr">
        <is>
          <t>Easy</t>
        </is>
      </c>
      <c r="J928" s="3">
        <f>HYPERLINK("https://www.codechef.com/problems/PPREPCS124", "https://www.codechef.com/problems/PPREPCS124")</f>
        <v/>
      </c>
      <c r="K928" s="2" t="inlineStr"/>
      <c r="L928" s="2" t="inlineStr"/>
      <c r="M928" s="2" t="inlineStr"/>
      <c r="N928" s="2" t="inlineStr">
        <is>
          <t>No</t>
        </is>
      </c>
      <c r="O928" s="2" t="inlineStr">
        <is>
          <t>Unattempted</t>
        </is>
      </c>
    </row>
    <row r="929">
      <c r="A929" s="4" t="inlineStr">
        <is>
          <t>Interview Questions</t>
        </is>
      </c>
      <c r="B929" s="4" t="inlineStr">
        <is>
          <t>Top DBMS Interview Questions</t>
        </is>
      </c>
      <c r="C929" s="4" t="inlineStr">
        <is>
          <t>Prepare for DBMS interviews with more than 92 interview questions. This path covers key topics such as data modelling, relational database design, SQL, transaction management, and emerging database technologies.</t>
        </is>
      </c>
      <c r="D929" s="4" t="inlineStr">
        <is>
          <t>Module 7: Interview Questions - Interview Questions MCQ</t>
        </is>
      </c>
      <c r="E929" s="4" t="n">
        <v>126</v>
      </c>
      <c r="F929" s="4" t="inlineStr">
        <is>
          <t>Database Trigger Definition - MCQ</t>
        </is>
      </c>
      <c r="G929" s="4" t="inlineStr">
        <is>
          <t>PPREPCS125</t>
        </is>
      </c>
      <c r="H929" s="4" t="inlineStr"/>
      <c r="I929" s="4" t="inlineStr">
        <is>
          <t>Easy</t>
        </is>
      </c>
      <c r="J929" s="5">
        <f>HYPERLINK("https://www.codechef.com/problems/PPREPCS125", "https://www.codechef.com/problems/PPREPCS125")</f>
        <v/>
      </c>
      <c r="K929" s="4" t="inlineStr"/>
      <c r="L929" s="4" t="inlineStr"/>
      <c r="M929" s="4" t="inlineStr"/>
      <c r="N929" s="4" t="inlineStr">
        <is>
          <t>No</t>
        </is>
      </c>
      <c r="O929" s="4" t="inlineStr">
        <is>
          <t>Unattempted</t>
        </is>
      </c>
    </row>
    <row r="930">
      <c r="A930" s="2" t="inlineStr">
        <is>
          <t>Interview Questions</t>
        </is>
      </c>
      <c r="B930" s="2" t="inlineStr">
        <is>
          <t>Top DBMS Interview Questions</t>
        </is>
      </c>
      <c r="C930" s="2" t="inlineStr">
        <is>
          <t>Prepare for DBMS interviews with more than 92 interview questions. This path covers key topics such as data modelling, relational database design, SQL, transaction management, and emerging database technologies.</t>
        </is>
      </c>
      <c r="D930" s="2" t="inlineStr">
        <is>
          <t>Module 7: Interview Questions - Interview Questions MCQ</t>
        </is>
      </c>
      <c r="E930" s="2" t="n">
        <v>127</v>
      </c>
      <c r="F930" s="2" t="inlineStr">
        <is>
          <t>Database Transaction Example - MCQ</t>
        </is>
      </c>
      <c r="G930" s="2" t="inlineStr">
        <is>
          <t>PPREPCS126</t>
        </is>
      </c>
      <c r="H930" s="2" t="inlineStr"/>
      <c r="I930" s="2" t="inlineStr">
        <is>
          <t>Easy</t>
        </is>
      </c>
      <c r="J930" s="3">
        <f>HYPERLINK("https://www.codechef.com/problems/PPREPCS126", "https://www.codechef.com/problems/PPREPCS126")</f>
        <v/>
      </c>
      <c r="K930" s="2" t="inlineStr"/>
      <c r="L930" s="2" t="inlineStr"/>
      <c r="M930" s="2" t="inlineStr"/>
      <c r="N930" s="2" t="inlineStr">
        <is>
          <t>No</t>
        </is>
      </c>
      <c r="O930" s="2" t="inlineStr">
        <is>
          <t>Unattempted</t>
        </is>
      </c>
    </row>
    <row r="931">
      <c r="A931" s="4" t="inlineStr">
        <is>
          <t>Interview Questions</t>
        </is>
      </c>
      <c r="B931" s="4" t="inlineStr">
        <is>
          <t>Top DBMS Interview Questions</t>
        </is>
      </c>
      <c r="C931" s="4" t="inlineStr">
        <is>
          <t>Prepare for DBMS interviews with more than 92 interview questions. This path covers key topics such as data modelling, relational database design, SQL, transaction management, and emerging database technologies.</t>
        </is>
      </c>
      <c r="D931" s="4" t="inlineStr">
        <is>
          <t>Module 7: Interview Questions - Interview Questions MCQ</t>
        </is>
      </c>
      <c r="E931" s="4" t="n">
        <v>128</v>
      </c>
      <c r="F931" s="4" t="inlineStr">
        <is>
          <t>ACID Properties in Databases - MCQ</t>
        </is>
      </c>
      <c r="G931" s="4" t="inlineStr">
        <is>
          <t>PPREPCS127</t>
        </is>
      </c>
      <c r="H931" s="4" t="inlineStr"/>
      <c r="I931" s="4" t="inlineStr">
        <is>
          <t>Easy</t>
        </is>
      </c>
      <c r="J931" s="5">
        <f>HYPERLINK("https://www.codechef.com/problems/PPREPCS127", "https://www.codechef.com/problems/PPREPCS127")</f>
        <v/>
      </c>
      <c r="K931" s="4" t="inlineStr"/>
      <c r="L931" s="4" t="inlineStr"/>
      <c r="M931" s="4" t="inlineStr"/>
      <c r="N931" s="4" t="inlineStr">
        <is>
          <t>No</t>
        </is>
      </c>
      <c r="O931" s="4" t="inlineStr">
        <is>
          <t>Unattempted</t>
        </is>
      </c>
    </row>
    <row r="932">
      <c r="A932" s="2" t="inlineStr">
        <is>
          <t>Interview Questions</t>
        </is>
      </c>
      <c r="B932" s="2" t="inlineStr">
        <is>
          <t>Top DBMS Interview Questions</t>
        </is>
      </c>
      <c r="C932" s="2" t="inlineStr">
        <is>
          <t>Prepare for DBMS interviews with more than 92 interview questions. This path covers key topics such as data modelling, relational database design, SQL, transaction management, and emerging database technologies.</t>
        </is>
      </c>
      <c r="D932" s="2" t="inlineStr">
        <is>
          <t>Module 7: Interview Questions - Interview Questions MCQ</t>
        </is>
      </c>
      <c r="E932" s="2" t="n">
        <v>129</v>
      </c>
      <c r="F932" s="2" t="inlineStr">
        <is>
          <t>Clustered Index Limits - MCQ</t>
        </is>
      </c>
      <c r="G932" s="2" t="inlineStr">
        <is>
          <t>PPREPCS128</t>
        </is>
      </c>
      <c r="H932" s="2" t="inlineStr"/>
      <c r="I932" s="2" t="inlineStr">
        <is>
          <t>Easy</t>
        </is>
      </c>
      <c r="J932" s="3">
        <f>HYPERLINK("https://www.codechef.com/problems/PPREPCS128", "https://www.codechef.com/problems/PPREPCS128")</f>
        <v/>
      </c>
      <c r="K932" s="2" t="inlineStr"/>
      <c r="L932" s="2" t="inlineStr"/>
      <c r="M932" s="2" t="inlineStr"/>
      <c r="N932" s="2" t="inlineStr">
        <is>
          <t>No</t>
        </is>
      </c>
      <c r="O932" s="2" t="inlineStr">
        <is>
          <t>Unattempted</t>
        </is>
      </c>
    </row>
    <row r="933">
      <c r="A933" s="4" t="inlineStr">
        <is>
          <t>Interview Questions</t>
        </is>
      </c>
      <c r="B933" s="4" t="inlineStr">
        <is>
          <t>Top DBMS Interview Questions</t>
        </is>
      </c>
      <c r="C933" s="4" t="inlineStr">
        <is>
          <t>Prepare for DBMS interviews with more than 92 interview questions. This path covers key topics such as data modelling, relational database design, SQL, transaction management, and emerging database technologies.</t>
        </is>
      </c>
      <c r="D933" s="4" t="inlineStr">
        <is>
          <t>Module 7: Interview Questions - Interview Questions MCQ</t>
        </is>
      </c>
      <c r="E933" s="4" t="n">
        <v>130</v>
      </c>
      <c r="F933" s="4" t="inlineStr">
        <is>
          <t>Non-Clustered Index Explanation - MCQ</t>
        </is>
      </c>
      <c r="G933" s="4" t="inlineStr">
        <is>
          <t>PPREPCS129</t>
        </is>
      </c>
      <c r="H933" s="4" t="inlineStr"/>
      <c r="I933" s="4" t="inlineStr">
        <is>
          <t>Easy</t>
        </is>
      </c>
      <c r="J933" s="5">
        <f>HYPERLINK("https://www.codechef.com/problems/PPREPCS129", "https://www.codechef.com/problems/PPREPCS129")</f>
        <v/>
      </c>
      <c r="K933" s="4" t="inlineStr"/>
      <c r="L933" s="4" t="inlineStr"/>
      <c r="M933" s="4" t="inlineStr"/>
      <c r="N933" s="4" t="inlineStr">
        <is>
          <t>No</t>
        </is>
      </c>
      <c r="O933" s="4" t="inlineStr">
        <is>
          <t>Unattempted</t>
        </is>
      </c>
    </row>
    <row r="934">
      <c r="A934" s="2" t="inlineStr">
        <is>
          <t>Interview Questions</t>
        </is>
      </c>
      <c r="B934" s="2" t="inlineStr">
        <is>
          <t>Top DBMS Interview Questions</t>
        </is>
      </c>
      <c r="C934" s="2" t="inlineStr">
        <is>
          <t>Prepare for DBMS interviews with more than 92 interview questions. This path covers key topics such as data modelling, relational database design, SQL, transaction management, and emerging database technologies.</t>
        </is>
      </c>
      <c r="D934" s="2" t="inlineStr">
        <is>
          <t>Module 7: Interview Questions - Interview Questions MCQ</t>
        </is>
      </c>
      <c r="E934" s="2" t="n">
        <v>131</v>
      </c>
      <c r="F934" s="2" t="inlineStr">
        <is>
          <t>Purpose of SQL Clause - MCQ</t>
        </is>
      </c>
      <c r="G934" s="2" t="inlineStr">
        <is>
          <t>PPREPCS130</t>
        </is>
      </c>
      <c r="H934" s="2" t="inlineStr"/>
      <c r="I934" s="2" t="inlineStr">
        <is>
          <t>Easy</t>
        </is>
      </c>
      <c r="J934" s="3">
        <f>HYPERLINK("https://www.codechef.com/problems/PPREPCS130", "https://www.codechef.com/problems/PPREPCS130")</f>
        <v/>
      </c>
      <c r="K934" s="2" t="inlineStr"/>
      <c r="L934" s="2" t="inlineStr"/>
      <c r="M934" s="2" t="inlineStr"/>
      <c r="N934" s="2" t="inlineStr">
        <is>
          <t>No</t>
        </is>
      </c>
      <c r="O934" s="2" t="inlineStr">
        <is>
          <t>Unattempted</t>
        </is>
      </c>
    </row>
    <row r="935">
      <c r="A935" s="4" t="inlineStr">
        <is>
          <t>Interview Questions</t>
        </is>
      </c>
      <c r="B935" s="4" t="inlineStr">
        <is>
          <t>Top DBMS Interview Questions</t>
        </is>
      </c>
      <c r="C935" s="4" t="inlineStr">
        <is>
          <t>Prepare for DBMS interviews with more than 92 interview questions. This path covers key topics such as data modelling, relational database design, SQL, transaction management, and emerging database technologies.</t>
        </is>
      </c>
      <c r="D935" s="4" t="inlineStr">
        <is>
          <t>Module 7: Interview Questions - Interview Questions MCQ</t>
        </is>
      </c>
      <c r="E935" s="4" t="n">
        <v>132</v>
      </c>
      <c r="F935" s="4" t="inlineStr">
        <is>
          <t>Role of Normalization in Databases - MCQ</t>
        </is>
      </c>
      <c r="G935" s="4" t="inlineStr">
        <is>
          <t>PPREPCS131</t>
        </is>
      </c>
      <c r="H935" s="4" t="inlineStr"/>
      <c r="I935" s="4" t="inlineStr">
        <is>
          <t>Easy</t>
        </is>
      </c>
      <c r="J935" s="5">
        <f>HYPERLINK("https://www.codechef.com/problems/PPREPCS131", "https://www.codechef.com/problems/PPREPCS131")</f>
        <v/>
      </c>
      <c r="K935" s="4" t="inlineStr"/>
      <c r="L935" s="4" t="inlineStr"/>
      <c r="M935" s="4" t="inlineStr"/>
      <c r="N935" s="4" t="inlineStr">
        <is>
          <t>No</t>
        </is>
      </c>
      <c r="O935" s="4" t="inlineStr">
        <is>
          <t>Unattempted</t>
        </is>
      </c>
    </row>
    <row r="936">
      <c r="A936" s="2" t="inlineStr">
        <is>
          <t>Interview Questions</t>
        </is>
      </c>
      <c r="B936" s="2" t="inlineStr">
        <is>
          <t>Top DBMS Interview Questions</t>
        </is>
      </c>
      <c r="C936" s="2" t="inlineStr">
        <is>
          <t>Prepare for DBMS interviews with more than 92 interview questions. This path covers key topics such as data modelling, relational database design, SQL, transaction management, and emerging database technologies.</t>
        </is>
      </c>
      <c r="D936" s="2" t="inlineStr">
        <is>
          <t>Module 7: Interview Questions - Interview Questions MCQ</t>
        </is>
      </c>
      <c r="E936" s="2" t="n">
        <v>133</v>
      </c>
      <c r="F936" s="2" t="inlineStr">
        <is>
          <t>Identifying Key Types in Tables - MCQ</t>
        </is>
      </c>
      <c r="G936" s="2" t="inlineStr">
        <is>
          <t>PPREPCS132</t>
        </is>
      </c>
      <c r="H936" s="2" t="inlineStr"/>
      <c r="I936" s="2" t="inlineStr">
        <is>
          <t>Easy</t>
        </is>
      </c>
      <c r="J936" s="3">
        <f>HYPERLINK("https://www.codechef.com/problems/PPREPCS132", "https://www.codechef.com/problems/PPREPCS132")</f>
        <v/>
      </c>
      <c r="K936" s="2" t="inlineStr"/>
      <c r="L936" s="2" t="inlineStr"/>
      <c r="M936" s="2" t="inlineStr"/>
      <c r="N936" s="2" t="inlineStr">
        <is>
          <t>No</t>
        </is>
      </c>
      <c r="O936" s="2" t="inlineStr">
        <is>
          <t>Unattempted</t>
        </is>
      </c>
    </row>
    <row r="937">
      <c r="A937" s="4" t="inlineStr">
        <is>
          <t>Interview Questions</t>
        </is>
      </c>
      <c r="B937" s="4" t="inlineStr">
        <is>
          <t>Top DBMS Interview Questions</t>
        </is>
      </c>
      <c r="C937" s="4" t="inlineStr">
        <is>
          <t>Prepare for DBMS interviews with more than 92 interview questions. This path covers key topics such as data modelling, relational database design, SQL, transaction management, and emerging database technologies.</t>
        </is>
      </c>
      <c r="D937" s="4" t="inlineStr">
        <is>
          <t>Module 7: Interview Questions - Interview Questions MCQ</t>
        </is>
      </c>
      <c r="E937" s="4" t="n">
        <v>134</v>
      </c>
      <c r="F937" s="4" t="inlineStr">
        <is>
          <t>Primary vs Unique Key Differences - MCQ</t>
        </is>
      </c>
      <c r="G937" s="4" t="inlineStr">
        <is>
          <t>PPREPCS133</t>
        </is>
      </c>
      <c r="H937" s="4" t="inlineStr"/>
      <c r="I937" s="4" t="inlineStr">
        <is>
          <t>Easy</t>
        </is>
      </c>
      <c r="J937" s="5">
        <f>HYPERLINK("https://www.codechef.com/problems/PPREPCS133", "https://www.codechef.com/problems/PPREPCS133")</f>
        <v/>
      </c>
      <c r="K937" s="4" t="inlineStr"/>
      <c r="L937" s="4" t="inlineStr"/>
      <c r="M937" s="4" t="inlineStr"/>
      <c r="N937" s="4" t="inlineStr">
        <is>
          <t>No</t>
        </is>
      </c>
      <c r="O937" s="4" t="inlineStr">
        <is>
          <t>Unattempted</t>
        </is>
      </c>
    </row>
    <row r="938">
      <c r="A938" s="2" t="inlineStr">
        <is>
          <t>Interview Questions</t>
        </is>
      </c>
      <c r="B938" s="2" t="inlineStr">
        <is>
          <t>Top DBMS Interview Questions</t>
        </is>
      </c>
      <c r="C938" s="2" t="inlineStr">
        <is>
          <t>Prepare for DBMS interviews with more than 92 interview questions. This path covers key topics such as data modelling, relational database design, SQL, transaction management, and emerging database technologies.</t>
        </is>
      </c>
      <c r="D938" s="2" t="inlineStr">
        <is>
          <t>Module 7: Interview Questions - Interview Questions MCQ</t>
        </is>
      </c>
      <c r="E938" s="2" t="n">
        <v>135</v>
      </c>
      <c r="F938" s="2" t="inlineStr">
        <is>
          <t>Maximum Unique Keys in DB Table - MCQ</t>
        </is>
      </c>
      <c r="G938" s="2" t="inlineStr">
        <is>
          <t>PPREPCS137</t>
        </is>
      </c>
      <c r="H938" s="2" t="inlineStr"/>
      <c r="I938" s="2" t="inlineStr">
        <is>
          <t>Easy</t>
        </is>
      </c>
      <c r="J938" s="3">
        <f>HYPERLINK("https://www.codechef.com/problems/PPREPCS137", "https://www.codechef.com/problems/PPREPCS137")</f>
        <v/>
      </c>
      <c r="K938" s="2" t="inlineStr"/>
      <c r="L938" s="2" t="inlineStr"/>
      <c r="M938" s="2" t="inlineStr"/>
      <c r="N938" s="2" t="inlineStr">
        <is>
          <t>No</t>
        </is>
      </c>
      <c r="O938" s="2" t="inlineStr">
        <is>
          <t>Unattempted</t>
        </is>
      </c>
    </row>
    <row r="939">
      <c r="A939" s="4" t="inlineStr">
        <is>
          <t>Interview Questions</t>
        </is>
      </c>
      <c r="B939" s="4" t="inlineStr">
        <is>
          <t>Top DBMS Interview Questions</t>
        </is>
      </c>
      <c r="C939" s="4" t="inlineStr">
        <is>
          <t>Prepare for DBMS interviews with more than 92 interview questions. This path covers key topics such as data modelling, relational database design, SQL, transaction management, and emerging database technologies.</t>
        </is>
      </c>
      <c r="D939" s="4" t="inlineStr">
        <is>
          <t>Module 7: Interview Questions - Interview Questions MCQ</t>
        </is>
      </c>
      <c r="E939" s="4" t="n">
        <v>136</v>
      </c>
      <c r="F939" s="4" t="inlineStr">
        <is>
          <t>Data Abstraction Levels in DBMS - MCQ</t>
        </is>
      </c>
      <c r="G939" s="4" t="inlineStr">
        <is>
          <t>PPREPCS138</t>
        </is>
      </c>
      <c r="H939" s="4" t="inlineStr"/>
      <c r="I939" s="4" t="inlineStr">
        <is>
          <t>Easy</t>
        </is>
      </c>
      <c r="J939" s="5">
        <f>HYPERLINK("https://www.codechef.com/problems/PPREPCS138", "https://www.codechef.com/problems/PPREPCS138")</f>
        <v/>
      </c>
      <c r="K939" s="4" t="inlineStr"/>
      <c r="L939" s="4" t="inlineStr"/>
      <c r="M939" s="4" t="inlineStr"/>
      <c r="N939" s="4" t="inlineStr">
        <is>
          <t>No</t>
        </is>
      </c>
      <c r="O939" s="4" t="inlineStr">
        <is>
          <t>Unattempted</t>
        </is>
      </c>
    </row>
    <row r="940">
      <c r="A940" s="2" t="inlineStr">
        <is>
          <t>Interview Questions</t>
        </is>
      </c>
      <c r="B940" s="2" t="inlineStr">
        <is>
          <t>Operating systems Interview Questions</t>
        </is>
      </c>
      <c r="C940" s="2" t="inlineStr">
        <is>
          <t>Revise all the important Operating Systems concepts and practice lots of MCQ questions to prepare for interviews.</t>
        </is>
      </c>
      <c r="D940" s="2" t="inlineStr">
        <is>
          <t>Process Management - Process Management</t>
        </is>
      </c>
      <c r="E940" s="2" t="n">
        <v>1</v>
      </c>
      <c r="F940" s="2" t="inlineStr">
        <is>
          <t>Introduction to Operating Systems</t>
        </is>
      </c>
      <c r="G940" s="2" t="inlineStr">
        <is>
          <t>OSP01</t>
        </is>
      </c>
      <c r="H940" s="2" t="inlineStr"/>
      <c r="I940" s="2" t="inlineStr">
        <is>
          <t>Easy</t>
        </is>
      </c>
      <c r="J940" s="3">
        <f>HYPERLINK("https://www.codechef.com/problems/OSP01", "https://www.codechef.com/problems/OSP01")</f>
        <v/>
      </c>
      <c r="K940" s="2" t="inlineStr"/>
      <c r="L940" s="2" t="inlineStr"/>
      <c r="M940" s="2" t="inlineStr"/>
      <c r="N940" s="2" t="inlineStr">
        <is>
          <t>No</t>
        </is>
      </c>
      <c r="O940" s="2" t="inlineStr">
        <is>
          <t>Unattempted</t>
        </is>
      </c>
    </row>
    <row r="941">
      <c r="A941" s="4" t="inlineStr">
        <is>
          <t>Interview Questions</t>
        </is>
      </c>
      <c r="B941" s="4" t="inlineStr">
        <is>
          <t>Operating systems Interview Questions</t>
        </is>
      </c>
      <c r="C941" s="4" t="inlineStr">
        <is>
          <t>Revise all the important Operating Systems concepts and practice lots of MCQ questions to prepare for interviews.</t>
        </is>
      </c>
      <c r="D941" s="4" t="inlineStr">
        <is>
          <t>Process Management - Process Management</t>
        </is>
      </c>
      <c r="E941" s="4" t="n">
        <v>2</v>
      </c>
      <c r="F941" s="4" t="inlineStr">
        <is>
          <t>Operating System Functions</t>
        </is>
      </c>
      <c r="G941" s="4" t="inlineStr">
        <is>
          <t>OSMCQ001</t>
        </is>
      </c>
      <c r="H941" s="4" t="inlineStr"/>
      <c r="I941" s="4" t="inlineStr">
        <is>
          <t>Easy</t>
        </is>
      </c>
      <c r="J941" s="5">
        <f>HYPERLINK("https://www.codechef.com/problems/OSMCQ001", "https://www.codechef.com/problems/OSMCQ001")</f>
        <v/>
      </c>
      <c r="K941" s="4" t="inlineStr"/>
      <c r="L941" s="4" t="inlineStr"/>
      <c r="M941" s="4" t="inlineStr"/>
      <c r="N941" s="4" t="inlineStr">
        <is>
          <t>No</t>
        </is>
      </c>
      <c r="O941" s="4" t="inlineStr">
        <is>
          <t>Unattempted</t>
        </is>
      </c>
    </row>
    <row r="942">
      <c r="A942" s="2" t="inlineStr">
        <is>
          <t>Interview Questions</t>
        </is>
      </c>
      <c r="B942" s="2" t="inlineStr">
        <is>
          <t>Operating systems Interview Questions</t>
        </is>
      </c>
      <c r="C942" s="2" t="inlineStr">
        <is>
          <t>Revise all the important Operating Systems concepts and practice lots of MCQ questions to prepare for interviews.</t>
        </is>
      </c>
      <c r="D942" s="2" t="inlineStr">
        <is>
          <t>Process Management - Process Management</t>
        </is>
      </c>
      <c r="E942" s="2" t="n">
        <v>3</v>
      </c>
      <c r="F942" s="2" t="inlineStr">
        <is>
          <t>User Interface Types</t>
        </is>
      </c>
      <c r="G942" s="2" t="inlineStr">
        <is>
          <t>OSMCQ002</t>
        </is>
      </c>
      <c r="H942" s="2" t="inlineStr"/>
      <c r="I942" s="2" t="inlineStr">
        <is>
          <t>Easy</t>
        </is>
      </c>
      <c r="J942" s="3">
        <f>HYPERLINK("https://www.codechef.com/problems/OSMCQ002", "https://www.codechef.com/problems/OSMCQ002")</f>
        <v/>
      </c>
      <c r="K942" s="2" t="inlineStr"/>
      <c r="L942" s="2" t="inlineStr"/>
      <c r="M942" s="2" t="inlineStr"/>
      <c r="N942" s="2" t="inlineStr">
        <is>
          <t>No</t>
        </is>
      </c>
      <c r="O942" s="2" t="inlineStr">
        <is>
          <t>Unattempted</t>
        </is>
      </c>
    </row>
    <row r="943">
      <c r="A943" s="4" t="inlineStr">
        <is>
          <t>Interview Questions</t>
        </is>
      </c>
      <c r="B943" s="4" t="inlineStr">
        <is>
          <t>Operating systems Interview Questions</t>
        </is>
      </c>
      <c r="C943" s="4" t="inlineStr">
        <is>
          <t>Revise all the important Operating Systems concepts and practice lots of MCQ questions to prepare for interviews.</t>
        </is>
      </c>
      <c r="D943" s="4" t="inlineStr">
        <is>
          <t>Process Management - Process Management</t>
        </is>
      </c>
      <c r="E943" s="4" t="n">
        <v>4</v>
      </c>
      <c r="F943" s="4" t="inlineStr">
        <is>
          <t>Multitasking in Operating Systems</t>
        </is>
      </c>
      <c r="G943" s="4" t="inlineStr">
        <is>
          <t>OSMCQ003</t>
        </is>
      </c>
      <c r="H943" s="4" t="inlineStr"/>
      <c r="I943" s="4" t="inlineStr">
        <is>
          <t>Easy</t>
        </is>
      </c>
      <c r="J943" s="5">
        <f>HYPERLINK("https://www.codechef.com/problems/OSMCQ003", "https://www.codechef.com/problems/OSMCQ003")</f>
        <v/>
      </c>
      <c r="K943" s="4" t="inlineStr"/>
      <c r="L943" s="4" t="inlineStr"/>
      <c r="M943" s="4" t="inlineStr"/>
      <c r="N943" s="4" t="inlineStr">
        <is>
          <t>No</t>
        </is>
      </c>
      <c r="O943" s="4" t="inlineStr">
        <is>
          <t>Unattempted</t>
        </is>
      </c>
    </row>
    <row r="944">
      <c r="A944" s="2" t="inlineStr">
        <is>
          <t>Interview Questions</t>
        </is>
      </c>
      <c r="B944" s="2" t="inlineStr">
        <is>
          <t>Operating systems Interview Questions</t>
        </is>
      </c>
      <c r="C944" s="2" t="inlineStr">
        <is>
          <t>Revise all the important Operating Systems concepts and practice lots of MCQ questions to prepare for interviews.</t>
        </is>
      </c>
      <c r="D944" s="2" t="inlineStr">
        <is>
          <t>Process Management - Process Management</t>
        </is>
      </c>
      <c r="E944" s="2" t="n">
        <v>5</v>
      </c>
      <c r="F944" s="2" t="inlineStr">
        <is>
          <t>Process Creation and Termination</t>
        </is>
      </c>
      <c r="G944" s="2" t="inlineStr">
        <is>
          <t>OSP03</t>
        </is>
      </c>
      <c r="H944" s="2" t="inlineStr"/>
      <c r="I944" s="2" t="inlineStr">
        <is>
          <t>Medium</t>
        </is>
      </c>
      <c r="J944" s="3">
        <f>HYPERLINK("https://www.codechef.com/problems/OSP03", "https://www.codechef.com/problems/OSP03")</f>
        <v/>
      </c>
      <c r="K944" s="2" t="inlineStr"/>
      <c r="L944" s="2" t="inlineStr"/>
      <c r="M944" s="2" t="inlineStr"/>
      <c r="N944" s="2" t="inlineStr">
        <is>
          <t>No</t>
        </is>
      </c>
      <c r="O944" s="2" t="inlineStr">
        <is>
          <t>Unattempted</t>
        </is>
      </c>
    </row>
    <row r="945">
      <c r="A945" s="4" t="inlineStr">
        <is>
          <t>Interview Questions</t>
        </is>
      </c>
      <c r="B945" s="4" t="inlineStr">
        <is>
          <t>Operating systems Interview Questions</t>
        </is>
      </c>
      <c r="C945" s="4" t="inlineStr">
        <is>
          <t>Revise all the important Operating Systems concepts and practice lots of MCQ questions to prepare for interviews.</t>
        </is>
      </c>
      <c r="D945" s="4" t="inlineStr">
        <is>
          <t>Process Management - Process Management</t>
        </is>
      </c>
      <c r="E945" s="4" t="n">
        <v>6</v>
      </c>
      <c r="F945" s="4" t="inlineStr">
        <is>
          <t>Process Creation Steps</t>
        </is>
      </c>
      <c r="G945" s="4" t="inlineStr">
        <is>
          <t>OSMCQ004</t>
        </is>
      </c>
      <c r="H945" s="4" t="inlineStr"/>
      <c r="I945" s="4" t="inlineStr">
        <is>
          <t>Easy</t>
        </is>
      </c>
      <c r="J945" s="5">
        <f>HYPERLINK("https://www.codechef.com/problems/OSMCQ004", "https://www.codechef.com/problems/OSMCQ004")</f>
        <v/>
      </c>
      <c r="K945" s="4" t="inlineStr"/>
      <c r="L945" s="4" t="inlineStr"/>
      <c r="M945" s="4" t="inlineStr"/>
      <c r="N945" s="4" t="inlineStr">
        <is>
          <t>No</t>
        </is>
      </c>
      <c r="O945" s="4" t="inlineStr">
        <is>
          <t>Unattempted</t>
        </is>
      </c>
    </row>
    <row r="946">
      <c r="A946" s="2" t="inlineStr">
        <is>
          <t>Interview Questions</t>
        </is>
      </c>
      <c r="B946" s="2" t="inlineStr">
        <is>
          <t>Operating systems Interview Questions</t>
        </is>
      </c>
      <c r="C946" s="2" t="inlineStr">
        <is>
          <t>Revise all the important Operating Systems concepts and practice lots of MCQ questions to prepare for interviews.</t>
        </is>
      </c>
      <c r="D946" s="2" t="inlineStr">
        <is>
          <t>Process Management - Process Management</t>
        </is>
      </c>
      <c r="E946" s="2" t="n">
        <v>7</v>
      </c>
      <c r="F946" s="2" t="inlineStr">
        <is>
          <t>Process Termination</t>
        </is>
      </c>
      <c r="G946" s="2" t="inlineStr">
        <is>
          <t>OSMCQ005</t>
        </is>
      </c>
      <c r="H946" s="2" t="inlineStr"/>
      <c r="I946" s="2" t="inlineStr">
        <is>
          <t>Easy</t>
        </is>
      </c>
      <c r="J946" s="3">
        <f>HYPERLINK("https://www.codechef.com/problems/OSMCQ005", "https://www.codechef.com/problems/OSMCQ005")</f>
        <v/>
      </c>
      <c r="K946" s="2" t="inlineStr"/>
      <c r="L946" s="2" t="inlineStr"/>
      <c r="M946" s="2" t="inlineStr"/>
      <c r="N946" s="2" t="inlineStr">
        <is>
          <t>No</t>
        </is>
      </c>
      <c r="O946" s="2" t="inlineStr">
        <is>
          <t>Unattempted</t>
        </is>
      </c>
    </row>
    <row r="947">
      <c r="A947" s="4" t="inlineStr">
        <is>
          <t>Interview Questions</t>
        </is>
      </c>
      <c r="B947" s="4" t="inlineStr">
        <is>
          <t>Operating systems Interview Questions</t>
        </is>
      </c>
      <c r="C947" s="4" t="inlineStr">
        <is>
          <t>Revise all the important Operating Systems concepts and practice lots of MCQ questions to prepare for interviews.</t>
        </is>
      </c>
      <c r="D947" s="4" t="inlineStr">
        <is>
          <t>Process Management - Process Management</t>
        </is>
      </c>
      <c r="E947" s="4" t="n">
        <v>8</v>
      </c>
      <c r="F947" s="4" t="inlineStr">
        <is>
          <t>Zombie vs Orphan Processes</t>
        </is>
      </c>
      <c r="G947" s="4" t="inlineStr">
        <is>
          <t>OSMCQ006</t>
        </is>
      </c>
      <c r="H947" s="4" t="inlineStr"/>
      <c r="I947" s="4" t="inlineStr">
        <is>
          <t>Easy</t>
        </is>
      </c>
      <c r="J947" s="5">
        <f>HYPERLINK("https://www.codechef.com/problems/OSMCQ006", "https://www.codechef.com/problems/OSMCQ006")</f>
        <v/>
      </c>
      <c r="K947" s="4" t="inlineStr"/>
      <c r="L947" s="4" t="inlineStr"/>
      <c r="M947" s="4" t="inlineStr"/>
      <c r="N947" s="4" t="inlineStr">
        <is>
          <t>No</t>
        </is>
      </c>
      <c r="O947" s="4" t="inlineStr">
        <is>
          <t>Unattempted</t>
        </is>
      </c>
    </row>
    <row r="948">
      <c r="A948" s="2" t="inlineStr">
        <is>
          <t>Interview Questions</t>
        </is>
      </c>
      <c r="B948" s="2" t="inlineStr">
        <is>
          <t>Operating systems Interview Questions</t>
        </is>
      </c>
      <c r="C948" s="2" t="inlineStr">
        <is>
          <t>Revise all the important Operating Systems concepts and practice lots of MCQ questions to prepare for interviews.</t>
        </is>
      </c>
      <c r="D948" s="2" t="inlineStr">
        <is>
          <t>Process Management - Process Management</t>
        </is>
      </c>
      <c r="E948" s="2" t="n">
        <v>9</v>
      </c>
      <c r="F948" s="2" t="inlineStr">
        <is>
          <t>Process States and Transitions</t>
        </is>
      </c>
      <c r="G948" s="2" t="inlineStr">
        <is>
          <t>OSP02</t>
        </is>
      </c>
      <c r="H948" s="2" t="inlineStr"/>
      <c r="I948" s="2" t="inlineStr">
        <is>
          <t>Easy</t>
        </is>
      </c>
      <c r="J948" s="3">
        <f>HYPERLINK("https://www.codechef.com/problems/OSP02", "https://www.codechef.com/problems/OSP02")</f>
        <v/>
      </c>
      <c r="K948" s="2" t="inlineStr"/>
      <c r="L948" s="2" t="inlineStr"/>
      <c r="M948" s="2" t="inlineStr"/>
      <c r="N948" s="2" t="inlineStr">
        <is>
          <t>No</t>
        </is>
      </c>
      <c r="O948" s="2" t="inlineStr">
        <is>
          <t>Unattempted</t>
        </is>
      </c>
    </row>
    <row r="949">
      <c r="A949" s="4" t="inlineStr">
        <is>
          <t>Interview Questions</t>
        </is>
      </c>
      <c r="B949" s="4" t="inlineStr">
        <is>
          <t>Operating systems Interview Questions</t>
        </is>
      </c>
      <c r="C949" s="4" t="inlineStr">
        <is>
          <t>Revise all the important Operating Systems concepts and practice lots of MCQ questions to prepare for interviews.</t>
        </is>
      </c>
      <c r="D949" s="4" t="inlineStr">
        <is>
          <t>Process Management - Process Management</t>
        </is>
      </c>
      <c r="E949" s="4" t="n">
        <v>10</v>
      </c>
      <c r="F949" s="4" t="inlineStr">
        <is>
          <t>Process State Transition</t>
        </is>
      </c>
      <c r="G949" s="4" t="inlineStr">
        <is>
          <t>OSMCQ007</t>
        </is>
      </c>
      <c r="H949" s="4" t="inlineStr"/>
      <c r="I949" s="4" t="inlineStr">
        <is>
          <t>Easy</t>
        </is>
      </c>
      <c r="J949" s="5">
        <f>HYPERLINK("https://www.codechef.com/problems/OSMCQ007", "https://www.codechef.com/problems/OSMCQ007")</f>
        <v/>
      </c>
      <c r="K949" s="4" t="inlineStr"/>
      <c r="L949" s="4" t="inlineStr"/>
      <c r="M949" s="4" t="inlineStr"/>
      <c r="N949" s="4" t="inlineStr">
        <is>
          <t>No</t>
        </is>
      </c>
      <c r="O949" s="4" t="inlineStr">
        <is>
          <t>Unattempted</t>
        </is>
      </c>
    </row>
    <row r="950">
      <c r="A950" s="2" t="inlineStr">
        <is>
          <t>Interview Questions</t>
        </is>
      </c>
      <c r="B950" s="2" t="inlineStr">
        <is>
          <t>Operating systems Interview Questions</t>
        </is>
      </c>
      <c r="C950" s="2" t="inlineStr">
        <is>
          <t>Revise all the important Operating Systems concepts and practice lots of MCQ questions to prepare for interviews.</t>
        </is>
      </c>
      <c r="D950" s="2" t="inlineStr">
        <is>
          <t>Process Management - Process Management</t>
        </is>
      </c>
      <c r="E950" s="2" t="n">
        <v>11</v>
      </c>
      <c r="F950" s="2" t="inlineStr">
        <is>
          <t>Process Waiting State</t>
        </is>
      </c>
      <c r="G950" s="2" t="inlineStr">
        <is>
          <t>OSMCQ008</t>
        </is>
      </c>
      <c r="H950" s="2" t="inlineStr"/>
      <c r="I950" s="2" t="inlineStr">
        <is>
          <t>Easy</t>
        </is>
      </c>
      <c r="J950" s="3">
        <f>HYPERLINK("https://www.codechef.com/problems/OSMCQ008", "https://www.codechef.com/problems/OSMCQ008")</f>
        <v/>
      </c>
      <c r="K950" s="2" t="inlineStr"/>
      <c r="L950" s="2" t="inlineStr"/>
      <c r="M950" s="2" t="inlineStr"/>
      <c r="N950" s="2" t="inlineStr">
        <is>
          <t>No</t>
        </is>
      </c>
      <c r="O950" s="2" t="inlineStr">
        <is>
          <t>Unattempted</t>
        </is>
      </c>
    </row>
    <row r="951">
      <c r="A951" s="4" t="inlineStr">
        <is>
          <t>Interview Questions</t>
        </is>
      </c>
      <c r="B951" s="4" t="inlineStr">
        <is>
          <t>Operating systems Interview Questions</t>
        </is>
      </c>
      <c r="C951" s="4" t="inlineStr">
        <is>
          <t>Revise all the important Operating Systems concepts and practice lots of MCQ questions to prepare for interviews.</t>
        </is>
      </c>
      <c r="D951" s="4" t="inlineStr">
        <is>
          <t>Process Management - Process Management</t>
        </is>
      </c>
      <c r="E951" s="4" t="n">
        <v>12</v>
      </c>
      <c r="F951" s="4" t="inlineStr">
        <is>
          <t>Context Switching</t>
        </is>
      </c>
      <c r="G951" s="4" t="inlineStr">
        <is>
          <t>OSMCQ009</t>
        </is>
      </c>
      <c r="H951" s="4" t="inlineStr"/>
      <c r="I951" s="4" t="inlineStr">
        <is>
          <t>Medium</t>
        </is>
      </c>
      <c r="J951" s="5">
        <f>HYPERLINK("https://www.codechef.com/problems/OSMCQ009", "https://www.codechef.com/problems/OSMCQ009")</f>
        <v/>
      </c>
      <c r="K951" s="4" t="inlineStr"/>
      <c r="L951" s="4" t="inlineStr"/>
      <c r="M951" s="4" t="inlineStr"/>
      <c r="N951" s="4" t="inlineStr">
        <is>
          <t>No</t>
        </is>
      </c>
      <c r="O951" s="4" t="inlineStr">
        <is>
          <t>Unattempted</t>
        </is>
      </c>
    </row>
    <row r="952">
      <c r="A952" s="2" t="inlineStr">
        <is>
          <t>Interview Questions</t>
        </is>
      </c>
      <c r="B952" s="2" t="inlineStr">
        <is>
          <t>Operating systems Interview Questions</t>
        </is>
      </c>
      <c r="C952" s="2" t="inlineStr">
        <is>
          <t>Revise all the important Operating Systems concepts and practice lots of MCQ questions to prepare for interviews.</t>
        </is>
      </c>
      <c r="D952" s="2" t="inlineStr">
        <is>
          <t>Process Management - Process Management</t>
        </is>
      </c>
      <c r="E952" s="2" t="n">
        <v>13</v>
      </c>
      <c r="F952" s="2" t="inlineStr">
        <is>
          <t>Process Control Block (PCB)</t>
        </is>
      </c>
      <c r="G952" s="2" t="inlineStr">
        <is>
          <t>OSP04</t>
        </is>
      </c>
      <c r="H952" s="2" t="inlineStr"/>
      <c r="I952" s="2" t="inlineStr">
        <is>
          <t>Easy</t>
        </is>
      </c>
      <c r="J952" s="3">
        <f>HYPERLINK("https://www.codechef.com/problems/OSP04", "https://www.codechef.com/problems/OSP04")</f>
        <v/>
      </c>
      <c r="K952" s="2" t="inlineStr"/>
      <c r="L952" s="2" t="inlineStr"/>
      <c r="M952" s="2" t="inlineStr"/>
      <c r="N952" s="2" t="inlineStr">
        <is>
          <t>No</t>
        </is>
      </c>
      <c r="O952" s="2" t="inlineStr">
        <is>
          <t>Unattempted</t>
        </is>
      </c>
    </row>
    <row r="953">
      <c r="A953" s="4" t="inlineStr">
        <is>
          <t>Interview Questions</t>
        </is>
      </c>
      <c r="B953" s="4" t="inlineStr">
        <is>
          <t>Operating systems Interview Questions</t>
        </is>
      </c>
      <c r="C953" s="4" t="inlineStr">
        <is>
          <t>Revise all the important Operating Systems concepts and practice lots of MCQ questions to prepare for interviews.</t>
        </is>
      </c>
      <c r="D953" s="4" t="inlineStr">
        <is>
          <t>Process Management - Process Management</t>
        </is>
      </c>
      <c r="E953" s="4" t="n">
        <v>14</v>
      </c>
      <c r="F953" s="4" t="inlineStr">
        <is>
          <t>PCB Purpose</t>
        </is>
      </c>
      <c r="G953" s="4" t="inlineStr">
        <is>
          <t>OSMCQ010</t>
        </is>
      </c>
      <c r="H953" s="4" t="inlineStr"/>
      <c r="I953" s="4" t="inlineStr">
        <is>
          <t>Easy</t>
        </is>
      </c>
      <c r="J953" s="5">
        <f>HYPERLINK("https://www.codechef.com/problems/OSMCQ010", "https://www.codechef.com/problems/OSMCQ010")</f>
        <v/>
      </c>
      <c r="K953" s="4" t="inlineStr"/>
      <c r="L953" s="4" t="inlineStr"/>
      <c r="M953" s="4" t="inlineStr"/>
      <c r="N953" s="4" t="inlineStr">
        <is>
          <t>No</t>
        </is>
      </c>
      <c r="O953" s="4" t="inlineStr">
        <is>
          <t>Unattempted</t>
        </is>
      </c>
    </row>
    <row r="954">
      <c r="A954" s="2" t="inlineStr">
        <is>
          <t>Interview Questions</t>
        </is>
      </c>
      <c r="B954" s="2" t="inlineStr">
        <is>
          <t>Operating systems Interview Questions</t>
        </is>
      </c>
      <c r="C954" s="2" t="inlineStr">
        <is>
          <t>Revise all the important Operating Systems concepts and practice lots of MCQ questions to prepare for interviews.</t>
        </is>
      </c>
      <c r="D954" s="2" t="inlineStr">
        <is>
          <t>Process Management - Process Management</t>
        </is>
      </c>
      <c r="E954" s="2" t="n">
        <v>15</v>
      </c>
      <c r="F954" s="2" t="inlineStr">
        <is>
          <t>PCB Contents</t>
        </is>
      </c>
      <c r="G954" s="2" t="inlineStr">
        <is>
          <t>OSMCQ011</t>
        </is>
      </c>
      <c r="H954" s="2" t="inlineStr"/>
      <c r="I954" s="2" t="inlineStr">
        <is>
          <t>Easy</t>
        </is>
      </c>
      <c r="J954" s="3">
        <f>HYPERLINK("https://www.codechef.com/problems/OSMCQ011", "https://www.codechef.com/problems/OSMCQ011")</f>
        <v/>
      </c>
      <c r="K954" s="2" t="inlineStr"/>
      <c r="L954" s="2" t="inlineStr"/>
      <c r="M954" s="2" t="inlineStr"/>
      <c r="N954" s="2" t="inlineStr">
        <is>
          <t>No</t>
        </is>
      </c>
      <c r="O954" s="2" t="inlineStr">
        <is>
          <t>Unattempted</t>
        </is>
      </c>
    </row>
    <row r="955">
      <c r="A955" s="4" t="inlineStr">
        <is>
          <t>Interview Questions</t>
        </is>
      </c>
      <c r="B955" s="4" t="inlineStr">
        <is>
          <t>Operating systems Interview Questions</t>
        </is>
      </c>
      <c r="C955" s="4" t="inlineStr">
        <is>
          <t>Revise all the important Operating Systems concepts and practice lots of MCQ questions to prepare for interviews.</t>
        </is>
      </c>
      <c r="D955" s="4" t="inlineStr">
        <is>
          <t>Process Management - Process Management</t>
        </is>
      </c>
      <c r="E955" s="4" t="n">
        <v>16</v>
      </c>
      <c r="F955" s="4" t="inlineStr">
        <is>
          <t>Context Switching and PCB</t>
        </is>
      </c>
      <c r="G955" s="4" t="inlineStr">
        <is>
          <t>OSMCQ012</t>
        </is>
      </c>
      <c r="H955" s="4" t="inlineStr"/>
      <c r="I955" s="4" t="inlineStr">
        <is>
          <t>Medium</t>
        </is>
      </c>
      <c r="J955" s="5">
        <f>HYPERLINK("https://www.codechef.com/problems/OSMCQ012", "https://www.codechef.com/problems/OSMCQ012")</f>
        <v/>
      </c>
      <c r="K955" s="4" t="inlineStr"/>
      <c r="L955" s="4" t="inlineStr"/>
      <c r="M955" s="4" t="inlineStr"/>
      <c r="N955" s="4" t="inlineStr">
        <is>
          <t>No</t>
        </is>
      </c>
      <c r="O955" s="4" t="inlineStr">
        <is>
          <t>Unattempted</t>
        </is>
      </c>
    </row>
    <row r="956">
      <c r="A956" s="2" t="inlineStr">
        <is>
          <t>Interview Questions</t>
        </is>
      </c>
      <c r="B956" s="2" t="inlineStr">
        <is>
          <t>Operating systems Interview Questions</t>
        </is>
      </c>
      <c r="C956" s="2" t="inlineStr">
        <is>
          <t>Revise all the important Operating Systems concepts and practice lots of MCQ questions to prepare for interviews.</t>
        </is>
      </c>
      <c r="D956" s="2" t="inlineStr">
        <is>
          <t>Process Management - Process Management</t>
        </is>
      </c>
      <c r="E956" s="2" t="n">
        <v>17</v>
      </c>
      <c r="F956" s="2" t="inlineStr">
        <is>
          <t>Context Switching in Operating Systems</t>
        </is>
      </c>
      <c r="G956" s="2" t="inlineStr">
        <is>
          <t>OSP05</t>
        </is>
      </c>
      <c r="H956" s="2" t="inlineStr"/>
      <c r="I956" s="2" t="inlineStr">
        <is>
          <t>Easy</t>
        </is>
      </c>
      <c r="J956" s="3">
        <f>HYPERLINK("https://www.codechef.com/problems/OSP05", "https://www.codechef.com/problems/OSP05")</f>
        <v/>
      </c>
      <c r="K956" s="2" t="inlineStr"/>
      <c r="L956" s="2" t="inlineStr"/>
      <c r="M956" s="2" t="inlineStr"/>
      <c r="N956" s="2" t="inlineStr">
        <is>
          <t>No</t>
        </is>
      </c>
      <c r="O956" s="2" t="inlineStr">
        <is>
          <t>Unattempted</t>
        </is>
      </c>
    </row>
    <row r="957">
      <c r="A957" s="4" t="inlineStr">
        <is>
          <t>Interview Questions</t>
        </is>
      </c>
      <c r="B957" s="4" t="inlineStr">
        <is>
          <t>Operating systems Interview Questions</t>
        </is>
      </c>
      <c r="C957" s="4" t="inlineStr">
        <is>
          <t>Revise all the important Operating Systems concepts and practice lots of MCQ questions to prepare for interviews.</t>
        </is>
      </c>
      <c r="D957" s="4" t="inlineStr">
        <is>
          <t>Process Management - Process Management</t>
        </is>
      </c>
      <c r="E957" s="4" t="n">
        <v>18</v>
      </c>
      <c r="F957" s="4" t="inlineStr">
        <is>
          <t>Context Switching Definition</t>
        </is>
      </c>
      <c r="G957" s="4" t="inlineStr">
        <is>
          <t>OSMCQ013</t>
        </is>
      </c>
      <c r="H957" s="4" t="inlineStr"/>
      <c r="I957" s="4" t="inlineStr">
        <is>
          <t>Easy</t>
        </is>
      </c>
      <c r="J957" s="5">
        <f>HYPERLINK("https://www.codechef.com/problems/OSMCQ013", "https://www.codechef.com/problems/OSMCQ013")</f>
        <v/>
      </c>
      <c r="K957" s="4" t="inlineStr"/>
      <c r="L957" s="4" t="inlineStr"/>
      <c r="M957" s="4" t="inlineStr"/>
      <c r="N957" s="4" t="inlineStr">
        <is>
          <t>No</t>
        </is>
      </c>
      <c r="O957" s="4" t="inlineStr">
        <is>
          <t>Unattempted</t>
        </is>
      </c>
    </row>
    <row r="958">
      <c r="A958" s="2" t="inlineStr">
        <is>
          <t>Interview Questions</t>
        </is>
      </c>
      <c r="B958" s="2" t="inlineStr">
        <is>
          <t>Operating systems Interview Questions</t>
        </is>
      </c>
      <c r="C958" s="2" t="inlineStr">
        <is>
          <t>Revise all the important Operating Systems concepts and practice lots of MCQ questions to prepare for interviews.</t>
        </is>
      </c>
      <c r="D958" s="2" t="inlineStr">
        <is>
          <t>Process Management - Process Management</t>
        </is>
      </c>
      <c r="E958" s="2" t="n">
        <v>19</v>
      </c>
      <c r="F958" s="2" t="inlineStr">
        <is>
          <t>Context Switch Information</t>
        </is>
      </c>
      <c r="G958" s="2" t="inlineStr">
        <is>
          <t>OSMCQ014</t>
        </is>
      </c>
      <c r="H958" s="2" t="inlineStr"/>
      <c r="I958" s="2" t="inlineStr">
        <is>
          <t>Easy</t>
        </is>
      </c>
      <c r="J958" s="3">
        <f>HYPERLINK("https://www.codechef.com/problems/OSMCQ014", "https://www.codechef.com/problems/OSMCQ014")</f>
        <v/>
      </c>
      <c r="K958" s="2" t="inlineStr"/>
      <c r="L958" s="2" t="inlineStr"/>
      <c r="M958" s="2" t="inlineStr"/>
      <c r="N958" s="2" t="inlineStr">
        <is>
          <t>No</t>
        </is>
      </c>
      <c r="O958" s="2" t="inlineStr">
        <is>
          <t>Unattempted</t>
        </is>
      </c>
    </row>
    <row r="959">
      <c r="A959" s="4" t="inlineStr">
        <is>
          <t>Interview Questions</t>
        </is>
      </c>
      <c r="B959" s="4" t="inlineStr">
        <is>
          <t>Operating systems Interview Questions</t>
        </is>
      </c>
      <c r="C959" s="4" t="inlineStr">
        <is>
          <t>Revise all the important Operating Systems concepts and practice lots of MCQ questions to prepare for interviews.</t>
        </is>
      </c>
      <c r="D959" s="4" t="inlineStr">
        <is>
          <t>Process Management - Process Management</t>
        </is>
      </c>
      <c r="E959" s="4" t="n">
        <v>20</v>
      </c>
      <c r="F959" s="4" t="inlineStr">
        <is>
          <t>Context Switching Performance</t>
        </is>
      </c>
      <c r="G959" s="4" t="inlineStr">
        <is>
          <t>OSMCQ015</t>
        </is>
      </c>
      <c r="H959" s="4" t="inlineStr"/>
      <c r="I959" s="4" t="inlineStr">
        <is>
          <t>Medium</t>
        </is>
      </c>
      <c r="J959" s="5">
        <f>HYPERLINK("https://www.codechef.com/problems/OSMCQ015", "https://www.codechef.com/problems/OSMCQ015")</f>
        <v/>
      </c>
      <c r="K959" s="4" t="inlineStr"/>
      <c r="L959" s="4" t="inlineStr"/>
      <c r="M959" s="4" t="inlineStr"/>
      <c r="N959" s="4" t="inlineStr">
        <is>
          <t>No</t>
        </is>
      </c>
      <c r="O959" s="4" t="inlineStr">
        <is>
          <t>Unattempted</t>
        </is>
      </c>
    </row>
    <row r="960">
      <c r="A960" s="2" t="inlineStr">
        <is>
          <t>Interview Questions</t>
        </is>
      </c>
      <c r="B960" s="2" t="inlineStr">
        <is>
          <t>Operating systems Interview Questions</t>
        </is>
      </c>
      <c r="C960" s="2" t="inlineStr">
        <is>
          <t>Revise all the important Operating Systems concepts and practice lots of MCQ questions to prepare for interviews.</t>
        </is>
      </c>
      <c r="D960" s="2" t="inlineStr">
        <is>
          <t>Process Management - Process Management</t>
        </is>
      </c>
      <c r="E960" s="2" t="n">
        <v>21</v>
      </c>
      <c r="F960" s="2" t="inlineStr">
        <is>
          <t>Inter-process Communication (IPC)</t>
        </is>
      </c>
      <c r="G960" s="2" t="inlineStr">
        <is>
          <t>OSP06</t>
        </is>
      </c>
      <c r="H960" s="2" t="inlineStr"/>
      <c r="I960" s="2" t="inlineStr">
        <is>
          <t>Easy</t>
        </is>
      </c>
      <c r="J960" s="3">
        <f>HYPERLINK("https://www.codechef.com/problems/OSP06", "https://www.codechef.com/problems/OSP06")</f>
        <v/>
      </c>
      <c r="K960" s="2" t="inlineStr"/>
      <c r="L960" s="2" t="inlineStr"/>
      <c r="M960" s="2" t="inlineStr"/>
      <c r="N960" s="2" t="inlineStr">
        <is>
          <t>No</t>
        </is>
      </c>
      <c r="O960" s="2" t="inlineStr">
        <is>
          <t>Unattempted</t>
        </is>
      </c>
    </row>
    <row r="961">
      <c r="A961" s="4" t="inlineStr">
        <is>
          <t>Interview Questions</t>
        </is>
      </c>
      <c r="B961" s="4" t="inlineStr">
        <is>
          <t>Operating systems Interview Questions</t>
        </is>
      </c>
      <c r="C961" s="4" t="inlineStr">
        <is>
          <t>Revise all the important Operating Systems concepts and practice lots of MCQ questions to prepare for interviews.</t>
        </is>
      </c>
      <c r="D961" s="4" t="inlineStr">
        <is>
          <t>Process Management - Process Management</t>
        </is>
      </c>
      <c r="E961" s="4" t="n">
        <v>22</v>
      </c>
      <c r="F961" s="4" t="inlineStr">
        <is>
          <t>IPC Methods</t>
        </is>
      </c>
      <c r="G961" s="4" t="inlineStr">
        <is>
          <t>OSMCQ016</t>
        </is>
      </c>
      <c r="H961" s="4" t="inlineStr"/>
      <c r="I961" s="4" t="inlineStr">
        <is>
          <t>Easy</t>
        </is>
      </c>
      <c r="J961" s="5">
        <f>HYPERLINK("https://www.codechef.com/problems/OSMCQ016", "https://www.codechef.com/problems/OSMCQ016")</f>
        <v/>
      </c>
      <c r="K961" s="4" t="inlineStr"/>
      <c r="L961" s="4" t="inlineStr"/>
      <c r="M961" s="4" t="inlineStr"/>
      <c r="N961" s="4" t="inlineStr">
        <is>
          <t>No</t>
        </is>
      </c>
      <c r="O961" s="4" t="inlineStr">
        <is>
          <t>Unattempted</t>
        </is>
      </c>
    </row>
    <row r="962">
      <c r="A962" s="2" t="inlineStr">
        <is>
          <t>Interview Questions</t>
        </is>
      </c>
      <c r="B962" s="2" t="inlineStr">
        <is>
          <t>Operating systems Interview Questions</t>
        </is>
      </c>
      <c r="C962" s="2" t="inlineStr">
        <is>
          <t>Revise all the important Operating Systems concepts and practice lots of MCQ questions to prepare for interviews.</t>
        </is>
      </c>
      <c r="D962" s="2" t="inlineStr">
        <is>
          <t>Process Management - Process Management</t>
        </is>
      </c>
      <c r="E962" s="2" t="n">
        <v>23</v>
      </c>
      <c r="F962" s="2" t="inlineStr">
        <is>
          <t>Pipe Example</t>
        </is>
      </c>
      <c r="G962" s="2" t="inlineStr">
        <is>
          <t>OSMCQ017</t>
        </is>
      </c>
      <c r="H962" s="2" t="inlineStr"/>
      <c r="I962" s="2" t="inlineStr">
        <is>
          <t>Easy</t>
        </is>
      </c>
      <c r="J962" s="3">
        <f>HYPERLINK("https://www.codechef.com/problems/OSMCQ017", "https://www.codechef.com/problems/OSMCQ017")</f>
        <v/>
      </c>
      <c r="K962" s="2" t="inlineStr"/>
      <c r="L962" s="2" t="inlineStr"/>
      <c r="M962" s="2" t="inlineStr"/>
      <c r="N962" s="2" t="inlineStr">
        <is>
          <t>No</t>
        </is>
      </c>
      <c r="O962" s="2" t="inlineStr">
        <is>
          <t>Unattempted</t>
        </is>
      </c>
    </row>
    <row r="963">
      <c r="A963" s="4" t="inlineStr">
        <is>
          <t>Interview Questions</t>
        </is>
      </c>
      <c r="B963" s="4" t="inlineStr">
        <is>
          <t>Operating systems Interview Questions</t>
        </is>
      </c>
      <c r="C963" s="4" t="inlineStr">
        <is>
          <t>Revise all the important Operating Systems concepts and practice lots of MCQ questions to prepare for interviews.</t>
        </is>
      </c>
      <c r="D963" s="4" t="inlineStr">
        <is>
          <t>Process Management - Process Management</t>
        </is>
      </c>
      <c r="E963" s="4" t="n">
        <v>24</v>
      </c>
      <c r="F963" s="4" t="inlineStr">
        <is>
          <t>IPC Advantages and Disadvantages</t>
        </is>
      </c>
      <c r="G963" s="4" t="inlineStr">
        <is>
          <t>OSMCQ018</t>
        </is>
      </c>
      <c r="H963" s="4" t="inlineStr"/>
      <c r="I963" s="4" t="inlineStr">
        <is>
          <t>Easy</t>
        </is>
      </c>
      <c r="J963" s="5">
        <f>HYPERLINK("https://www.codechef.com/problems/OSMCQ018", "https://www.codechef.com/problems/OSMCQ018")</f>
        <v/>
      </c>
      <c r="K963" s="4" t="inlineStr"/>
      <c r="L963" s="4" t="inlineStr"/>
      <c r="M963" s="4" t="inlineStr"/>
      <c r="N963" s="4" t="inlineStr">
        <is>
          <t>No</t>
        </is>
      </c>
      <c r="O963" s="4" t="inlineStr">
        <is>
          <t>Unattempted</t>
        </is>
      </c>
    </row>
    <row r="964">
      <c r="A964" s="2" t="inlineStr">
        <is>
          <t>Interview Questions</t>
        </is>
      </c>
      <c r="B964" s="2" t="inlineStr">
        <is>
          <t>Operating systems Interview Questions</t>
        </is>
      </c>
      <c r="C964" s="2" t="inlineStr">
        <is>
          <t>Revise all the important Operating Systems concepts and practice lots of MCQ questions to prepare for interviews.</t>
        </is>
      </c>
      <c r="D964" s="2" t="inlineStr">
        <is>
          <t>Memory Management - Memory Management</t>
        </is>
      </c>
      <c r="E964" s="2" t="n">
        <v>25</v>
      </c>
      <c r="F964" s="2" t="inlineStr">
        <is>
          <t>Introduction to Memory Management</t>
        </is>
      </c>
      <c r="G964" s="2" t="inlineStr">
        <is>
          <t>OSP07</t>
        </is>
      </c>
      <c r="H964" s="2" t="inlineStr"/>
      <c r="I964" s="2" t="inlineStr">
        <is>
          <t>Easy</t>
        </is>
      </c>
      <c r="J964" s="3">
        <f>HYPERLINK("https://www.codechef.com/problems/OSP07", "https://www.codechef.com/problems/OSP07")</f>
        <v/>
      </c>
      <c r="K964" s="2" t="inlineStr"/>
      <c r="L964" s="2" t="inlineStr"/>
      <c r="M964" s="2" t="inlineStr"/>
      <c r="N964" s="2" t="inlineStr">
        <is>
          <t>No</t>
        </is>
      </c>
      <c r="O964" s="2" t="inlineStr">
        <is>
          <t>Unattempted</t>
        </is>
      </c>
    </row>
    <row r="965">
      <c r="A965" s="4" t="inlineStr">
        <is>
          <t>Interview Questions</t>
        </is>
      </c>
      <c r="B965" s="4" t="inlineStr">
        <is>
          <t>Operating systems Interview Questions</t>
        </is>
      </c>
      <c r="C965" s="4" t="inlineStr">
        <is>
          <t>Revise all the important Operating Systems concepts and practice lots of MCQ questions to prepare for interviews.</t>
        </is>
      </c>
      <c r="D965" s="4" t="inlineStr">
        <is>
          <t>Memory Management - Memory Management</t>
        </is>
      </c>
      <c r="E965" s="4" t="n">
        <v>26</v>
      </c>
      <c r="F965" s="4" t="inlineStr">
        <is>
          <t>Memory Management Definition</t>
        </is>
      </c>
      <c r="G965" s="4" t="inlineStr">
        <is>
          <t>OSMCQ019</t>
        </is>
      </c>
      <c r="H965" s="4" t="inlineStr"/>
      <c r="I965" s="4" t="inlineStr">
        <is>
          <t>Easy</t>
        </is>
      </c>
      <c r="J965" s="5">
        <f>HYPERLINK("https://www.codechef.com/problems/OSMCQ019", "https://www.codechef.com/problems/OSMCQ019")</f>
        <v/>
      </c>
      <c r="K965" s="4" t="inlineStr"/>
      <c r="L965" s="4" t="inlineStr"/>
      <c r="M965" s="4" t="inlineStr"/>
      <c r="N965" s="4" t="inlineStr">
        <is>
          <t>No</t>
        </is>
      </c>
      <c r="O965" s="4" t="inlineStr">
        <is>
          <t>Unattempted</t>
        </is>
      </c>
    </row>
    <row r="966">
      <c r="A966" s="2" t="inlineStr">
        <is>
          <t>Interview Questions</t>
        </is>
      </c>
      <c r="B966" s="2" t="inlineStr">
        <is>
          <t>Operating systems Interview Questions</t>
        </is>
      </c>
      <c r="C966" s="2" t="inlineStr">
        <is>
          <t>Revise all the important Operating Systems concepts and practice lots of MCQ questions to prepare for interviews.</t>
        </is>
      </c>
      <c r="D966" s="2" t="inlineStr">
        <is>
          <t>Memory Management - Memory Management</t>
        </is>
      </c>
      <c r="E966" s="2" t="n">
        <v>27</v>
      </c>
      <c r="F966" s="2" t="inlineStr">
        <is>
          <t>Memory Management Analogy</t>
        </is>
      </c>
      <c r="G966" s="2" t="inlineStr">
        <is>
          <t>OSMCQ020</t>
        </is>
      </c>
      <c r="H966" s="2" t="inlineStr"/>
      <c r="I966" s="2" t="inlineStr">
        <is>
          <t>Easy</t>
        </is>
      </c>
      <c r="J966" s="3">
        <f>HYPERLINK("https://www.codechef.com/problems/OSMCQ020", "https://www.codechef.com/problems/OSMCQ020")</f>
        <v/>
      </c>
      <c r="K966" s="2" t="inlineStr"/>
      <c r="L966" s="2" t="inlineStr"/>
      <c r="M966" s="2" t="inlineStr"/>
      <c r="N966" s="2" t="inlineStr">
        <is>
          <t>No</t>
        </is>
      </c>
      <c r="O966" s="2" t="inlineStr">
        <is>
          <t>Unattempted</t>
        </is>
      </c>
    </row>
    <row r="967">
      <c r="A967" s="4" t="inlineStr">
        <is>
          <t>Interview Questions</t>
        </is>
      </c>
      <c r="B967" s="4" t="inlineStr">
        <is>
          <t>Operating systems Interview Questions</t>
        </is>
      </c>
      <c r="C967" s="4" t="inlineStr">
        <is>
          <t>Revise all the important Operating Systems concepts and practice lots of MCQ questions to prepare for interviews.</t>
        </is>
      </c>
      <c r="D967" s="4" t="inlineStr">
        <is>
          <t>Memory Management - Memory Management</t>
        </is>
      </c>
      <c r="E967" s="4" t="n">
        <v>28</v>
      </c>
      <c r="F967" s="4" t="inlineStr">
        <is>
          <t>Importance of Memory Management</t>
        </is>
      </c>
      <c r="G967" s="4" t="inlineStr">
        <is>
          <t>OSMCQ021</t>
        </is>
      </c>
      <c r="H967" s="4" t="inlineStr"/>
      <c r="I967" s="4" t="inlineStr">
        <is>
          <t>Easy</t>
        </is>
      </c>
      <c r="J967" s="5">
        <f>HYPERLINK("https://www.codechef.com/problems/OSMCQ021", "https://www.codechef.com/problems/OSMCQ021")</f>
        <v/>
      </c>
      <c r="K967" s="4" t="inlineStr"/>
      <c r="L967" s="4" t="inlineStr"/>
      <c r="M967" s="4" t="inlineStr"/>
      <c r="N967" s="4" t="inlineStr">
        <is>
          <t>No</t>
        </is>
      </c>
      <c r="O967" s="4" t="inlineStr">
        <is>
          <t>Unattempted</t>
        </is>
      </c>
    </row>
    <row r="968">
      <c r="A968" s="2" t="inlineStr">
        <is>
          <t>Interview Questions</t>
        </is>
      </c>
      <c r="B968" s="2" t="inlineStr">
        <is>
          <t>Operating systems Interview Questions</t>
        </is>
      </c>
      <c r="C968" s="2" t="inlineStr">
        <is>
          <t>Revise all the important Operating Systems concepts and practice lots of MCQ questions to prepare for interviews.</t>
        </is>
      </c>
      <c r="D968" s="2" t="inlineStr">
        <is>
          <t>Memory Management - Memory Management</t>
        </is>
      </c>
      <c r="E968" s="2" t="n">
        <v>29</v>
      </c>
      <c r="F968" s="2" t="inlineStr">
        <is>
          <t>Virtual Memory</t>
        </is>
      </c>
      <c r="G968" s="2" t="inlineStr">
        <is>
          <t>OSP08</t>
        </is>
      </c>
      <c r="H968" s="2" t="inlineStr"/>
      <c r="I968" s="2" t="inlineStr">
        <is>
          <t>Medium</t>
        </is>
      </c>
      <c r="J968" s="3">
        <f>HYPERLINK("https://www.codechef.com/problems/OSP08", "https://www.codechef.com/problems/OSP08")</f>
        <v/>
      </c>
      <c r="K968" s="2" t="inlineStr"/>
      <c r="L968" s="2" t="inlineStr"/>
      <c r="M968" s="2" t="inlineStr"/>
      <c r="N968" s="2" t="inlineStr">
        <is>
          <t>No</t>
        </is>
      </c>
      <c r="O968" s="2" t="inlineStr">
        <is>
          <t>Unattempted</t>
        </is>
      </c>
    </row>
    <row r="969">
      <c r="A969" s="4" t="inlineStr">
        <is>
          <t>Interview Questions</t>
        </is>
      </c>
      <c r="B969" s="4" t="inlineStr">
        <is>
          <t>Operating systems Interview Questions</t>
        </is>
      </c>
      <c r="C969" s="4" t="inlineStr">
        <is>
          <t>Revise all the important Operating Systems concepts and practice lots of MCQ questions to prepare for interviews.</t>
        </is>
      </c>
      <c r="D969" s="4" t="inlineStr">
        <is>
          <t>Memory Management - Memory Management</t>
        </is>
      </c>
      <c r="E969" s="4" t="n">
        <v>30</v>
      </c>
      <c r="F969" s="4" t="inlineStr">
        <is>
          <t>Virtual Memory Purpose</t>
        </is>
      </c>
      <c r="G969" s="4" t="inlineStr">
        <is>
          <t>OSMCQ022</t>
        </is>
      </c>
      <c r="H969" s="4" t="inlineStr"/>
      <c r="I969" s="4" t="inlineStr">
        <is>
          <t>Easy</t>
        </is>
      </c>
      <c r="J969" s="5">
        <f>HYPERLINK("https://www.codechef.com/problems/OSMCQ022", "https://www.codechef.com/problems/OSMCQ022")</f>
        <v/>
      </c>
      <c r="K969" s="4" t="inlineStr"/>
      <c r="L969" s="4" t="inlineStr"/>
      <c r="M969" s="4" t="inlineStr"/>
      <c r="N969" s="4" t="inlineStr">
        <is>
          <t>No</t>
        </is>
      </c>
      <c r="O969" s="4" t="inlineStr">
        <is>
          <t>Unattempted</t>
        </is>
      </c>
    </row>
    <row r="970">
      <c r="A970" s="2" t="inlineStr">
        <is>
          <t>Interview Questions</t>
        </is>
      </c>
      <c r="B970" s="2" t="inlineStr">
        <is>
          <t>Operating systems Interview Questions</t>
        </is>
      </c>
      <c r="C970" s="2" t="inlineStr">
        <is>
          <t>Revise all the important Operating Systems concepts and practice lots of MCQ questions to prepare for interviews.</t>
        </is>
      </c>
      <c r="D970" s="2" t="inlineStr">
        <is>
          <t>Memory Management - Memory Management</t>
        </is>
      </c>
      <c r="E970" s="2" t="n">
        <v>31</v>
      </c>
      <c r="F970" s="2" t="inlineStr">
        <is>
          <t>Virtual Memory Mechanism</t>
        </is>
      </c>
      <c r="G970" s="2" t="inlineStr">
        <is>
          <t>OSMCQ023</t>
        </is>
      </c>
      <c r="H970" s="2" t="inlineStr"/>
      <c r="I970" s="2" t="inlineStr">
        <is>
          <t>Hard</t>
        </is>
      </c>
      <c r="J970" s="3">
        <f>HYPERLINK("https://www.codechef.com/problems/OSMCQ023", "https://www.codechef.com/problems/OSMCQ023")</f>
        <v/>
      </c>
      <c r="K970" s="2" t="inlineStr"/>
      <c r="L970" s="2" t="inlineStr"/>
      <c r="M970" s="2" t="inlineStr"/>
      <c r="N970" s="2" t="inlineStr">
        <is>
          <t>No</t>
        </is>
      </c>
      <c r="O970" s="2" t="inlineStr">
        <is>
          <t>Unattempted</t>
        </is>
      </c>
    </row>
    <row r="971">
      <c r="A971" s="4" t="inlineStr">
        <is>
          <t>Interview Questions</t>
        </is>
      </c>
      <c r="B971" s="4" t="inlineStr">
        <is>
          <t>Operating systems Interview Questions</t>
        </is>
      </c>
      <c r="C971" s="4" t="inlineStr">
        <is>
          <t>Revise all the important Operating Systems concepts and practice lots of MCQ questions to prepare for interviews.</t>
        </is>
      </c>
      <c r="D971" s="4" t="inlineStr">
        <is>
          <t>Memory Management - Memory Management</t>
        </is>
      </c>
      <c r="E971" s="4" t="n">
        <v>32</v>
      </c>
      <c r="F971" s="4" t="inlineStr">
        <is>
          <t>Virtual Memory Drawbacks</t>
        </is>
      </c>
      <c r="G971" s="4" t="inlineStr">
        <is>
          <t>OSMCQ024</t>
        </is>
      </c>
      <c r="H971" s="4" t="inlineStr"/>
      <c r="I971" s="4" t="inlineStr">
        <is>
          <t>Easy</t>
        </is>
      </c>
      <c r="J971" s="5">
        <f>HYPERLINK("https://www.codechef.com/problems/OSMCQ024", "https://www.codechef.com/problems/OSMCQ024")</f>
        <v/>
      </c>
      <c r="K971" s="4" t="inlineStr"/>
      <c r="L971" s="4" t="inlineStr"/>
      <c r="M971" s="4" t="inlineStr"/>
      <c r="N971" s="4" t="inlineStr">
        <is>
          <t>No</t>
        </is>
      </c>
      <c r="O971" s="4" t="inlineStr">
        <is>
          <t>Unattempted</t>
        </is>
      </c>
    </row>
    <row r="972">
      <c r="A972" s="2" t="inlineStr">
        <is>
          <t>Interview Questions</t>
        </is>
      </c>
      <c r="B972" s="2" t="inlineStr">
        <is>
          <t>Operating systems Interview Questions</t>
        </is>
      </c>
      <c r="C972" s="2" t="inlineStr">
        <is>
          <t>Revise all the important Operating Systems concepts and practice lots of MCQ questions to prepare for interviews.</t>
        </is>
      </c>
      <c r="D972" s="2" t="inlineStr">
        <is>
          <t>Memory Management - Memory Management</t>
        </is>
      </c>
      <c r="E972" s="2" t="n">
        <v>33</v>
      </c>
      <c r="F972" s="2" t="inlineStr">
        <is>
          <t>Paging and Segmentation</t>
        </is>
      </c>
      <c r="G972" s="2" t="inlineStr">
        <is>
          <t>OSP09</t>
        </is>
      </c>
      <c r="H972" s="2" t="inlineStr"/>
      <c r="I972" s="2" t="inlineStr">
        <is>
          <t>Medium</t>
        </is>
      </c>
      <c r="J972" s="3">
        <f>HYPERLINK("https://www.codechef.com/problems/OSP09", "https://www.codechef.com/problems/OSP09")</f>
        <v/>
      </c>
      <c r="K972" s="2" t="inlineStr"/>
      <c r="L972" s="2" t="inlineStr"/>
      <c r="M972" s="2" t="inlineStr"/>
      <c r="N972" s="2" t="inlineStr">
        <is>
          <t>No</t>
        </is>
      </c>
      <c r="O972" s="2" t="inlineStr">
        <is>
          <t>Unattempted</t>
        </is>
      </c>
    </row>
    <row r="973">
      <c r="A973" s="4" t="inlineStr">
        <is>
          <t>Interview Questions</t>
        </is>
      </c>
      <c r="B973" s="4" t="inlineStr">
        <is>
          <t>Operating systems Interview Questions</t>
        </is>
      </c>
      <c r="C973" s="4" t="inlineStr">
        <is>
          <t>Revise all the important Operating Systems concepts and practice lots of MCQ questions to prepare for interviews.</t>
        </is>
      </c>
      <c r="D973" s="4" t="inlineStr">
        <is>
          <t>Memory Management - Memory Management</t>
        </is>
      </c>
      <c r="E973" s="4" t="n">
        <v>34</v>
      </c>
      <c r="F973" s="4" t="inlineStr">
        <is>
          <t>Paging Characteristics</t>
        </is>
      </c>
      <c r="G973" s="4" t="inlineStr">
        <is>
          <t>OSMCQ025</t>
        </is>
      </c>
      <c r="H973" s="4" t="inlineStr"/>
      <c r="I973" s="4" t="inlineStr">
        <is>
          <t>Easy</t>
        </is>
      </c>
      <c r="J973" s="5">
        <f>HYPERLINK("https://www.codechef.com/problems/OSMCQ025", "https://www.codechef.com/problems/OSMCQ025")</f>
        <v/>
      </c>
      <c r="K973" s="4" t="inlineStr"/>
      <c r="L973" s="4" t="inlineStr"/>
      <c r="M973" s="4" t="inlineStr"/>
      <c r="N973" s="4" t="inlineStr">
        <is>
          <t>No</t>
        </is>
      </c>
      <c r="O973" s="4" t="inlineStr">
        <is>
          <t>Unattempted</t>
        </is>
      </c>
    </row>
    <row r="974">
      <c r="A974" s="2" t="inlineStr">
        <is>
          <t>Interview Questions</t>
        </is>
      </c>
      <c r="B974" s="2" t="inlineStr">
        <is>
          <t>Operating systems Interview Questions</t>
        </is>
      </c>
      <c r="C974" s="2" t="inlineStr">
        <is>
          <t>Revise all the important Operating Systems concepts and practice lots of MCQ questions to prepare for interviews.</t>
        </is>
      </c>
      <c r="D974" s="2" t="inlineStr">
        <is>
          <t>Memory Management - Memory Management</t>
        </is>
      </c>
      <c r="E974" s="2" t="n">
        <v>35</v>
      </c>
      <c r="F974" s="2" t="inlineStr">
        <is>
          <t>Segmentation vs Paging</t>
        </is>
      </c>
      <c r="G974" s="2" t="inlineStr">
        <is>
          <t>OSMCQ026</t>
        </is>
      </c>
      <c r="H974" s="2" t="inlineStr"/>
      <c r="I974" s="2" t="inlineStr">
        <is>
          <t>Medium</t>
        </is>
      </c>
      <c r="J974" s="3">
        <f>HYPERLINK("https://www.codechef.com/problems/OSMCQ026", "https://www.codechef.com/problems/OSMCQ026")</f>
        <v/>
      </c>
      <c r="K974" s="2" t="inlineStr"/>
      <c r="L974" s="2" t="inlineStr"/>
      <c r="M974" s="2" t="inlineStr"/>
      <c r="N974" s="2" t="inlineStr">
        <is>
          <t>No</t>
        </is>
      </c>
      <c r="O974" s="2" t="inlineStr">
        <is>
          <t>Unattempted</t>
        </is>
      </c>
    </row>
    <row r="975">
      <c r="A975" s="4" t="inlineStr">
        <is>
          <t>Interview Questions</t>
        </is>
      </c>
      <c r="B975" s="4" t="inlineStr">
        <is>
          <t>Operating systems Interview Questions</t>
        </is>
      </c>
      <c r="C975" s="4" t="inlineStr">
        <is>
          <t>Revise all the important Operating Systems concepts and practice lots of MCQ questions to prepare for interviews.</t>
        </is>
      </c>
      <c r="D975" s="4" t="inlineStr">
        <is>
          <t>Memory Management - Memory Management</t>
        </is>
      </c>
      <c r="E975" s="4" t="n">
        <v>36</v>
      </c>
      <c r="F975" s="4" t="inlineStr">
        <is>
          <t>Paged Segmentation</t>
        </is>
      </c>
      <c r="G975" s="4" t="inlineStr">
        <is>
          <t>OSMCQ027</t>
        </is>
      </c>
      <c r="H975" s="4" t="inlineStr"/>
      <c r="I975" s="4" t="inlineStr">
        <is>
          <t>Medium</t>
        </is>
      </c>
      <c r="J975" s="5">
        <f>HYPERLINK("https://www.codechef.com/problems/OSMCQ027", "https://www.codechef.com/problems/OSMCQ027")</f>
        <v/>
      </c>
      <c r="K975" s="4" t="inlineStr"/>
      <c r="L975" s="4" t="inlineStr"/>
      <c r="M975" s="4" t="inlineStr"/>
      <c r="N975" s="4" t="inlineStr">
        <is>
          <t>No</t>
        </is>
      </c>
      <c r="O975" s="4" t="inlineStr">
        <is>
          <t>Unattempted</t>
        </is>
      </c>
    </row>
    <row r="976">
      <c r="A976" s="2" t="inlineStr">
        <is>
          <t>Interview Questions</t>
        </is>
      </c>
      <c r="B976" s="2" t="inlineStr">
        <is>
          <t>Operating systems Interview Questions</t>
        </is>
      </c>
      <c r="C976" s="2" t="inlineStr">
        <is>
          <t>Revise all the important Operating Systems concepts and practice lots of MCQ questions to prepare for interviews.</t>
        </is>
      </c>
      <c r="D976" s="2" t="inlineStr">
        <is>
          <t>Memory Management - Memory Management</t>
        </is>
      </c>
      <c r="E976" s="2" t="n">
        <v>37</v>
      </c>
      <c r="F976" s="2" t="inlineStr">
        <is>
          <t>Memory Allocation Techniques</t>
        </is>
      </c>
      <c r="G976" s="2" t="inlineStr">
        <is>
          <t>OSP10</t>
        </is>
      </c>
      <c r="H976" s="2" t="inlineStr"/>
      <c r="I976" s="2" t="inlineStr">
        <is>
          <t>Medium</t>
        </is>
      </c>
      <c r="J976" s="3">
        <f>HYPERLINK("https://www.codechef.com/problems/OSP10", "https://www.codechef.com/problems/OSP10")</f>
        <v/>
      </c>
      <c r="K976" s="2" t="inlineStr"/>
      <c r="L976" s="2" t="inlineStr"/>
      <c r="M976" s="2" t="inlineStr"/>
      <c r="N976" s="2" t="inlineStr">
        <is>
          <t>No</t>
        </is>
      </c>
      <c r="O976" s="2" t="inlineStr">
        <is>
          <t>Unattempted</t>
        </is>
      </c>
    </row>
    <row r="977">
      <c r="A977" s="4" t="inlineStr">
        <is>
          <t>Interview Questions</t>
        </is>
      </c>
      <c r="B977" s="4" t="inlineStr">
        <is>
          <t>Operating systems Interview Questions</t>
        </is>
      </c>
      <c r="C977" s="4" t="inlineStr">
        <is>
          <t>Revise all the important Operating Systems concepts and practice lots of MCQ questions to prepare for interviews.</t>
        </is>
      </c>
      <c r="D977" s="4" t="inlineStr">
        <is>
          <t>Memory Management - Memory Management</t>
        </is>
      </c>
      <c r="E977" s="4" t="n">
        <v>38</v>
      </c>
      <c r="F977" s="4" t="inlineStr">
        <is>
          <t>Memory Allocation Techniques</t>
        </is>
      </c>
      <c r="G977" s="4" t="inlineStr">
        <is>
          <t>OSMCQ028</t>
        </is>
      </c>
      <c r="H977" s="4" t="inlineStr"/>
      <c r="I977" s="4" t="inlineStr">
        <is>
          <t>Easy</t>
        </is>
      </c>
      <c r="J977" s="5">
        <f>HYPERLINK("https://www.codechef.com/problems/OSMCQ028", "https://www.codechef.com/problems/OSMCQ028")</f>
        <v/>
      </c>
      <c r="K977" s="4" t="inlineStr"/>
      <c r="L977" s="4" t="inlineStr"/>
      <c r="M977" s="4" t="inlineStr"/>
      <c r="N977" s="4" t="inlineStr">
        <is>
          <t>No</t>
        </is>
      </c>
      <c r="O977" s="4" t="inlineStr">
        <is>
          <t>Unattempted</t>
        </is>
      </c>
    </row>
    <row r="978">
      <c r="A978" s="2" t="inlineStr">
        <is>
          <t>Interview Questions</t>
        </is>
      </c>
      <c r="B978" s="2" t="inlineStr">
        <is>
          <t>Operating systems Interview Questions</t>
        </is>
      </c>
      <c r="C978" s="2" t="inlineStr">
        <is>
          <t>Revise all the important Operating Systems concepts and practice lots of MCQ questions to prepare for interviews.</t>
        </is>
      </c>
      <c r="D978" s="2" t="inlineStr">
        <is>
          <t>Memory Management - Memory Management</t>
        </is>
      </c>
      <c r="E978" s="2" t="n">
        <v>39</v>
      </c>
      <c r="F978" s="2" t="inlineStr">
        <is>
          <t>Contiguous Allocation</t>
        </is>
      </c>
      <c r="G978" s="2" t="inlineStr">
        <is>
          <t>OSMCQ029</t>
        </is>
      </c>
      <c r="H978" s="2" t="inlineStr"/>
      <c r="I978" s="2" t="inlineStr">
        <is>
          <t>Easy</t>
        </is>
      </c>
      <c r="J978" s="3">
        <f>HYPERLINK("https://www.codechef.com/problems/OSMCQ029", "https://www.codechef.com/problems/OSMCQ029")</f>
        <v/>
      </c>
      <c r="K978" s="2" t="inlineStr"/>
      <c r="L978" s="2" t="inlineStr"/>
      <c r="M978" s="2" t="inlineStr"/>
      <c r="N978" s="2" t="inlineStr">
        <is>
          <t>No</t>
        </is>
      </c>
      <c r="O978" s="2" t="inlineStr">
        <is>
          <t>Unattempted</t>
        </is>
      </c>
    </row>
    <row r="979">
      <c r="A979" s="4" t="inlineStr">
        <is>
          <t>Interview Questions</t>
        </is>
      </c>
      <c r="B979" s="4" t="inlineStr">
        <is>
          <t>Operating systems Interview Questions</t>
        </is>
      </c>
      <c r="C979" s="4" t="inlineStr">
        <is>
          <t>Revise all the important Operating Systems concepts and practice lots of MCQ questions to prepare for interviews.</t>
        </is>
      </c>
      <c r="D979" s="4" t="inlineStr">
        <is>
          <t>Memory Management - Memory Management</t>
        </is>
      </c>
      <c r="E979" s="4" t="n">
        <v>40</v>
      </c>
      <c r="F979" s="4" t="inlineStr">
        <is>
          <t>Virtual Memory</t>
        </is>
      </c>
      <c r="G979" s="4" t="inlineStr">
        <is>
          <t>OSMCQ030</t>
        </is>
      </c>
      <c r="H979" s="4" t="inlineStr"/>
      <c r="I979" s="4" t="inlineStr">
        <is>
          <t>Easy</t>
        </is>
      </c>
      <c r="J979" s="5">
        <f>HYPERLINK("https://www.codechef.com/problems/OSMCQ030", "https://www.codechef.com/problems/OSMCQ030")</f>
        <v/>
      </c>
      <c r="K979" s="4" t="inlineStr"/>
      <c r="L979" s="4" t="inlineStr"/>
      <c r="M979" s="4" t="inlineStr"/>
      <c r="N979" s="4" t="inlineStr">
        <is>
          <t>No</t>
        </is>
      </c>
      <c r="O979" s="4" t="inlineStr">
        <is>
          <t>Unattempted</t>
        </is>
      </c>
    </row>
    <row r="980">
      <c r="A980" s="2" t="inlineStr">
        <is>
          <t>Interview Questions</t>
        </is>
      </c>
      <c r="B980" s="2" t="inlineStr">
        <is>
          <t>Operating systems Interview Questions</t>
        </is>
      </c>
      <c r="C980" s="2" t="inlineStr">
        <is>
          <t>Revise all the important Operating Systems concepts and practice lots of MCQ questions to prepare for interviews.</t>
        </is>
      </c>
      <c r="D980" s="2" t="inlineStr">
        <is>
          <t>Memory Management - Memory Management</t>
        </is>
      </c>
      <c r="E980" s="2" t="n">
        <v>41</v>
      </c>
      <c r="F980" s="2" t="inlineStr">
        <is>
          <t>Page Replacement Algorithms</t>
        </is>
      </c>
      <c r="G980" s="2" t="inlineStr">
        <is>
          <t>OSP11</t>
        </is>
      </c>
      <c r="H980" s="2" t="inlineStr"/>
      <c r="I980" s="2" t="inlineStr">
        <is>
          <t>Medium</t>
        </is>
      </c>
      <c r="J980" s="3">
        <f>HYPERLINK("https://www.codechef.com/problems/OSP11", "https://www.codechef.com/problems/OSP11")</f>
        <v/>
      </c>
      <c r="K980" s="2" t="inlineStr"/>
      <c r="L980" s="2" t="inlineStr"/>
      <c r="M980" s="2" t="inlineStr"/>
      <c r="N980" s="2" t="inlineStr">
        <is>
          <t>No</t>
        </is>
      </c>
      <c r="O980" s="2" t="inlineStr">
        <is>
          <t>Unattempted</t>
        </is>
      </c>
    </row>
    <row r="981">
      <c r="A981" s="4" t="inlineStr">
        <is>
          <t>Interview Questions</t>
        </is>
      </c>
      <c r="B981" s="4" t="inlineStr">
        <is>
          <t>Operating systems Interview Questions</t>
        </is>
      </c>
      <c r="C981" s="4" t="inlineStr">
        <is>
          <t>Revise all the important Operating Systems concepts and practice lots of MCQ questions to prepare for interviews.</t>
        </is>
      </c>
      <c r="D981" s="4" t="inlineStr">
        <is>
          <t>Memory Management - Memory Management</t>
        </is>
      </c>
      <c r="E981" s="4" t="n">
        <v>42</v>
      </c>
      <c r="F981" s="4" t="inlineStr">
        <is>
          <t>Page Replacement Algorithm Purpose</t>
        </is>
      </c>
      <c r="G981" s="4" t="inlineStr">
        <is>
          <t>OSMCQ031</t>
        </is>
      </c>
      <c r="H981" s="4" t="inlineStr"/>
      <c r="I981" s="4" t="inlineStr">
        <is>
          <t>Easy</t>
        </is>
      </c>
      <c r="J981" s="5">
        <f>HYPERLINK("https://www.codechef.com/problems/OSMCQ031", "https://www.codechef.com/problems/OSMCQ031")</f>
        <v/>
      </c>
      <c r="K981" s="4" t="inlineStr"/>
      <c r="L981" s="4" t="inlineStr"/>
      <c r="M981" s="4" t="inlineStr"/>
      <c r="N981" s="4" t="inlineStr">
        <is>
          <t>No</t>
        </is>
      </c>
      <c r="O981" s="4" t="inlineStr">
        <is>
          <t>Unattempted</t>
        </is>
      </c>
    </row>
    <row r="982">
      <c r="A982" s="2" t="inlineStr">
        <is>
          <t>Interview Questions</t>
        </is>
      </c>
      <c r="B982" s="2" t="inlineStr">
        <is>
          <t>Operating systems Interview Questions</t>
        </is>
      </c>
      <c r="C982" s="2" t="inlineStr">
        <is>
          <t>Revise all the important Operating Systems concepts and practice lots of MCQ questions to prepare for interviews.</t>
        </is>
      </c>
      <c r="D982" s="2" t="inlineStr">
        <is>
          <t>Memory Management - Memory Management</t>
        </is>
      </c>
      <c r="E982" s="2" t="n">
        <v>43</v>
      </c>
      <c r="F982" s="2" t="inlineStr">
        <is>
          <t>FIFO Algorithm Characteristics</t>
        </is>
      </c>
      <c r="G982" s="2" t="inlineStr">
        <is>
          <t>OSMCQ032</t>
        </is>
      </c>
      <c r="H982" s="2" t="inlineStr"/>
      <c r="I982" s="2" t="inlineStr">
        <is>
          <t>Easy</t>
        </is>
      </c>
      <c r="J982" s="3">
        <f>HYPERLINK("https://www.codechef.com/problems/OSMCQ032", "https://www.codechef.com/problems/OSMCQ032")</f>
        <v/>
      </c>
      <c r="K982" s="2" t="inlineStr"/>
      <c r="L982" s="2" t="inlineStr"/>
      <c r="M982" s="2" t="inlineStr"/>
      <c r="N982" s="2" t="inlineStr">
        <is>
          <t>No</t>
        </is>
      </c>
      <c r="O982" s="2" t="inlineStr">
        <is>
          <t>Unattempted</t>
        </is>
      </c>
    </row>
    <row r="983">
      <c r="A983" s="4" t="inlineStr">
        <is>
          <t>Interview Questions</t>
        </is>
      </c>
      <c r="B983" s="4" t="inlineStr">
        <is>
          <t>Operating systems Interview Questions</t>
        </is>
      </c>
      <c r="C983" s="4" t="inlineStr">
        <is>
          <t>Revise all the important Operating Systems concepts and practice lots of MCQ questions to prepare for interviews.</t>
        </is>
      </c>
      <c r="D983" s="4" t="inlineStr">
        <is>
          <t>Memory Management - Memory Management</t>
        </is>
      </c>
      <c r="E983" s="4" t="n">
        <v>44</v>
      </c>
      <c r="F983" s="4" t="inlineStr">
        <is>
          <t>Clock Algorithm Operation</t>
        </is>
      </c>
      <c r="G983" s="4" t="inlineStr">
        <is>
          <t>OSMCQ033</t>
        </is>
      </c>
      <c r="H983" s="4" t="inlineStr"/>
      <c r="I983" s="4" t="inlineStr">
        <is>
          <t>Medium</t>
        </is>
      </c>
      <c r="J983" s="5">
        <f>HYPERLINK("https://www.codechef.com/problems/OSMCQ033", "https://www.codechef.com/problems/OSMCQ033")</f>
        <v/>
      </c>
      <c r="K983" s="4" t="inlineStr"/>
      <c r="L983" s="4" t="inlineStr"/>
      <c r="M983" s="4" t="inlineStr"/>
      <c r="N983" s="4" t="inlineStr">
        <is>
          <t>No</t>
        </is>
      </c>
      <c r="O983" s="4" t="inlineStr">
        <is>
          <t>Unattempted</t>
        </is>
      </c>
    </row>
    <row r="984">
      <c r="A984" s="2" t="inlineStr">
        <is>
          <t>Interview Questions</t>
        </is>
      </c>
      <c r="B984" s="2" t="inlineStr">
        <is>
          <t>Operating systems Interview Questions</t>
        </is>
      </c>
      <c r="C984" s="2" t="inlineStr">
        <is>
          <t>Revise all the important Operating Systems concepts and practice lots of MCQ questions to prepare for interviews.</t>
        </is>
      </c>
      <c r="D984" s="2" t="inlineStr">
        <is>
          <t>Memory Management - Memory Management</t>
        </is>
      </c>
      <c r="E984" s="2" t="n">
        <v>45</v>
      </c>
      <c r="F984" s="2" t="inlineStr">
        <is>
          <t>Thrashing</t>
        </is>
      </c>
      <c r="G984" s="2" t="inlineStr">
        <is>
          <t>OSP12</t>
        </is>
      </c>
      <c r="H984" s="2" t="inlineStr"/>
      <c r="I984" s="2" t="inlineStr">
        <is>
          <t>Easy</t>
        </is>
      </c>
      <c r="J984" s="3">
        <f>HYPERLINK("https://www.codechef.com/problems/OSP12", "https://www.codechef.com/problems/OSP12")</f>
        <v/>
      </c>
      <c r="K984" s="2" t="inlineStr"/>
      <c r="L984" s="2" t="inlineStr"/>
      <c r="M984" s="2" t="inlineStr"/>
      <c r="N984" s="2" t="inlineStr">
        <is>
          <t>No</t>
        </is>
      </c>
      <c r="O984" s="2" t="inlineStr">
        <is>
          <t>Unattempted</t>
        </is>
      </c>
    </row>
    <row r="985">
      <c r="A985" s="4" t="inlineStr">
        <is>
          <t>Interview Questions</t>
        </is>
      </c>
      <c r="B985" s="4" t="inlineStr">
        <is>
          <t>Operating systems Interview Questions</t>
        </is>
      </c>
      <c r="C985" s="4" t="inlineStr">
        <is>
          <t>Revise all the important Operating Systems concepts and practice lots of MCQ questions to prepare for interviews.</t>
        </is>
      </c>
      <c r="D985" s="4" t="inlineStr">
        <is>
          <t>Memory Management - Memory Management</t>
        </is>
      </c>
      <c r="E985" s="4" t="n">
        <v>46</v>
      </c>
      <c r="F985" s="4" t="inlineStr">
        <is>
          <t>Thrashing Definition</t>
        </is>
      </c>
      <c r="G985" s="4" t="inlineStr">
        <is>
          <t>OSMCQ034</t>
        </is>
      </c>
      <c r="H985" s="4" t="inlineStr"/>
      <c r="I985" s="4" t="inlineStr">
        <is>
          <t>Easy</t>
        </is>
      </c>
      <c r="J985" s="5">
        <f>HYPERLINK("https://www.codechef.com/problems/OSMCQ034", "https://www.codechef.com/problems/OSMCQ034")</f>
        <v/>
      </c>
      <c r="K985" s="4" t="inlineStr"/>
      <c r="L985" s="4" t="inlineStr"/>
      <c r="M985" s="4" t="inlineStr"/>
      <c r="N985" s="4" t="inlineStr">
        <is>
          <t>No</t>
        </is>
      </c>
      <c r="O985" s="4" t="inlineStr">
        <is>
          <t>Unattempted</t>
        </is>
      </c>
    </row>
    <row r="986">
      <c r="A986" s="2" t="inlineStr">
        <is>
          <t>Interview Questions</t>
        </is>
      </c>
      <c r="B986" s="2" t="inlineStr">
        <is>
          <t>Operating systems Interview Questions</t>
        </is>
      </c>
      <c r="C986" s="2" t="inlineStr">
        <is>
          <t>Revise all the important Operating Systems concepts and practice lots of MCQ questions to prepare for interviews.</t>
        </is>
      </c>
      <c r="D986" s="2" t="inlineStr">
        <is>
          <t>Memory Management - Memory Management</t>
        </is>
      </c>
      <c r="E986" s="2" t="n">
        <v>47</v>
      </c>
      <c r="F986" s="2" t="inlineStr">
        <is>
          <t>Thrashing Detection</t>
        </is>
      </c>
      <c r="G986" s="2" t="inlineStr">
        <is>
          <t>OSMCQ035</t>
        </is>
      </c>
      <c r="H986" s="2" t="inlineStr"/>
      <c r="I986" s="2" t="inlineStr">
        <is>
          <t>Medium</t>
        </is>
      </c>
      <c r="J986" s="3">
        <f>HYPERLINK("https://www.codechef.com/problems/OSMCQ035", "https://www.codechef.com/problems/OSMCQ035")</f>
        <v/>
      </c>
      <c r="K986" s="2" t="inlineStr"/>
      <c r="L986" s="2" t="inlineStr"/>
      <c r="M986" s="2" t="inlineStr"/>
      <c r="N986" s="2" t="inlineStr">
        <is>
          <t>No</t>
        </is>
      </c>
      <c r="O986" s="2" t="inlineStr">
        <is>
          <t>Unattempted</t>
        </is>
      </c>
    </row>
    <row r="987">
      <c r="A987" s="4" t="inlineStr">
        <is>
          <t>Interview Questions</t>
        </is>
      </c>
      <c r="B987" s="4" t="inlineStr">
        <is>
          <t>Operating systems Interview Questions</t>
        </is>
      </c>
      <c r="C987" s="4" t="inlineStr">
        <is>
          <t>Revise all the important Operating Systems concepts and practice lots of MCQ questions to prepare for interviews.</t>
        </is>
      </c>
      <c r="D987" s="4" t="inlineStr">
        <is>
          <t>Memory Management - Memory Management</t>
        </is>
      </c>
      <c r="E987" s="4" t="n">
        <v>48</v>
      </c>
      <c r="F987" s="4" t="inlineStr">
        <is>
          <t>Thrashing Prevention</t>
        </is>
      </c>
      <c r="G987" s="4" t="inlineStr">
        <is>
          <t>OSMCQ036</t>
        </is>
      </c>
      <c r="H987" s="4" t="inlineStr"/>
      <c r="I987" s="4" t="inlineStr">
        <is>
          <t>Medium</t>
        </is>
      </c>
      <c r="J987" s="5">
        <f>HYPERLINK("https://www.codechef.com/problems/OSMCQ036", "https://www.codechef.com/problems/OSMCQ036")</f>
        <v/>
      </c>
      <c r="K987" s="4" t="inlineStr"/>
      <c r="L987" s="4" t="inlineStr"/>
      <c r="M987" s="4" t="inlineStr"/>
      <c r="N987" s="4" t="inlineStr">
        <is>
          <t>No</t>
        </is>
      </c>
      <c r="O987" s="4" t="inlineStr">
        <is>
          <t>Unattempted</t>
        </is>
      </c>
    </row>
    <row r="988">
      <c r="A988" s="2" t="inlineStr">
        <is>
          <t>Interview Questions</t>
        </is>
      </c>
      <c r="B988" s="2" t="inlineStr">
        <is>
          <t>Operating systems Interview Questions</t>
        </is>
      </c>
      <c r="C988" s="2" t="inlineStr">
        <is>
          <t>Revise all the important Operating Systems concepts and practice lots of MCQ questions to prepare for interviews.</t>
        </is>
      </c>
      <c r="D988" s="2" t="inlineStr">
        <is>
          <t>File Systems - File Systems</t>
        </is>
      </c>
      <c r="E988" s="2" t="n">
        <v>49</v>
      </c>
      <c r="F988" s="2" t="inlineStr">
        <is>
          <t>Introduction to File Systems</t>
        </is>
      </c>
      <c r="G988" s="2" t="inlineStr">
        <is>
          <t>OSP13</t>
        </is>
      </c>
      <c r="H988" s="2" t="inlineStr"/>
      <c r="I988" s="2" t="inlineStr">
        <is>
          <t>Easy</t>
        </is>
      </c>
      <c r="J988" s="3">
        <f>HYPERLINK("https://www.codechef.com/problems/OSP13", "https://www.codechef.com/problems/OSP13")</f>
        <v/>
      </c>
      <c r="K988" s="2" t="inlineStr"/>
      <c r="L988" s="2" t="inlineStr"/>
      <c r="M988" s="2" t="inlineStr"/>
      <c r="N988" s="2" t="inlineStr">
        <is>
          <t>No</t>
        </is>
      </c>
      <c r="O988" s="2" t="inlineStr">
        <is>
          <t>Unattempted</t>
        </is>
      </c>
    </row>
    <row r="989">
      <c r="A989" s="4" t="inlineStr">
        <is>
          <t>Interview Questions</t>
        </is>
      </c>
      <c r="B989" s="4" t="inlineStr">
        <is>
          <t>Operating systems Interview Questions</t>
        </is>
      </c>
      <c r="C989" s="4" t="inlineStr">
        <is>
          <t>Revise all the important Operating Systems concepts and practice lots of MCQ questions to prepare for interviews.</t>
        </is>
      </c>
      <c r="D989" s="4" t="inlineStr">
        <is>
          <t>File Systems - File Systems</t>
        </is>
      </c>
      <c r="E989" s="4" t="n">
        <v>50</v>
      </c>
      <c r="F989" s="4" t="inlineStr">
        <is>
          <t>File System Purpose</t>
        </is>
      </c>
      <c r="G989" s="4" t="inlineStr">
        <is>
          <t>OSMCQ037</t>
        </is>
      </c>
      <c r="H989" s="4" t="inlineStr"/>
      <c r="I989" s="4" t="inlineStr">
        <is>
          <t>Easy</t>
        </is>
      </c>
      <c r="J989" s="5">
        <f>HYPERLINK("https://www.codechef.com/problems/OSMCQ037", "https://www.codechef.com/problems/OSMCQ037")</f>
        <v/>
      </c>
      <c r="K989" s="4" t="inlineStr"/>
      <c r="L989" s="4" t="inlineStr"/>
      <c r="M989" s="4" t="inlineStr"/>
      <c r="N989" s="4" t="inlineStr">
        <is>
          <t>No</t>
        </is>
      </c>
      <c r="O989" s="4" t="inlineStr">
        <is>
          <t>Unattempted</t>
        </is>
      </c>
    </row>
    <row r="990">
      <c r="A990" s="2" t="inlineStr">
        <is>
          <t>Interview Questions</t>
        </is>
      </c>
      <c r="B990" s="2" t="inlineStr">
        <is>
          <t>Operating systems Interview Questions</t>
        </is>
      </c>
      <c r="C990" s="2" t="inlineStr">
        <is>
          <t>Revise all the important Operating Systems concepts and practice lots of MCQ questions to prepare for interviews.</t>
        </is>
      </c>
      <c r="D990" s="2" t="inlineStr">
        <is>
          <t>File Systems - File Systems</t>
        </is>
      </c>
      <c r="E990" s="2" t="n">
        <v>51</v>
      </c>
      <c r="F990" s="2" t="inlineStr">
        <is>
          <t>File Path Components</t>
        </is>
      </c>
      <c r="G990" s="2" t="inlineStr">
        <is>
          <t>OSMCQ038</t>
        </is>
      </c>
      <c r="H990" s="2" t="inlineStr"/>
      <c r="I990" s="2" t="inlineStr">
        <is>
          <t>Easy</t>
        </is>
      </c>
      <c r="J990" s="3">
        <f>HYPERLINK("https://www.codechef.com/problems/OSMCQ038", "https://www.codechef.com/problems/OSMCQ038")</f>
        <v/>
      </c>
      <c r="K990" s="2" t="inlineStr"/>
      <c r="L990" s="2" t="inlineStr"/>
      <c r="M990" s="2" t="inlineStr"/>
      <c r="N990" s="2" t="inlineStr">
        <is>
          <t>No</t>
        </is>
      </c>
      <c r="O990" s="2" t="inlineStr">
        <is>
          <t>Unattempted</t>
        </is>
      </c>
    </row>
    <row r="991">
      <c r="A991" s="4" t="inlineStr">
        <is>
          <t>Interview Questions</t>
        </is>
      </c>
      <c r="B991" s="4" t="inlineStr">
        <is>
          <t>Operating systems Interview Questions</t>
        </is>
      </c>
      <c r="C991" s="4" t="inlineStr">
        <is>
          <t>Revise all the important Operating Systems concepts and practice lots of MCQ questions to prepare for interviews.</t>
        </is>
      </c>
      <c r="D991" s="4" t="inlineStr">
        <is>
          <t>File Systems - File Systems</t>
        </is>
      </c>
      <c r="E991" s="4" t="n">
        <v>52</v>
      </c>
      <c r="F991" s="4" t="inlineStr">
        <is>
          <t>File System Fragmentation</t>
        </is>
      </c>
      <c r="G991" s="4" t="inlineStr">
        <is>
          <t>OSMCQ039</t>
        </is>
      </c>
      <c r="H991" s="4" t="inlineStr"/>
      <c r="I991" s="4" t="inlineStr">
        <is>
          <t>Medium</t>
        </is>
      </c>
      <c r="J991" s="5">
        <f>HYPERLINK("https://www.codechef.com/problems/OSMCQ039", "https://www.codechef.com/problems/OSMCQ039")</f>
        <v/>
      </c>
      <c r="K991" s="4" t="inlineStr"/>
      <c r="L991" s="4" t="inlineStr"/>
      <c r="M991" s="4" t="inlineStr"/>
      <c r="N991" s="4" t="inlineStr">
        <is>
          <t>No</t>
        </is>
      </c>
      <c r="O991" s="4" t="inlineStr">
        <is>
          <t>Unattempted</t>
        </is>
      </c>
    </row>
    <row r="992">
      <c r="A992" s="2" t="inlineStr">
        <is>
          <t>Interview Questions</t>
        </is>
      </c>
      <c r="B992" s="2" t="inlineStr">
        <is>
          <t>Operating systems Interview Questions</t>
        </is>
      </c>
      <c r="C992" s="2" t="inlineStr">
        <is>
          <t>Revise all the important Operating Systems concepts and practice lots of MCQ questions to prepare for interviews.</t>
        </is>
      </c>
      <c r="D992" s="2" t="inlineStr">
        <is>
          <t>File Systems - File Systems</t>
        </is>
      </c>
      <c r="E992" s="2" t="n">
        <v>53</v>
      </c>
      <c r="F992" s="2" t="inlineStr">
        <is>
          <t>File organization and access methods</t>
        </is>
      </c>
      <c r="G992" s="2" t="inlineStr">
        <is>
          <t>OSP14</t>
        </is>
      </c>
      <c r="H992" s="2" t="inlineStr"/>
      <c r="I992" s="2" t="inlineStr">
        <is>
          <t>Easy</t>
        </is>
      </c>
      <c r="J992" s="3">
        <f>HYPERLINK("https://www.codechef.com/problems/OSP14", "https://www.codechef.com/problems/OSP14")</f>
        <v/>
      </c>
      <c r="K992" s="2" t="inlineStr"/>
      <c r="L992" s="2" t="inlineStr"/>
      <c r="M992" s="2" t="inlineStr"/>
      <c r="N992" s="2" t="inlineStr">
        <is>
          <t>No</t>
        </is>
      </c>
      <c r="O992" s="2" t="inlineStr">
        <is>
          <t>Unattempted</t>
        </is>
      </c>
    </row>
    <row r="993">
      <c r="A993" s="4" t="inlineStr">
        <is>
          <t>Interview Questions</t>
        </is>
      </c>
      <c r="B993" s="4" t="inlineStr">
        <is>
          <t>Operating systems Interview Questions</t>
        </is>
      </c>
      <c r="C993" s="4" t="inlineStr">
        <is>
          <t>Revise all the important Operating Systems concepts and practice lots of MCQ questions to prepare for interviews.</t>
        </is>
      </c>
      <c r="D993" s="4" t="inlineStr">
        <is>
          <t>File Systems - File Systems</t>
        </is>
      </c>
      <c r="E993" s="4" t="n">
        <v>54</v>
      </c>
      <c r="F993" s="4" t="inlineStr">
        <is>
          <t>File Organization Types</t>
        </is>
      </c>
      <c r="G993" s="4" t="inlineStr">
        <is>
          <t>OSMCQ040</t>
        </is>
      </c>
      <c r="H993" s="4" t="inlineStr"/>
      <c r="I993" s="4" t="inlineStr">
        <is>
          <t>Easy</t>
        </is>
      </c>
      <c r="J993" s="5">
        <f>HYPERLINK("https://www.codechef.com/problems/OSMCQ040", "https://www.codechef.com/problems/OSMCQ040")</f>
        <v/>
      </c>
      <c r="K993" s="4" t="inlineStr"/>
      <c r="L993" s="4" t="inlineStr"/>
      <c r="M993" s="4" t="inlineStr"/>
      <c r="N993" s="4" t="inlineStr">
        <is>
          <t>No</t>
        </is>
      </c>
      <c r="O993" s="4" t="inlineStr">
        <is>
          <t>Unattempted</t>
        </is>
      </c>
    </row>
    <row r="994">
      <c r="A994" s="2" t="inlineStr">
        <is>
          <t>Interview Questions</t>
        </is>
      </c>
      <c r="B994" s="2" t="inlineStr">
        <is>
          <t>Operating systems Interview Questions</t>
        </is>
      </c>
      <c r="C994" s="2" t="inlineStr">
        <is>
          <t>Revise all the important Operating Systems concepts and practice lots of MCQ questions to prepare for interviews.</t>
        </is>
      </c>
      <c r="D994" s="2" t="inlineStr">
        <is>
          <t>File Systems - File Systems</t>
        </is>
      </c>
      <c r="E994" s="2" t="n">
        <v>55</v>
      </c>
      <c r="F994" s="2" t="inlineStr">
        <is>
          <t>Sequential File Organization</t>
        </is>
      </c>
      <c r="G994" s="2" t="inlineStr">
        <is>
          <t>OSMCQ041</t>
        </is>
      </c>
      <c r="H994" s="2" t="inlineStr"/>
      <c r="I994" s="2" t="inlineStr">
        <is>
          <t>Easy</t>
        </is>
      </c>
      <c r="J994" s="3">
        <f>HYPERLINK("https://www.codechef.com/problems/OSMCQ041", "https://www.codechef.com/problems/OSMCQ041")</f>
        <v/>
      </c>
      <c r="K994" s="2" t="inlineStr"/>
      <c r="L994" s="2" t="inlineStr"/>
      <c r="M994" s="2" t="inlineStr"/>
      <c r="N994" s="2" t="inlineStr">
        <is>
          <t>No</t>
        </is>
      </c>
      <c r="O994" s="2" t="inlineStr">
        <is>
          <t>Unattempted</t>
        </is>
      </c>
    </row>
    <row r="995">
      <c r="A995" s="4" t="inlineStr">
        <is>
          <t>Interview Questions</t>
        </is>
      </c>
      <c r="B995" s="4" t="inlineStr">
        <is>
          <t>Operating systems Interview Questions</t>
        </is>
      </c>
      <c r="C995" s="4" t="inlineStr">
        <is>
          <t>Revise all the important Operating Systems concepts and practice lots of MCQ questions to prepare for interviews.</t>
        </is>
      </c>
      <c r="D995" s="4" t="inlineStr">
        <is>
          <t>File Systems - File Systems</t>
        </is>
      </c>
      <c r="E995" s="4" t="n">
        <v>56</v>
      </c>
      <c r="F995" s="4" t="inlineStr">
        <is>
          <t>Indexed File Organization</t>
        </is>
      </c>
      <c r="G995" s="4" t="inlineStr">
        <is>
          <t>OSMCQ042</t>
        </is>
      </c>
      <c r="H995" s="4" t="inlineStr"/>
      <c r="I995" s="4" t="inlineStr">
        <is>
          <t>Easy</t>
        </is>
      </c>
      <c r="J995" s="5">
        <f>HYPERLINK("https://www.codechef.com/problems/OSMCQ042", "https://www.codechef.com/problems/OSMCQ042")</f>
        <v/>
      </c>
      <c r="K995" s="4" t="inlineStr"/>
      <c r="L995" s="4" t="inlineStr"/>
      <c r="M995" s="4" t="inlineStr"/>
      <c r="N995" s="4" t="inlineStr">
        <is>
          <t>No</t>
        </is>
      </c>
      <c r="O995" s="4" t="inlineStr">
        <is>
          <t>Unattempted</t>
        </is>
      </c>
    </row>
    <row r="996">
      <c r="A996" s="2" t="inlineStr">
        <is>
          <t>Interview Questions</t>
        </is>
      </c>
      <c r="B996" s="2" t="inlineStr">
        <is>
          <t>Operating systems Interview Questions</t>
        </is>
      </c>
      <c r="C996" s="2" t="inlineStr">
        <is>
          <t>Revise all the important Operating Systems concepts and practice lots of MCQ questions to prepare for interviews.</t>
        </is>
      </c>
      <c r="D996" s="2" t="inlineStr">
        <is>
          <t>File Systems - File Systems</t>
        </is>
      </c>
      <c r="E996" s="2" t="n">
        <v>57</v>
      </c>
      <c r="F996" s="2" t="inlineStr">
        <is>
          <t>Directory structures</t>
        </is>
      </c>
      <c r="G996" s="2" t="inlineStr">
        <is>
          <t>OSP15</t>
        </is>
      </c>
      <c r="H996" s="2" t="inlineStr"/>
      <c r="I996" s="2" t="inlineStr">
        <is>
          <t>Easy</t>
        </is>
      </c>
      <c r="J996" s="3">
        <f>HYPERLINK("https://www.codechef.com/problems/OSP15", "https://www.codechef.com/problems/OSP15")</f>
        <v/>
      </c>
      <c r="K996" s="2" t="inlineStr"/>
      <c r="L996" s="2" t="inlineStr"/>
      <c r="M996" s="2" t="inlineStr"/>
      <c r="N996" s="2" t="inlineStr">
        <is>
          <t>No</t>
        </is>
      </c>
      <c r="O996" s="2" t="inlineStr">
        <is>
          <t>Unattempted</t>
        </is>
      </c>
    </row>
    <row r="997">
      <c r="A997" s="4" t="inlineStr">
        <is>
          <t>Interview Questions</t>
        </is>
      </c>
      <c r="B997" s="4" t="inlineStr">
        <is>
          <t>Operating systems Interview Questions</t>
        </is>
      </c>
      <c r="C997" s="4" t="inlineStr">
        <is>
          <t>Revise all the important Operating Systems concepts and practice lots of MCQ questions to prepare for interviews.</t>
        </is>
      </c>
      <c r="D997" s="4" t="inlineStr">
        <is>
          <t>File Systems - File Systems</t>
        </is>
      </c>
      <c r="E997" s="4" t="n">
        <v>58</v>
      </c>
      <c r="F997" s="4" t="inlineStr">
        <is>
          <t>Directory Purpose</t>
        </is>
      </c>
      <c r="G997" s="4" t="inlineStr">
        <is>
          <t>OSMCQ043</t>
        </is>
      </c>
      <c r="H997" s="4" t="inlineStr"/>
      <c r="I997" s="4" t="inlineStr">
        <is>
          <t>Easy</t>
        </is>
      </c>
      <c r="J997" s="5">
        <f>HYPERLINK("https://www.codechef.com/problems/OSMCQ043", "https://www.codechef.com/problems/OSMCQ043")</f>
        <v/>
      </c>
      <c r="K997" s="4" t="inlineStr"/>
      <c r="L997" s="4" t="inlineStr"/>
      <c r="M997" s="4" t="inlineStr"/>
      <c r="N997" s="4" t="inlineStr">
        <is>
          <t>No</t>
        </is>
      </c>
      <c r="O997" s="4" t="inlineStr">
        <is>
          <t>Unattempted</t>
        </is>
      </c>
    </row>
    <row r="998">
      <c r="A998" s="2" t="inlineStr">
        <is>
          <t>Interview Questions</t>
        </is>
      </c>
      <c r="B998" s="2" t="inlineStr">
        <is>
          <t>Operating systems Interview Questions</t>
        </is>
      </c>
      <c r="C998" s="2" t="inlineStr">
        <is>
          <t>Revise all the important Operating Systems concepts and practice lots of MCQ questions to prepare for interviews.</t>
        </is>
      </c>
      <c r="D998" s="2" t="inlineStr">
        <is>
          <t>File Systems - File Systems</t>
        </is>
      </c>
      <c r="E998" s="2" t="n">
        <v>59</v>
      </c>
      <c r="F998" s="2" t="inlineStr">
        <is>
          <t>File Path Types</t>
        </is>
      </c>
      <c r="G998" s="2" t="inlineStr">
        <is>
          <t>OSMCQ044</t>
        </is>
      </c>
      <c r="H998" s="2" t="inlineStr"/>
      <c r="I998" s="2" t="inlineStr">
        <is>
          <t>Easy</t>
        </is>
      </c>
      <c r="J998" s="3">
        <f>HYPERLINK("https://www.codechef.com/problems/OSMCQ044", "https://www.codechef.com/problems/OSMCQ044")</f>
        <v/>
      </c>
      <c r="K998" s="2" t="inlineStr"/>
      <c r="L998" s="2" t="inlineStr"/>
      <c r="M998" s="2" t="inlineStr"/>
      <c r="N998" s="2" t="inlineStr">
        <is>
          <t>No</t>
        </is>
      </c>
      <c r="O998" s="2" t="inlineStr">
        <is>
          <t>Unattempted</t>
        </is>
      </c>
    </row>
    <row r="999">
      <c r="A999" s="4" t="inlineStr">
        <is>
          <t>Interview Questions</t>
        </is>
      </c>
      <c r="B999" s="4" t="inlineStr">
        <is>
          <t>Operating systems Interview Questions</t>
        </is>
      </c>
      <c r="C999" s="4" t="inlineStr">
        <is>
          <t>Revise all the important Operating Systems concepts and practice lots of MCQ questions to prepare for interviews.</t>
        </is>
      </c>
      <c r="D999" s="4" t="inlineStr">
        <is>
          <t>File Systems - File Systems</t>
        </is>
      </c>
      <c r="E999" s="4" t="n">
        <v>60</v>
      </c>
      <c r="F999" s="4" t="inlineStr">
        <is>
          <t>File Permissions</t>
        </is>
      </c>
      <c r="G999" s="4" t="inlineStr">
        <is>
          <t>OSMCQ045</t>
        </is>
      </c>
      <c r="H999" s="4" t="inlineStr"/>
      <c r="I999" s="4" t="inlineStr">
        <is>
          <t>Easy</t>
        </is>
      </c>
      <c r="J999" s="5">
        <f>HYPERLINK("https://www.codechef.com/problems/OSMCQ045", "https://www.codechef.com/problems/OSMCQ045")</f>
        <v/>
      </c>
      <c r="K999" s="4" t="inlineStr"/>
      <c r="L999" s="4" t="inlineStr"/>
      <c r="M999" s="4" t="inlineStr"/>
      <c r="N999" s="4" t="inlineStr">
        <is>
          <t>No</t>
        </is>
      </c>
      <c r="O999" s="4" t="inlineStr">
        <is>
          <t>Unattempted</t>
        </is>
      </c>
    </row>
    <row r="1000">
      <c r="A1000" s="2" t="inlineStr">
        <is>
          <t>Interview Questions</t>
        </is>
      </c>
      <c r="B1000" s="2" t="inlineStr">
        <is>
          <t>Operating systems Interview Questions</t>
        </is>
      </c>
      <c r="C1000" s="2" t="inlineStr">
        <is>
          <t>Revise all the important Operating Systems concepts and practice lots of MCQ questions to prepare for interviews.</t>
        </is>
      </c>
      <c r="D1000" s="2" t="inlineStr">
        <is>
          <t>File Systems - File Systems</t>
        </is>
      </c>
      <c r="E1000" s="2" t="n">
        <v>61</v>
      </c>
      <c r="F1000" s="2" t="inlineStr">
        <is>
          <t>File allocation methods</t>
        </is>
      </c>
      <c r="G1000" s="2" t="inlineStr">
        <is>
          <t>OSP16</t>
        </is>
      </c>
      <c r="H1000" s="2" t="inlineStr"/>
      <c r="I1000" s="2" t="inlineStr">
        <is>
          <t>Medium</t>
        </is>
      </c>
      <c r="J1000" s="3">
        <f>HYPERLINK("https://www.codechef.com/problems/OSP16", "https://www.codechef.com/problems/OSP16")</f>
        <v/>
      </c>
      <c r="K1000" s="2" t="inlineStr"/>
      <c r="L1000" s="2" t="inlineStr"/>
      <c r="M1000" s="2" t="inlineStr"/>
      <c r="N1000" s="2" t="inlineStr">
        <is>
          <t>No</t>
        </is>
      </c>
      <c r="O1000" s="2" t="inlineStr">
        <is>
          <t>Unattempted</t>
        </is>
      </c>
    </row>
    <row r="1001">
      <c r="A1001" s="4" t="inlineStr">
        <is>
          <t>Interview Questions</t>
        </is>
      </c>
      <c r="B1001" s="4" t="inlineStr">
        <is>
          <t>Operating systems Interview Questions</t>
        </is>
      </c>
      <c r="C1001" s="4" t="inlineStr">
        <is>
          <t>Revise all the important Operating Systems concepts and practice lots of MCQ questions to prepare for interviews.</t>
        </is>
      </c>
      <c r="D1001" s="4" t="inlineStr">
        <is>
          <t>File Systems - File Systems</t>
        </is>
      </c>
      <c r="E1001" s="4" t="n">
        <v>62</v>
      </c>
      <c r="F1001" s="4" t="inlineStr">
        <is>
          <t>File Allocation Methods</t>
        </is>
      </c>
      <c r="G1001" s="4" t="inlineStr">
        <is>
          <t>OSMCQ046</t>
        </is>
      </c>
      <c r="H1001" s="4" t="inlineStr"/>
      <c r="I1001" s="4" t="inlineStr">
        <is>
          <t>Easy</t>
        </is>
      </c>
      <c r="J1001" s="5">
        <f>HYPERLINK("https://www.codechef.com/problems/OSMCQ046", "https://www.codechef.com/problems/OSMCQ046")</f>
        <v/>
      </c>
      <c r="K1001" s="4" t="inlineStr"/>
      <c r="L1001" s="4" t="inlineStr"/>
      <c r="M1001" s="4" t="inlineStr"/>
      <c r="N1001" s="4" t="inlineStr">
        <is>
          <t>No</t>
        </is>
      </c>
      <c r="O1001" s="4" t="inlineStr">
        <is>
          <t>Unattempted</t>
        </is>
      </c>
    </row>
    <row r="1002">
      <c r="A1002" s="2" t="inlineStr">
        <is>
          <t>Interview Questions</t>
        </is>
      </c>
      <c r="B1002" s="2" t="inlineStr">
        <is>
          <t>Operating systems Interview Questions</t>
        </is>
      </c>
      <c r="C1002" s="2" t="inlineStr">
        <is>
          <t>Revise all the important Operating Systems concepts and practice lots of MCQ questions to prepare for interviews.</t>
        </is>
      </c>
      <c r="D1002" s="2" t="inlineStr">
        <is>
          <t>File Systems - File Systems</t>
        </is>
      </c>
      <c r="E1002" s="2" t="n">
        <v>63</v>
      </c>
      <c r="F1002" s="2" t="inlineStr">
        <is>
          <t>Contiguous Allocation</t>
        </is>
      </c>
      <c r="G1002" s="2" t="inlineStr">
        <is>
          <t>OSMCQ047</t>
        </is>
      </c>
      <c r="H1002" s="2" t="inlineStr"/>
      <c r="I1002" s="2" t="inlineStr">
        <is>
          <t>Easy</t>
        </is>
      </c>
      <c r="J1002" s="3">
        <f>HYPERLINK("https://www.codechef.com/problems/OSMCQ047", "https://www.codechef.com/problems/OSMCQ047")</f>
        <v/>
      </c>
      <c r="K1002" s="2" t="inlineStr"/>
      <c r="L1002" s="2" t="inlineStr"/>
      <c r="M1002" s="2" t="inlineStr"/>
      <c r="N1002" s="2" t="inlineStr">
        <is>
          <t>No</t>
        </is>
      </c>
      <c r="O1002" s="2" t="inlineStr">
        <is>
          <t>Unattempted</t>
        </is>
      </c>
    </row>
    <row r="1003">
      <c r="A1003" s="4" t="inlineStr">
        <is>
          <t>Interview Questions</t>
        </is>
      </c>
      <c r="B1003" s="4" t="inlineStr">
        <is>
          <t>Operating systems Interview Questions</t>
        </is>
      </c>
      <c r="C1003" s="4" t="inlineStr">
        <is>
          <t>Revise all the important Operating Systems concepts and practice lots of MCQ questions to prepare for interviews.</t>
        </is>
      </c>
      <c r="D1003" s="4" t="inlineStr">
        <is>
          <t>File Systems - File Systems</t>
        </is>
      </c>
      <c r="E1003" s="4" t="n">
        <v>64</v>
      </c>
      <c r="F1003" s="4" t="inlineStr">
        <is>
          <t>Indexed Allocation</t>
        </is>
      </c>
      <c r="G1003" s="4" t="inlineStr">
        <is>
          <t>OSMCQ048</t>
        </is>
      </c>
      <c r="H1003" s="4" t="inlineStr"/>
      <c r="I1003" s="4" t="inlineStr">
        <is>
          <t>Easy</t>
        </is>
      </c>
      <c r="J1003" s="5">
        <f>HYPERLINK("https://www.codechef.com/problems/OSMCQ048", "https://www.codechef.com/problems/OSMCQ048")</f>
        <v/>
      </c>
      <c r="K1003" s="4" t="inlineStr"/>
      <c r="L1003" s="4" t="inlineStr"/>
      <c r="M1003" s="4" t="inlineStr"/>
      <c r="N1003" s="4" t="inlineStr">
        <is>
          <t>No</t>
        </is>
      </c>
      <c r="O1003" s="4" t="inlineStr">
        <is>
          <t>Unattempted</t>
        </is>
      </c>
    </row>
    <row r="1004">
      <c r="A1004" s="2" t="inlineStr">
        <is>
          <t>Interview Questions</t>
        </is>
      </c>
      <c r="B1004" s="2" t="inlineStr">
        <is>
          <t>Operating systems Interview Questions</t>
        </is>
      </c>
      <c r="C1004" s="2" t="inlineStr">
        <is>
          <t>Revise all the important Operating Systems concepts and practice lots of MCQ questions to prepare for interviews.</t>
        </is>
      </c>
      <c r="D1004" s="2" t="inlineStr">
        <is>
          <t>File Systems - File Systems</t>
        </is>
      </c>
      <c r="E1004" s="2" t="n">
        <v>65</v>
      </c>
      <c r="F1004" s="2" t="inlineStr">
        <is>
          <t>File system reliability and recovery</t>
        </is>
      </c>
      <c r="G1004" s="2" t="inlineStr">
        <is>
          <t>OSP17</t>
        </is>
      </c>
      <c r="H1004" s="2" t="inlineStr"/>
      <c r="I1004" s="2" t="inlineStr">
        <is>
          <t>Medium</t>
        </is>
      </c>
      <c r="J1004" s="3">
        <f>HYPERLINK("https://www.codechef.com/problems/OSP17", "https://www.codechef.com/problems/OSP17")</f>
        <v/>
      </c>
      <c r="K1004" s="2" t="inlineStr"/>
      <c r="L1004" s="2" t="inlineStr"/>
      <c r="M1004" s="2" t="inlineStr"/>
      <c r="N1004" s="2" t="inlineStr">
        <is>
          <t>No</t>
        </is>
      </c>
      <c r="O1004" s="2" t="inlineStr">
        <is>
          <t>Unattempted</t>
        </is>
      </c>
    </row>
    <row r="1005">
      <c r="A1005" s="4" t="inlineStr">
        <is>
          <t>Interview Questions</t>
        </is>
      </c>
      <c r="B1005" s="4" t="inlineStr">
        <is>
          <t>Operating systems Interview Questions</t>
        </is>
      </c>
      <c r="C1005" s="4" t="inlineStr">
        <is>
          <t>Revise all the important Operating Systems concepts and practice lots of MCQ questions to prepare for interviews.</t>
        </is>
      </c>
      <c r="D1005" s="4" t="inlineStr">
        <is>
          <t>File Systems - File Systems</t>
        </is>
      </c>
      <c r="E1005" s="4" t="n">
        <v>66</v>
      </c>
      <c r="F1005" s="4" t="inlineStr">
        <is>
          <t>File System Reliability</t>
        </is>
      </c>
      <c r="G1005" s="4" t="inlineStr">
        <is>
          <t>OSMCQ049</t>
        </is>
      </c>
      <c r="H1005" s="4" t="inlineStr"/>
      <c r="I1005" s="4" t="inlineStr">
        <is>
          <t>Easy</t>
        </is>
      </c>
      <c r="J1005" s="5">
        <f>HYPERLINK("https://www.codechef.com/problems/OSMCQ049", "https://www.codechef.com/problems/OSMCQ049")</f>
        <v/>
      </c>
      <c r="K1005" s="4" t="inlineStr"/>
      <c r="L1005" s="4" t="inlineStr"/>
      <c r="M1005" s="4" t="inlineStr"/>
      <c r="N1005" s="4" t="inlineStr">
        <is>
          <t>No</t>
        </is>
      </c>
      <c r="O1005" s="4" t="inlineStr">
        <is>
          <t>Unattempted</t>
        </is>
      </c>
    </row>
    <row r="1006">
      <c r="A1006" s="2" t="inlineStr">
        <is>
          <t>Interview Questions</t>
        </is>
      </c>
      <c r="B1006" s="2" t="inlineStr">
        <is>
          <t>Operating systems Interview Questions</t>
        </is>
      </c>
      <c r="C1006" s="2" t="inlineStr">
        <is>
          <t>Revise all the important Operating Systems concepts and practice lots of MCQ questions to prepare for interviews.</t>
        </is>
      </c>
      <c r="D1006" s="2" t="inlineStr">
        <is>
          <t>File Systems - File Systems</t>
        </is>
      </c>
      <c r="E1006" s="2" t="n">
        <v>67</v>
      </c>
      <c r="F1006" s="2" t="inlineStr">
        <is>
          <t>Journaling</t>
        </is>
      </c>
      <c r="G1006" s="2" t="inlineStr">
        <is>
          <t>OSMCQ050</t>
        </is>
      </c>
      <c r="H1006" s="2" t="inlineStr"/>
      <c r="I1006" s="2" t="inlineStr">
        <is>
          <t>Easy</t>
        </is>
      </c>
      <c r="J1006" s="3">
        <f>HYPERLINK("https://www.codechef.com/problems/OSMCQ050", "https://www.codechef.com/problems/OSMCQ050")</f>
        <v/>
      </c>
      <c r="K1006" s="2" t="inlineStr"/>
      <c r="L1006" s="2" t="inlineStr"/>
      <c r="M1006" s="2" t="inlineStr"/>
      <c r="N1006" s="2" t="inlineStr">
        <is>
          <t>No</t>
        </is>
      </c>
      <c r="O1006" s="2" t="inlineStr">
        <is>
          <t>Unattempted</t>
        </is>
      </c>
    </row>
    <row r="1007">
      <c r="A1007" s="4" t="inlineStr">
        <is>
          <t>Interview Questions</t>
        </is>
      </c>
      <c r="B1007" s="4" t="inlineStr">
        <is>
          <t>Operating systems Interview Questions</t>
        </is>
      </c>
      <c r="C1007" s="4" t="inlineStr">
        <is>
          <t>Revise all the important Operating Systems concepts and practice lots of MCQ questions to prepare for interviews.</t>
        </is>
      </c>
      <c r="D1007" s="4" t="inlineStr">
        <is>
          <t>File Systems - File Systems</t>
        </is>
      </c>
      <c r="E1007" s="4" t="n">
        <v>68</v>
      </c>
      <c r="F1007" s="4" t="inlineStr">
        <is>
          <t>File System Recovery</t>
        </is>
      </c>
      <c r="G1007" s="4" t="inlineStr">
        <is>
          <t>OSMCQ051</t>
        </is>
      </c>
      <c r="H1007" s="4" t="inlineStr"/>
      <c r="I1007" s="4" t="inlineStr">
        <is>
          <t>Easy</t>
        </is>
      </c>
      <c r="J1007" s="5">
        <f>HYPERLINK("https://www.codechef.com/problems/OSMCQ051", "https://www.codechef.com/problems/OSMCQ051")</f>
        <v/>
      </c>
      <c r="K1007" s="4" t="inlineStr"/>
      <c r="L1007" s="4" t="inlineStr"/>
      <c r="M1007" s="4" t="inlineStr"/>
      <c r="N1007" s="4" t="inlineStr">
        <is>
          <t>No</t>
        </is>
      </c>
      <c r="O1007" s="4" t="inlineStr">
        <is>
          <t>Unattempted</t>
        </is>
      </c>
    </row>
    <row r="1008">
      <c r="A1008" s="2" t="inlineStr">
        <is>
          <t>Interview Questions</t>
        </is>
      </c>
      <c r="B1008" s="2" t="inlineStr">
        <is>
          <t>Operating systems Interview Questions</t>
        </is>
      </c>
      <c r="C1008" s="2" t="inlineStr">
        <is>
          <t>Revise all the important Operating Systems concepts and practice lots of MCQ questions to prepare for interviews.</t>
        </is>
      </c>
      <c r="D1008" s="2" t="inlineStr">
        <is>
          <t>File Systems - File Systems</t>
        </is>
      </c>
      <c r="E1008" s="2" t="n">
        <v>69</v>
      </c>
      <c r="F1008" s="2" t="inlineStr">
        <is>
          <t>Distributed file systems</t>
        </is>
      </c>
      <c r="G1008" s="2" t="inlineStr">
        <is>
          <t>OSP18</t>
        </is>
      </c>
      <c r="H1008" s="2" t="inlineStr"/>
      <c r="I1008" s="2" t="inlineStr">
        <is>
          <t>Medium</t>
        </is>
      </c>
      <c r="J1008" s="3">
        <f>HYPERLINK("https://www.codechef.com/problems/OSP18", "https://www.codechef.com/problems/OSP18")</f>
        <v/>
      </c>
      <c r="K1008" s="2" t="inlineStr"/>
      <c r="L1008" s="2" t="inlineStr"/>
      <c r="M1008" s="2" t="inlineStr"/>
      <c r="N1008" s="2" t="inlineStr">
        <is>
          <t>No</t>
        </is>
      </c>
      <c r="O1008" s="2" t="inlineStr">
        <is>
          <t>Unattempted</t>
        </is>
      </c>
    </row>
    <row r="1009">
      <c r="A1009" s="4" t="inlineStr">
        <is>
          <t>Interview Questions</t>
        </is>
      </c>
      <c r="B1009" s="4" t="inlineStr">
        <is>
          <t>Operating systems Interview Questions</t>
        </is>
      </c>
      <c r="C1009" s="4" t="inlineStr">
        <is>
          <t>Revise all the important Operating Systems concepts and practice lots of MCQ questions to prepare for interviews.</t>
        </is>
      </c>
      <c r="D1009" s="4" t="inlineStr">
        <is>
          <t>File Systems - File Systems</t>
        </is>
      </c>
      <c r="E1009" s="4" t="n">
        <v>70</v>
      </c>
      <c r="F1009" s="4" t="inlineStr">
        <is>
          <t>Components of Distributed File Systems</t>
        </is>
      </c>
      <c r="G1009" s="4" t="inlineStr">
        <is>
          <t>OSMCQ052</t>
        </is>
      </c>
      <c r="H1009" s="4" t="inlineStr"/>
      <c r="I1009" s="4" t="inlineStr">
        <is>
          <t>Easy</t>
        </is>
      </c>
      <c r="J1009" s="5">
        <f>HYPERLINK("https://www.codechef.com/problems/OSMCQ052", "https://www.codechef.com/problems/OSMCQ052")</f>
        <v/>
      </c>
      <c r="K1009" s="4" t="inlineStr"/>
      <c r="L1009" s="4" t="inlineStr"/>
      <c r="M1009" s="4" t="inlineStr"/>
      <c r="N1009" s="4" t="inlineStr">
        <is>
          <t>No</t>
        </is>
      </c>
      <c r="O1009" s="4" t="inlineStr">
        <is>
          <t>Unattempted</t>
        </is>
      </c>
    </row>
    <row r="1010">
      <c r="A1010" s="2" t="inlineStr">
        <is>
          <t>Interview Questions</t>
        </is>
      </c>
      <c r="B1010" s="2" t="inlineStr">
        <is>
          <t>Operating systems Interview Questions</t>
        </is>
      </c>
      <c r="C1010" s="2" t="inlineStr">
        <is>
          <t>Revise all the important Operating Systems concepts and practice lots of MCQ questions to prepare for interviews.</t>
        </is>
      </c>
      <c r="D1010" s="2" t="inlineStr">
        <is>
          <t>File Systems - File Systems</t>
        </is>
      </c>
      <c r="E1010" s="2" t="n">
        <v>71</v>
      </c>
      <c r="F1010" s="2" t="inlineStr">
        <is>
          <t>Advantages of Distributed File Systems</t>
        </is>
      </c>
      <c r="G1010" s="2" t="inlineStr">
        <is>
          <t>OSMCQ053</t>
        </is>
      </c>
      <c r="H1010" s="2" t="inlineStr"/>
      <c r="I1010" s="2" t="inlineStr">
        <is>
          <t>Easy</t>
        </is>
      </c>
      <c r="J1010" s="3">
        <f>HYPERLINK("https://www.codechef.com/problems/OSMCQ053", "https://www.codechef.com/problems/OSMCQ053")</f>
        <v/>
      </c>
      <c r="K1010" s="2" t="inlineStr"/>
      <c r="L1010" s="2" t="inlineStr"/>
      <c r="M1010" s="2" t="inlineStr"/>
      <c r="N1010" s="2" t="inlineStr">
        <is>
          <t>No</t>
        </is>
      </c>
      <c r="O1010" s="2" t="inlineStr">
        <is>
          <t>Unattempted</t>
        </is>
      </c>
    </row>
    <row r="1011">
      <c r="A1011" s="4" t="inlineStr">
        <is>
          <t>Interview Questions</t>
        </is>
      </c>
      <c r="B1011" s="4" t="inlineStr">
        <is>
          <t>Operating systems Interview Questions</t>
        </is>
      </c>
      <c r="C1011" s="4" t="inlineStr">
        <is>
          <t>Revise all the important Operating Systems concepts and practice lots of MCQ questions to prepare for interviews.</t>
        </is>
      </c>
      <c r="D1011" s="4" t="inlineStr">
        <is>
          <t>File Systems - File Systems</t>
        </is>
      </c>
      <c r="E1011" s="4" t="n">
        <v>72</v>
      </c>
      <c r="F1011" s="4" t="inlineStr">
        <is>
          <t>Security in Distributed File Systems</t>
        </is>
      </c>
      <c r="G1011" s="4" t="inlineStr">
        <is>
          <t>OSMCQ054</t>
        </is>
      </c>
      <c r="H1011" s="4" t="inlineStr"/>
      <c r="I1011" s="4" t="inlineStr">
        <is>
          <t>Easy</t>
        </is>
      </c>
      <c r="J1011" s="5">
        <f>HYPERLINK("https://www.codechef.com/problems/OSMCQ054", "https://www.codechef.com/problems/OSMCQ054")</f>
        <v/>
      </c>
      <c r="K1011" s="4" t="inlineStr"/>
      <c r="L1011" s="4" t="inlineStr"/>
      <c r="M1011" s="4" t="inlineStr"/>
      <c r="N1011" s="4" t="inlineStr">
        <is>
          <t>No</t>
        </is>
      </c>
      <c r="O1011" s="4" t="inlineStr">
        <is>
          <t>Unattempted</t>
        </is>
      </c>
    </row>
    <row r="1012">
      <c r="A1012" s="2" t="inlineStr">
        <is>
          <t>Interview Questions</t>
        </is>
      </c>
      <c r="B1012" s="2" t="inlineStr">
        <is>
          <t>Operating systems Interview Questions</t>
        </is>
      </c>
      <c r="C1012" s="2" t="inlineStr">
        <is>
          <t>Revise all the important Operating Systems concepts and practice lots of MCQ questions to prepare for interviews.</t>
        </is>
      </c>
      <c r="D1012" s="2" t="inlineStr">
        <is>
          <t>I/O Management - I/O Management</t>
        </is>
      </c>
      <c r="E1012" s="2" t="n">
        <v>73</v>
      </c>
      <c r="F1012" s="2" t="inlineStr">
        <is>
          <t>Introduction to IO Management</t>
        </is>
      </c>
      <c r="G1012" s="2" t="inlineStr">
        <is>
          <t>OSP19</t>
        </is>
      </c>
      <c r="H1012" s="2" t="inlineStr"/>
      <c r="I1012" s="2" t="inlineStr">
        <is>
          <t>Easy</t>
        </is>
      </c>
      <c r="J1012" s="3">
        <f>HYPERLINK("https://www.codechef.com/problems/OSP19", "https://www.codechef.com/problems/OSP19")</f>
        <v/>
      </c>
      <c r="K1012" s="2" t="inlineStr"/>
      <c r="L1012" s="2" t="inlineStr"/>
      <c r="M1012" s="2" t="inlineStr"/>
      <c r="N1012" s="2" t="inlineStr">
        <is>
          <t>No</t>
        </is>
      </c>
      <c r="O1012" s="2" t="inlineStr">
        <is>
          <t>Unattempted</t>
        </is>
      </c>
    </row>
    <row r="1013">
      <c r="A1013" s="4" t="inlineStr">
        <is>
          <t>Interview Questions</t>
        </is>
      </c>
      <c r="B1013" s="4" t="inlineStr">
        <is>
          <t>Operating systems Interview Questions</t>
        </is>
      </c>
      <c r="C1013" s="4" t="inlineStr">
        <is>
          <t>Revise all the important Operating Systems concepts and practice lots of MCQ questions to prepare for interviews.</t>
        </is>
      </c>
      <c r="D1013" s="4" t="inlineStr">
        <is>
          <t>I/O Management - I/O Management</t>
        </is>
      </c>
      <c r="E1013" s="4" t="n">
        <v>74</v>
      </c>
      <c r="F1013" s="4" t="inlineStr">
        <is>
          <t>I/O Management Components</t>
        </is>
      </c>
      <c r="G1013" s="4" t="inlineStr">
        <is>
          <t>OSMCQ055</t>
        </is>
      </c>
      <c r="H1013" s="4" t="inlineStr"/>
      <c r="I1013" s="4" t="inlineStr">
        <is>
          <t>Easy</t>
        </is>
      </c>
      <c r="J1013" s="5">
        <f>HYPERLINK("https://www.codechef.com/problems/OSMCQ055", "https://www.codechef.com/problems/OSMCQ055")</f>
        <v/>
      </c>
      <c r="K1013" s="4" t="inlineStr"/>
      <c r="L1013" s="4" t="inlineStr"/>
      <c r="M1013" s="4" t="inlineStr"/>
      <c r="N1013" s="4" t="inlineStr">
        <is>
          <t>No</t>
        </is>
      </c>
      <c r="O1013" s="4" t="inlineStr">
        <is>
          <t>Unattempted</t>
        </is>
      </c>
    </row>
    <row r="1014">
      <c r="A1014" s="2" t="inlineStr">
        <is>
          <t>Interview Questions</t>
        </is>
      </c>
      <c r="B1014" s="2" t="inlineStr">
        <is>
          <t>Operating systems Interview Questions</t>
        </is>
      </c>
      <c r="C1014" s="2" t="inlineStr">
        <is>
          <t>Revise all the important Operating Systems concepts and practice lots of MCQ questions to prepare for interviews.</t>
        </is>
      </c>
      <c r="D1014" s="2" t="inlineStr">
        <is>
          <t>I/O Management - I/O Management</t>
        </is>
      </c>
      <c r="E1014" s="2" t="n">
        <v>75</v>
      </c>
      <c r="F1014" s="2" t="inlineStr">
        <is>
          <t>Blocking vs Non-blocking I/O</t>
        </is>
      </c>
      <c r="G1014" s="2" t="inlineStr">
        <is>
          <t>OSMCQ056</t>
        </is>
      </c>
      <c r="H1014" s="2" t="inlineStr"/>
      <c r="I1014" s="2" t="inlineStr">
        <is>
          <t>Easy</t>
        </is>
      </c>
      <c r="J1014" s="3">
        <f>HYPERLINK("https://www.codechef.com/problems/OSMCQ056", "https://www.codechef.com/problems/OSMCQ056")</f>
        <v/>
      </c>
      <c r="K1014" s="2" t="inlineStr"/>
      <c r="L1014" s="2" t="inlineStr"/>
      <c r="M1014" s="2" t="inlineStr"/>
      <c r="N1014" s="2" t="inlineStr">
        <is>
          <t>No</t>
        </is>
      </c>
      <c r="O1014" s="2" t="inlineStr">
        <is>
          <t>Unattempted</t>
        </is>
      </c>
    </row>
    <row r="1015">
      <c r="A1015" s="4" t="inlineStr">
        <is>
          <t>Interview Questions</t>
        </is>
      </c>
      <c r="B1015" s="4" t="inlineStr">
        <is>
          <t>Operating systems Interview Questions</t>
        </is>
      </c>
      <c r="C1015" s="4" t="inlineStr">
        <is>
          <t>Revise all the important Operating Systems concepts and practice lots of MCQ questions to prepare for interviews.</t>
        </is>
      </c>
      <c r="D1015" s="4" t="inlineStr">
        <is>
          <t>I/O Management - I/O Management</t>
        </is>
      </c>
      <c r="E1015" s="4" t="n">
        <v>76</v>
      </c>
      <c r="F1015" s="4" t="inlineStr">
        <is>
          <t>I/O Error Handling</t>
        </is>
      </c>
      <c r="G1015" s="4" t="inlineStr">
        <is>
          <t>OSMCQ057</t>
        </is>
      </c>
      <c r="H1015" s="4" t="inlineStr"/>
      <c r="I1015" s="4" t="inlineStr">
        <is>
          <t>Easy</t>
        </is>
      </c>
      <c r="J1015" s="5">
        <f>HYPERLINK("https://www.codechef.com/problems/OSMCQ057", "https://www.codechef.com/problems/OSMCQ057")</f>
        <v/>
      </c>
      <c r="K1015" s="4" t="inlineStr"/>
      <c r="L1015" s="4" t="inlineStr"/>
      <c r="M1015" s="4" t="inlineStr"/>
      <c r="N1015" s="4" t="inlineStr">
        <is>
          <t>No</t>
        </is>
      </c>
      <c r="O1015" s="4" t="inlineStr">
        <is>
          <t>Unattempted</t>
        </is>
      </c>
    </row>
    <row r="1016">
      <c r="A1016" s="2" t="inlineStr">
        <is>
          <t>Interview Questions</t>
        </is>
      </c>
      <c r="B1016" s="2" t="inlineStr">
        <is>
          <t>Operating systems Interview Questions</t>
        </is>
      </c>
      <c r="C1016" s="2" t="inlineStr">
        <is>
          <t>Revise all the important Operating Systems concepts and practice lots of MCQ questions to prepare for interviews.</t>
        </is>
      </c>
      <c r="D1016" s="2" t="inlineStr">
        <is>
          <t>I/O Management - I/O Management</t>
        </is>
      </c>
      <c r="E1016" s="2" t="n">
        <v>77</v>
      </c>
      <c r="F1016" s="2" t="inlineStr">
        <is>
          <t>Device drivers</t>
        </is>
      </c>
      <c r="G1016" s="2" t="inlineStr">
        <is>
          <t>OSP20</t>
        </is>
      </c>
      <c r="H1016" s="2" t="inlineStr"/>
      <c r="I1016" s="2" t="inlineStr">
        <is>
          <t>Medium</t>
        </is>
      </c>
      <c r="J1016" s="3">
        <f>HYPERLINK("https://www.codechef.com/problems/OSP20", "https://www.codechef.com/problems/OSP20")</f>
        <v/>
      </c>
      <c r="K1016" s="2" t="inlineStr"/>
      <c r="L1016" s="2" t="inlineStr"/>
      <c r="M1016" s="2" t="inlineStr"/>
      <c r="N1016" s="2" t="inlineStr">
        <is>
          <t>No</t>
        </is>
      </c>
      <c r="O1016" s="2" t="inlineStr">
        <is>
          <t>Unattempted</t>
        </is>
      </c>
    </row>
    <row r="1017">
      <c r="A1017" s="4" t="inlineStr">
        <is>
          <t>Interview Questions</t>
        </is>
      </c>
      <c r="B1017" s="4" t="inlineStr">
        <is>
          <t>Operating systems Interview Questions</t>
        </is>
      </c>
      <c r="C1017" s="4" t="inlineStr">
        <is>
          <t>Revise all the important Operating Systems concepts and practice lots of MCQ questions to prepare for interviews.</t>
        </is>
      </c>
      <c r="D1017" s="4" t="inlineStr">
        <is>
          <t>I/O Management - I/O Management</t>
        </is>
      </c>
      <c r="E1017" s="4" t="n">
        <v>78</v>
      </c>
      <c r="F1017" s="4" t="inlineStr">
        <is>
          <t>Device Driver Functions</t>
        </is>
      </c>
      <c r="G1017" s="4" t="inlineStr">
        <is>
          <t>OSMCQ058</t>
        </is>
      </c>
      <c r="H1017" s="4" t="inlineStr"/>
      <c r="I1017" s="4" t="inlineStr">
        <is>
          <t>Easy</t>
        </is>
      </c>
      <c r="J1017" s="5">
        <f>HYPERLINK("https://www.codechef.com/problems/OSMCQ058", "https://www.codechef.com/problems/OSMCQ058")</f>
        <v/>
      </c>
      <c r="K1017" s="4" t="inlineStr"/>
      <c r="L1017" s="4" t="inlineStr"/>
      <c r="M1017" s="4" t="inlineStr"/>
      <c r="N1017" s="4" t="inlineStr">
        <is>
          <t>No</t>
        </is>
      </c>
      <c r="O1017" s="4" t="inlineStr">
        <is>
          <t>Unattempted</t>
        </is>
      </c>
    </row>
    <row r="1018">
      <c r="A1018" s="2" t="inlineStr">
        <is>
          <t>Interview Questions</t>
        </is>
      </c>
      <c r="B1018" s="2" t="inlineStr">
        <is>
          <t>Operating systems Interview Questions</t>
        </is>
      </c>
      <c r="C1018" s="2" t="inlineStr">
        <is>
          <t>Revise all the important Operating Systems concepts and practice lots of MCQ questions to prepare for interviews.</t>
        </is>
      </c>
      <c r="D1018" s="2" t="inlineStr">
        <is>
          <t>I/O Management - I/O Management</t>
        </is>
      </c>
      <c r="E1018" s="2" t="n">
        <v>79</v>
      </c>
      <c r="F1018" s="2" t="inlineStr">
        <is>
          <t>Kernel-mode vs User-mode Drivers</t>
        </is>
      </c>
      <c r="G1018" s="2" t="inlineStr">
        <is>
          <t>OSMCQ059</t>
        </is>
      </c>
      <c r="H1018" s="2" t="inlineStr"/>
      <c r="I1018" s="2" t="inlineStr">
        <is>
          <t>Medium</t>
        </is>
      </c>
      <c r="J1018" s="3">
        <f>HYPERLINK("https://www.codechef.com/problems/OSMCQ059", "https://www.codechef.com/problems/OSMCQ059")</f>
        <v/>
      </c>
      <c r="K1018" s="2" t="inlineStr"/>
      <c r="L1018" s="2" t="inlineStr"/>
      <c r="M1018" s="2" t="inlineStr"/>
      <c r="N1018" s="2" t="inlineStr">
        <is>
          <t>No</t>
        </is>
      </c>
      <c r="O1018" s="2" t="inlineStr">
        <is>
          <t>Unattempted</t>
        </is>
      </c>
    </row>
    <row r="1019">
      <c r="A1019" s="4" t="inlineStr">
        <is>
          <t>Interview Questions</t>
        </is>
      </c>
      <c r="B1019" s="4" t="inlineStr">
        <is>
          <t>Operating systems Interview Questions</t>
        </is>
      </c>
      <c r="C1019" s="4" t="inlineStr">
        <is>
          <t>Revise all the important Operating Systems concepts and practice lots of MCQ questions to prepare for interviews.</t>
        </is>
      </c>
      <c r="D1019" s="4" t="inlineStr">
        <is>
          <t>I/O Management - I/O Management</t>
        </is>
      </c>
      <c r="E1019" s="4" t="n">
        <v>80</v>
      </c>
      <c r="F1019" s="4" t="inlineStr">
        <is>
          <t>Plug-and-Play Device Drivers</t>
        </is>
      </c>
      <c r="G1019" s="4" t="inlineStr">
        <is>
          <t>OSMCQ060</t>
        </is>
      </c>
      <c r="H1019" s="4" t="inlineStr"/>
      <c r="I1019" s="4" t="inlineStr">
        <is>
          <t>Easy</t>
        </is>
      </c>
      <c r="J1019" s="5">
        <f>HYPERLINK("https://www.codechef.com/problems/OSMCQ060", "https://www.codechef.com/problems/OSMCQ060")</f>
        <v/>
      </c>
      <c r="K1019" s="4" t="inlineStr"/>
      <c r="L1019" s="4" t="inlineStr"/>
      <c r="M1019" s="4" t="inlineStr"/>
      <c r="N1019" s="4" t="inlineStr">
        <is>
          <t>No</t>
        </is>
      </c>
      <c r="O1019" s="4" t="inlineStr">
        <is>
          <t>Unattempted</t>
        </is>
      </c>
    </row>
    <row r="1020">
      <c r="A1020" s="2" t="inlineStr">
        <is>
          <t>Interview Questions</t>
        </is>
      </c>
      <c r="B1020" s="2" t="inlineStr">
        <is>
          <t>Operating systems Interview Questions</t>
        </is>
      </c>
      <c r="C1020" s="2" t="inlineStr">
        <is>
          <t>Revise all the important Operating Systems concepts and practice lots of MCQ questions to prepare for interviews.</t>
        </is>
      </c>
      <c r="D1020" s="2" t="inlineStr">
        <is>
          <t>I/O Management - I/O Management</t>
        </is>
      </c>
      <c r="E1020" s="2" t="n">
        <v>81</v>
      </c>
      <c r="F1020" s="2" t="inlineStr">
        <is>
          <t>Buffering in Operating Systems</t>
        </is>
      </c>
      <c r="G1020" s="2" t="inlineStr">
        <is>
          <t>OSP21</t>
        </is>
      </c>
      <c r="H1020" s="2" t="inlineStr"/>
      <c r="I1020" s="2" t="inlineStr">
        <is>
          <t>Easy</t>
        </is>
      </c>
      <c r="J1020" s="3">
        <f>HYPERLINK("https://www.codechef.com/problems/OSP21", "https://www.codechef.com/problems/OSP21")</f>
        <v/>
      </c>
      <c r="K1020" s="2" t="inlineStr"/>
      <c r="L1020" s="2" t="inlineStr"/>
      <c r="M1020" s="2" t="inlineStr"/>
      <c r="N1020" s="2" t="inlineStr">
        <is>
          <t>No</t>
        </is>
      </c>
      <c r="O1020" s="2" t="inlineStr">
        <is>
          <t>Unattempted</t>
        </is>
      </c>
    </row>
    <row r="1021">
      <c r="A1021" s="4" t="inlineStr">
        <is>
          <t>Interview Questions</t>
        </is>
      </c>
      <c r="B1021" s="4" t="inlineStr">
        <is>
          <t>Operating systems Interview Questions</t>
        </is>
      </c>
      <c r="C1021" s="4" t="inlineStr">
        <is>
          <t>Revise all the important Operating Systems concepts and practice lots of MCQ questions to prepare for interviews.</t>
        </is>
      </c>
      <c r="D1021" s="4" t="inlineStr">
        <is>
          <t>I/O Management - I/O Management</t>
        </is>
      </c>
      <c r="E1021" s="4" t="n">
        <v>82</v>
      </c>
      <c r="F1021" s="4" t="inlineStr">
        <is>
          <t>Purpose of Buffering</t>
        </is>
      </c>
      <c r="G1021" s="4" t="inlineStr">
        <is>
          <t>OSMCQ061</t>
        </is>
      </c>
      <c r="H1021" s="4" t="inlineStr"/>
      <c r="I1021" s="4" t="inlineStr">
        <is>
          <t>Easy</t>
        </is>
      </c>
      <c r="J1021" s="5">
        <f>HYPERLINK("https://www.codechef.com/problems/OSMCQ061", "https://www.codechef.com/problems/OSMCQ061")</f>
        <v/>
      </c>
      <c r="K1021" s="4" t="inlineStr"/>
      <c r="L1021" s="4" t="inlineStr"/>
      <c r="M1021" s="4" t="inlineStr"/>
      <c r="N1021" s="4" t="inlineStr">
        <is>
          <t>No</t>
        </is>
      </c>
      <c r="O1021" s="4" t="inlineStr">
        <is>
          <t>Unattempted</t>
        </is>
      </c>
    </row>
    <row r="1022">
      <c r="A1022" s="2" t="inlineStr">
        <is>
          <t>Interview Questions</t>
        </is>
      </c>
      <c r="B1022" s="2" t="inlineStr">
        <is>
          <t>Operating systems Interview Questions</t>
        </is>
      </c>
      <c r="C1022" s="2" t="inlineStr">
        <is>
          <t>Revise all the important Operating Systems concepts and practice lots of MCQ questions to prepare for interviews.</t>
        </is>
      </c>
      <c r="D1022" s="2" t="inlineStr">
        <is>
          <t>I/O Management - I/O Management</t>
        </is>
      </c>
      <c r="E1022" s="2" t="n">
        <v>83</v>
      </c>
      <c r="F1022" s="2" t="inlineStr">
        <is>
          <t>Double Buffering</t>
        </is>
      </c>
      <c r="G1022" s="2" t="inlineStr">
        <is>
          <t>OSMCQ062</t>
        </is>
      </c>
      <c r="H1022" s="2" t="inlineStr"/>
      <c r="I1022" s="2" t="inlineStr">
        <is>
          <t>Easy</t>
        </is>
      </c>
      <c r="J1022" s="3">
        <f>HYPERLINK("https://www.codechef.com/problems/OSMCQ062", "https://www.codechef.com/problems/OSMCQ062")</f>
        <v/>
      </c>
      <c r="K1022" s="2" t="inlineStr"/>
      <c r="L1022" s="2" t="inlineStr"/>
      <c r="M1022" s="2" t="inlineStr"/>
      <c r="N1022" s="2" t="inlineStr">
        <is>
          <t>No</t>
        </is>
      </c>
      <c r="O1022" s="2" t="inlineStr">
        <is>
          <t>Unattempted</t>
        </is>
      </c>
    </row>
    <row r="1023">
      <c r="A1023" s="4" t="inlineStr">
        <is>
          <t>Interview Questions</t>
        </is>
      </c>
      <c r="B1023" s="4" t="inlineStr">
        <is>
          <t>Operating systems Interview Questions</t>
        </is>
      </c>
      <c r="C1023" s="4" t="inlineStr">
        <is>
          <t>Revise all the important Operating Systems concepts and practice lots of MCQ questions to prepare for interviews.</t>
        </is>
      </c>
      <c r="D1023" s="4" t="inlineStr">
        <is>
          <t>I/O Management - I/O Management</t>
        </is>
      </c>
      <c r="E1023" s="4" t="n">
        <v>84</v>
      </c>
      <c r="F1023" s="4" t="inlineStr">
        <is>
          <t>Drawbacks of Buffering</t>
        </is>
      </c>
      <c r="G1023" s="4" t="inlineStr">
        <is>
          <t>OSMCQ063</t>
        </is>
      </c>
      <c r="H1023" s="4" t="inlineStr"/>
      <c r="I1023" s="4" t="inlineStr">
        <is>
          <t>Easy</t>
        </is>
      </c>
      <c r="J1023" s="5">
        <f>HYPERLINK("https://www.codechef.com/problems/OSMCQ063", "https://www.codechef.com/problems/OSMCQ063")</f>
        <v/>
      </c>
      <c r="K1023" s="4" t="inlineStr"/>
      <c r="L1023" s="4" t="inlineStr"/>
      <c r="M1023" s="4" t="inlineStr"/>
      <c r="N1023" s="4" t="inlineStr">
        <is>
          <t>No</t>
        </is>
      </c>
      <c r="O1023" s="4" t="inlineStr">
        <is>
          <t>Unattempted</t>
        </is>
      </c>
    </row>
    <row r="1024">
      <c r="A1024" s="2" t="inlineStr">
        <is>
          <t>Interview Questions</t>
        </is>
      </c>
      <c r="B1024" s="2" t="inlineStr">
        <is>
          <t>Operating systems Interview Questions</t>
        </is>
      </c>
      <c r="C1024" s="2" t="inlineStr">
        <is>
          <t>Revise all the important Operating Systems concepts and practice lots of MCQ questions to prepare for interviews.</t>
        </is>
      </c>
      <c r="D1024" s="2" t="inlineStr">
        <is>
          <t>I/O Management - I/O Management</t>
        </is>
      </c>
      <c r="E1024" s="2" t="n">
        <v>85</v>
      </c>
      <c r="F1024" s="2" t="inlineStr">
        <is>
          <t>Spooling in Operating Systems</t>
        </is>
      </c>
      <c r="G1024" s="2" t="inlineStr">
        <is>
          <t>OSP22</t>
        </is>
      </c>
      <c r="H1024" s="2" t="inlineStr"/>
      <c r="I1024" s="2" t="inlineStr">
        <is>
          <t>Easy</t>
        </is>
      </c>
      <c r="J1024" s="3">
        <f>HYPERLINK("https://www.codechef.com/problems/OSP22", "https://www.codechef.com/problems/OSP22")</f>
        <v/>
      </c>
      <c r="K1024" s="2" t="inlineStr"/>
      <c r="L1024" s="2" t="inlineStr"/>
      <c r="M1024" s="2" t="inlineStr"/>
      <c r="N1024" s="2" t="inlineStr">
        <is>
          <t>No</t>
        </is>
      </c>
      <c r="O1024" s="2" t="inlineStr">
        <is>
          <t>Unattempted</t>
        </is>
      </c>
    </row>
    <row r="1025">
      <c r="A1025" s="4" t="inlineStr">
        <is>
          <t>Interview Questions</t>
        </is>
      </c>
      <c r="B1025" s="4" t="inlineStr">
        <is>
          <t>Operating systems Interview Questions</t>
        </is>
      </c>
      <c r="C1025" s="4" t="inlineStr">
        <is>
          <t>Revise all the important Operating Systems concepts and practice lots of MCQ questions to prepare for interviews.</t>
        </is>
      </c>
      <c r="D1025" s="4" t="inlineStr">
        <is>
          <t>I/O Management - I/O Management</t>
        </is>
      </c>
      <c r="E1025" s="4" t="n">
        <v>86</v>
      </c>
      <c r="F1025" s="4" t="inlineStr">
        <is>
          <t>Spooling Definition</t>
        </is>
      </c>
      <c r="G1025" s="4" t="inlineStr">
        <is>
          <t>OSMCQ064</t>
        </is>
      </c>
      <c r="H1025" s="4" t="inlineStr"/>
      <c r="I1025" s="4" t="inlineStr">
        <is>
          <t>Easy</t>
        </is>
      </c>
      <c r="J1025" s="5">
        <f>HYPERLINK("https://www.codechef.com/problems/OSMCQ064", "https://www.codechef.com/problems/OSMCQ064")</f>
        <v/>
      </c>
      <c r="K1025" s="4" t="inlineStr"/>
      <c r="L1025" s="4" t="inlineStr"/>
      <c r="M1025" s="4" t="inlineStr"/>
      <c r="N1025" s="4" t="inlineStr">
        <is>
          <t>No</t>
        </is>
      </c>
      <c r="O1025" s="4" t="inlineStr">
        <is>
          <t>Unattempted</t>
        </is>
      </c>
    </row>
    <row r="1026">
      <c r="A1026" s="2" t="inlineStr">
        <is>
          <t>Interview Questions</t>
        </is>
      </c>
      <c r="B1026" s="2" t="inlineStr">
        <is>
          <t>Operating systems Interview Questions</t>
        </is>
      </c>
      <c r="C1026" s="2" t="inlineStr">
        <is>
          <t>Revise all the important Operating Systems concepts and practice lots of MCQ questions to prepare for interviews.</t>
        </is>
      </c>
      <c r="D1026" s="2" t="inlineStr">
        <is>
          <t>I/O Management - I/O Management</t>
        </is>
      </c>
      <c r="E1026" s="2" t="n">
        <v>87</v>
      </c>
      <c r="F1026" s="2" t="inlineStr">
        <is>
          <t>Spooling in Printing</t>
        </is>
      </c>
      <c r="G1026" s="2" t="inlineStr">
        <is>
          <t>OSMCQ065</t>
        </is>
      </c>
      <c r="H1026" s="2" t="inlineStr"/>
      <c r="I1026" s="2" t="inlineStr">
        <is>
          <t>Easy</t>
        </is>
      </c>
      <c r="J1026" s="3">
        <f>HYPERLINK("https://www.codechef.com/problems/OSMCQ065", "https://www.codechef.com/problems/OSMCQ065")</f>
        <v/>
      </c>
      <c r="K1026" s="2" t="inlineStr"/>
      <c r="L1026" s="2" t="inlineStr"/>
      <c r="M1026" s="2" t="inlineStr"/>
      <c r="N1026" s="2" t="inlineStr">
        <is>
          <t>No</t>
        </is>
      </c>
      <c r="O1026" s="2" t="inlineStr">
        <is>
          <t>Unattempted</t>
        </is>
      </c>
    </row>
    <row r="1027">
      <c r="A1027" s="4" t="inlineStr">
        <is>
          <t>Interview Questions</t>
        </is>
      </c>
      <c r="B1027" s="4" t="inlineStr">
        <is>
          <t>Operating systems Interview Questions</t>
        </is>
      </c>
      <c r="C1027" s="4" t="inlineStr">
        <is>
          <t>Revise all the important Operating Systems concepts and practice lots of MCQ questions to prepare for interviews.</t>
        </is>
      </c>
      <c r="D1027" s="4" t="inlineStr">
        <is>
          <t>I/O Management - I/O Management</t>
        </is>
      </c>
      <c r="E1027" s="4" t="n">
        <v>88</v>
      </c>
      <c r="F1027" s="4" t="inlineStr">
        <is>
          <t>Spooling Applications</t>
        </is>
      </c>
      <c r="G1027" s="4" t="inlineStr">
        <is>
          <t>OSMCQ066</t>
        </is>
      </c>
      <c r="H1027" s="4" t="inlineStr"/>
      <c r="I1027" s="4" t="inlineStr">
        <is>
          <t>Easy</t>
        </is>
      </c>
      <c r="J1027" s="5">
        <f>HYPERLINK("https://www.codechef.com/problems/OSMCQ066", "https://www.codechef.com/problems/OSMCQ066")</f>
        <v/>
      </c>
      <c r="K1027" s="4" t="inlineStr"/>
      <c r="L1027" s="4" t="inlineStr"/>
      <c r="M1027" s="4" t="inlineStr"/>
      <c r="N1027" s="4" t="inlineStr">
        <is>
          <t>No</t>
        </is>
      </c>
      <c r="O1027" s="4" t="inlineStr">
        <is>
          <t>Unattempted</t>
        </is>
      </c>
    </row>
    <row r="1028">
      <c r="A1028" s="2" t="inlineStr">
        <is>
          <t>Interview Questions</t>
        </is>
      </c>
      <c r="B1028" s="2" t="inlineStr">
        <is>
          <t>Operating systems Interview Questions</t>
        </is>
      </c>
      <c r="C1028" s="2" t="inlineStr">
        <is>
          <t>Revise all the important Operating Systems concepts and practice lots of MCQ questions to prepare for interviews.</t>
        </is>
      </c>
      <c r="D1028" s="2" t="inlineStr">
        <is>
          <t>I/O Management - I/O Management</t>
        </is>
      </c>
      <c r="E1028" s="2" t="n">
        <v>89</v>
      </c>
      <c r="F1028" s="2" t="inlineStr">
        <is>
          <t>IO scheduling in Operating Systems</t>
        </is>
      </c>
      <c r="G1028" s="2" t="inlineStr">
        <is>
          <t>OSP23</t>
        </is>
      </c>
      <c r="H1028" s="2" t="inlineStr"/>
      <c r="I1028" s="2" t="inlineStr">
        <is>
          <t>Medium</t>
        </is>
      </c>
      <c r="J1028" s="3">
        <f>HYPERLINK("https://www.codechef.com/problems/OSP23", "https://www.codechef.com/problems/OSP23")</f>
        <v/>
      </c>
      <c r="K1028" s="2" t="inlineStr"/>
      <c r="L1028" s="2" t="inlineStr"/>
      <c r="M1028" s="2" t="inlineStr"/>
      <c r="N1028" s="2" t="inlineStr">
        <is>
          <t>No</t>
        </is>
      </c>
      <c r="O1028" s="2" t="inlineStr">
        <is>
          <t>Unattempted</t>
        </is>
      </c>
    </row>
    <row r="1029">
      <c r="A1029" s="4" t="inlineStr">
        <is>
          <t>Interview Questions</t>
        </is>
      </c>
      <c r="B1029" s="4" t="inlineStr">
        <is>
          <t>Operating systems Interview Questions</t>
        </is>
      </c>
      <c r="C1029" s="4" t="inlineStr">
        <is>
          <t>Revise all the important Operating Systems concepts and practice lots of MCQ questions to prepare for interviews.</t>
        </is>
      </c>
      <c r="D1029" s="4" t="inlineStr">
        <is>
          <t>I/O Management - I/O Management</t>
        </is>
      </c>
      <c r="E1029" s="4" t="n">
        <v>90</v>
      </c>
      <c r="F1029" s="4" t="inlineStr">
        <is>
          <t>I/O Scheduling Goals</t>
        </is>
      </c>
      <c r="G1029" s="4" t="inlineStr">
        <is>
          <t>OSMCQ067</t>
        </is>
      </c>
      <c r="H1029" s="4" t="inlineStr"/>
      <c r="I1029" s="4" t="inlineStr">
        <is>
          <t>Easy</t>
        </is>
      </c>
      <c r="J1029" s="5">
        <f>HYPERLINK("https://www.codechef.com/problems/OSMCQ067", "https://www.codechef.com/problems/OSMCQ067")</f>
        <v/>
      </c>
      <c r="K1029" s="4" t="inlineStr"/>
      <c r="L1029" s="4" t="inlineStr"/>
      <c r="M1029" s="4" t="inlineStr"/>
      <c r="N1029" s="4" t="inlineStr">
        <is>
          <t>No</t>
        </is>
      </c>
      <c r="O1029" s="4" t="inlineStr">
        <is>
          <t>Unattempted</t>
        </is>
      </c>
    </row>
    <row r="1030">
      <c r="A1030" s="2" t="inlineStr">
        <is>
          <t>Interview Questions</t>
        </is>
      </c>
      <c r="B1030" s="2" t="inlineStr">
        <is>
          <t>Operating systems Interview Questions</t>
        </is>
      </c>
      <c r="C1030" s="2" t="inlineStr">
        <is>
          <t>Revise all the important Operating Systems concepts and practice lots of MCQ questions to prepare for interviews.</t>
        </is>
      </c>
      <c r="D1030" s="2" t="inlineStr">
        <is>
          <t>I/O Management - I/O Management</t>
        </is>
      </c>
      <c r="E1030" s="2" t="n">
        <v>91</v>
      </c>
      <c r="F1030" s="2" t="inlineStr">
        <is>
          <t>SCAN Algorithm</t>
        </is>
      </c>
      <c r="G1030" s="2" t="inlineStr">
        <is>
          <t>OSMCQ068</t>
        </is>
      </c>
      <c r="H1030" s="2" t="inlineStr"/>
      <c r="I1030" s="2" t="inlineStr">
        <is>
          <t>Medium</t>
        </is>
      </c>
      <c r="J1030" s="3">
        <f>HYPERLINK("https://www.codechef.com/problems/OSMCQ068", "https://www.codechef.com/problems/OSMCQ068")</f>
        <v/>
      </c>
      <c r="K1030" s="2" t="inlineStr"/>
      <c r="L1030" s="2" t="inlineStr"/>
      <c r="M1030" s="2" t="inlineStr"/>
      <c r="N1030" s="2" t="inlineStr">
        <is>
          <t>No</t>
        </is>
      </c>
      <c r="O1030" s="2" t="inlineStr">
        <is>
          <t>Unattempted</t>
        </is>
      </c>
    </row>
    <row r="1031">
      <c r="A1031" s="4" t="inlineStr">
        <is>
          <t>Interview Questions</t>
        </is>
      </c>
      <c r="B1031" s="4" t="inlineStr">
        <is>
          <t>Operating systems Interview Questions</t>
        </is>
      </c>
      <c r="C1031" s="4" t="inlineStr">
        <is>
          <t>Revise all the important Operating Systems concepts and practice lots of MCQ questions to prepare for interviews.</t>
        </is>
      </c>
      <c r="D1031" s="4" t="inlineStr">
        <is>
          <t>I/O Management - I/O Management</t>
        </is>
      </c>
      <c r="E1031" s="4" t="n">
        <v>92</v>
      </c>
      <c r="F1031" s="4" t="inlineStr">
        <is>
          <t>I/O Scheduling Algorithms</t>
        </is>
      </c>
      <c r="G1031" s="4" t="inlineStr">
        <is>
          <t>OSMCQ069</t>
        </is>
      </c>
      <c r="H1031" s="4" t="inlineStr"/>
      <c r="I1031" s="4" t="inlineStr">
        <is>
          <t>Easy</t>
        </is>
      </c>
      <c r="J1031" s="5">
        <f>HYPERLINK("https://www.codechef.com/problems/OSMCQ069", "https://www.codechef.com/problems/OSMCQ069")</f>
        <v/>
      </c>
      <c r="K1031" s="4" t="inlineStr"/>
      <c r="L1031" s="4" t="inlineStr"/>
      <c r="M1031" s="4" t="inlineStr"/>
      <c r="N1031" s="4" t="inlineStr">
        <is>
          <t>No</t>
        </is>
      </c>
      <c r="O1031" s="4" t="inlineStr">
        <is>
          <t>Unattempted</t>
        </is>
      </c>
    </row>
    <row r="1032">
      <c r="A1032" s="2" t="inlineStr">
        <is>
          <t>Interview Questions</t>
        </is>
      </c>
      <c r="B1032" s="2" t="inlineStr">
        <is>
          <t>Operating systems Interview Questions</t>
        </is>
      </c>
      <c r="C1032" s="2" t="inlineStr">
        <is>
          <t>Revise all the important Operating Systems concepts and practice lots of MCQ questions to prepare for interviews.</t>
        </is>
      </c>
      <c r="D1032" s="2" t="inlineStr">
        <is>
          <t>I/O Management - I/O Management</t>
        </is>
      </c>
      <c r="E1032" s="2" t="n">
        <v>93</v>
      </c>
      <c r="F1032" s="2" t="inlineStr">
        <is>
          <t>Direct Memory Access (DMA)</t>
        </is>
      </c>
      <c r="G1032" s="2" t="inlineStr">
        <is>
          <t>OSP24</t>
        </is>
      </c>
      <c r="H1032" s="2" t="inlineStr"/>
      <c r="I1032" s="2" t="inlineStr">
        <is>
          <t>Medium</t>
        </is>
      </c>
      <c r="J1032" s="3">
        <f>HYPERLINK("https://www.codechef.com/problems/OSP24", "https://www.codechef.com/problems/OSP24")</f>
        <v/>
      </c>
      <c r="K1032" s="2" t="inlineStr"/>
      <c r="L1032" s="2" t="inlineStr"/>
      <c r="M1032" s="2" t="inlineStr"/>
      <c r="N1032" s="2" t="inlineStr">
        <is>
          <t>No</t>
        </is>
      </c>
      <c r="O1032" s="2" t="inlineStr">
        <is>
          <t>Unattempted</t>
        </is>
      </c>
    </row>
    <row r="1033">
      <c r="A1033" s="4" t="inlineStr">
        <is>
          <t>Interview Questions</t>
        </is>
      </c>
      <c r="B1033" s="4" t="inlineStr">
        <is>
          <t>Operating systems Interview Questions</t>
        </is>
      </c>
      <c r="C1033" s="4" t="inlineStr">
        <is>
          <t>Revise all the important Operating Systems concepts and practice lots of MCQ questions to prepare for interviews.</t>
        </is>
      </c>
      <c r="D1033" s="4" t="inlineStr">
        <is>
          <t>I/O Management - I/O Management</t>
        </is>
      </c>
      <c r="E1033" s="4" t="n">
        <v>94</v>
      </c>
      <c r="F1033" s="4" t="inlineStr">
        <is>
          <t>DMA Purpose</t>
        </is>
      </c>
      <c r="G1033" s="4" t="inlineStr">
        <is>
          <t>OSMCQ070</t>
        </is>
      </c>
      <c r="H1033" s="4" t="inlineStr"/>
      <c r="I1033" s="4" t="inlineStr">
        <is>
          <t>Easy</t>
        </is>
      </c>
      <c r="J1033" s="5">
        <f>HYPERLINK("https://www.codechef.com/problems/OSMCQ070", "https://www.codechef.com/problems/OSMCQ070")</f>
        <v/>
      </c>
      <c r="K1033" s="4" t="inlineStr"/>
      <c r="L1033" s="4" t="inlineStr"/>
      <c r="M1033" s="4" t="inlineStr"/>
      <c r="N1033" s="4" t="inlineStr">
        <is>
          <t>No</t>
        </is>
      </c>
      <c r="O1033" s="4" t="inlineStr">
        <is>
          <t>Unattempted</t>
        </is>
      </c>
    </row>
    <row r="1034">
      <c r="A1034" s="2" t="inlineStr">
        <is>
          <t>Interview Questions</t>
        </is>
      </c>
      <c r="B1034" s="2" t="inlineStr">
        <is>
          <t>Operating systems Interview Questions</t>
        </is>
      </c>
      <c r="C1034" s="2" t="inlineStr">
        <is>
          <t>Revise all the important Operating Systems concepts and practice lots of MCQ questions to prepare for interviews.</t>
        </is>
      </c>
      <c r="D1034" s="2" t="inlineStr">
        <is>
          <t>I/O Management - I/O Management</t>
        </is>
      </c>
      <c r="E1034" s="2" t="n">
        <v>95</v>
      </c>
      <c r="F1034" s="2" t="inlineStr">
        <is>
          <t>DMA Process</t>
        </is>
      </c>
      <c r="G1034" s="2" t="inlineStr">
        <is>
          <t>OSMCQ071</t>
        </is>
      </c>
      <c r="H1034" s="2" t="inlineStr"/>
      <c r="I1034" s="2" t="inlineStr">
        <is>
          <t>Easy</t>
        </is>
      </c>
      <c r="J1034" s="3">
        <f>HYPERLINK("https://www.codechef.com/problems/OSMCQ071", "https://www.codechef.com/problems/OSMCQ071")</f>
        <v/>
      </c>
      <c r="K1034" s="2" t="inlineStr"/>
      <c r="L1034" s="2" t="inlineStr"/>
      <c r="M1034" s="2" t="inlineStr"/>
      <c r="N1034" s="2" t="inlineStr">
        <is>
          <t>No</t>
        </is>
      </c>
      <c r="O1034" s="2" t="inlineStr">
        <is>
          <t>Unattempted</t>
        </is>
      </c>
    </row>
    <row r="1035">
      <c r="A1035" s="4" t="inlineStr">
        <is>
          <t>Interview Questions</t>
        </is>
      </c>
      <c r="B1035" s="4" t="inlineStr">
        <is>
          <t>Operating systems Interview Questions</t>
        </is>
      </c>
      <c r="C1035" s="4" t="inlineStr">
        <is>
          <t>Revise all the important Operating Systems concepts and practice lots of MCQ questions to prepare for interviews.</t>
        </is>
      </c>
      <c r="D1035" s="4" t="inlineStr">
        <is>
          <t>I/O Management - I/O Management</t>
        </is>
      </c>
      <c r="E1035" s="4" t="n">
        <v>96</v>
      </c>
      <c r="F1035" s="4" t="inlineStr">
        <is>
          <t>DMA Challenges</t>
        </is>
      </c>
      <c r="G1035" s="4" t="inlineStr">
        <is>
          <t>OSMCQ072</t>
        </is>
      </c>
      <c r="H1035" s="4" t="inlineStr"/>
      <c r="I1035" s="4" t="inlineStr">
        <is>
          <t>Easy</t>
        </is>
      </c>
      <c r="J1035" s="5">
        <f>HYPERLINK("https://www.codechef.com/problems/OSMCQ072", "https://www.codechef.com/problems/OSMCQ072")</f>
        <v/>
      </c>
      <c r="K1035" s="4" t="inlineStr"/>
      <c r="L1035" s="4" t="inlineStr"/>
      <c r="M1035" s="4" t="inlineStr"/>
      <c r="N1035" s="4" t="inlineStr">
        <is>
          <t>No</t>
        </is>
      </c>
      <c r="O1035" s="4" t="inlineStr">
        <is>
          <t>Unattempted</t>
        </is>
      </c>
    </row>
    <row r="1036">
      <c r="A1036" s="2" t="inlineStr">
        <is>
          <t>Interview Questions</t>
        </is>
      </c>
      <c r="B1036" s="2" t="inlineStr">
        <is>
          <t>Operating systems Interview Questions</t>
        </is>
      </c>
      <c r="C1036" s="2" t="inlineStr">
        <is>
          <t>Revise all the important Operating Systems concepts and practice lots of MCQ questions to prepare for interviews.</t>
        </is>
      </c>
      <c r="D1036" s="2" t="inlineStr">
        <is>
          <t>Virtualization - Virtualization</t>
        </is>
      </c>
      <c r="E1036" s="2" t="n">
        <v>97</v>
      </c>
      <c r="F1036" s="2" t="inlineStr">
        <is>
          <t>Introduction to Virtualization</t>
        </is>
      </c>
      <c r="G1036" s="2" t="inlineStr">
        <is>
          <t>OSP25</t>
        </is>
      </c>
      <c r="H1036" s="2" t="inlineStr"/>
      <c r="I1036" s="2" t="inlineStr">
        <is>
          <t>Easy</t>
        </is>
      </c>
      <c r="J1036" s="3">
        <f>HYPERLINK("https://www.codechef.com/problems/OSP25", "https://www.codechef.com/problems/OSP25")</f>
        <v/>
      </c>
      <c r="K1036" s="2" t="inlineStr"/>
      <c r="L1036" s="2" t="inlineStr"/>
      <c r="M1036" s="2" t="inlineStr"/>
      <c r="N1036" s="2" t="inlineStr">
        <is>
          <t>No</t>
        </is>
      </c>
      <c r="O1036" s="2" t="inlineStr">
        <is>
          <t>Unattempted</t>
        </is>
      </c>
    </row>
    <row r="1037">
      <c r="A1037" s="4" t="inlineStr">
        <is>
          <t>Interview Questions</t>
        </is>
      </c>
      <c r="B1037" s="4" t="inlineStr">
        <is>
          <t>Operating systems Interview Questions</t>
        </is>
      </c>
      <c r="C1037" s="4" t="inlineStr">
        <is>
          <t>Revise all the important Operating Systems concepts and practice lots of MCQ questions to prepare for interviews.</t>
        </is>
      </c>
      <c r="D1037" s="4" t="inlineStr">
        <is>
          <t>Virtualization - Virtualization</t>
        </is>
      </c>
      <c r="E1037" s="4" t="n">
        <v>98</v>
      </c>
      <c r="F1037" s="4" t="inlineStr">
        <is>
          <t>Virtualization Definition</t>
        </is>
      </c>
      <c r="G1037" s="4" t="inlineStr">
        <is>
          <t>OSMCQ073</t>
        </is>
      </c>
      <c r="H1037" s="4" t="inlineStr"/>
      <c r="I1037" s="4" t="inlineStr">
        <is>
          <t>Easy</t>
        </is>
      </c>
      <c r="J1037" s="5">
        <f>HYPERLINK("https://www.codechef.com/problems/OSMCQ073", "https://www.codechef.com/problems/OSMCQ073")</f>
        <v/>
      </c>
      <c r="K1037" s="4" t="inlineStr"/>
      <c r="L1037" s="4" t="inlineStr"/>
      <c r="M1037" s="4" t="inlineStr"/>
      <c r="N1037" s="4" t="inlineStr">
        <is>
          <t>No</t>
        </is>
      </c>
      <c r="O1037" s="4" t="inlineStr">
        <is>
          <t>Unattempted</t>
        </is>
      </c>
    </row>
    <row r="1038">
      <c r="A1038" s="2" t="inlineStr">
        <is>
          <t>Interview Questions</t>
        </is>
      </c>
      <c r="B1038" s="2" t="inlineStr">
        <is>
          <t>Operating systems Interview Questions</t>
        </is>
      </c>
      <c r="C1038" s="2" t="inlineStr">
        <is>
          <t>Revise all the important Operating Systems concepts and practice lots of MCQ questions to prepare for interviews.</t>
        </is>
      </c>
      <c r="D1038" s="2" t="inlineStr">
        <is>
          <t>Virtualization - Virtualization</t>
        </is>
      </c>
      <c r="E1038" s="2" t="n">
        <v>99</v>
      </c>
      <c r="F1038" s="2" t="inlineStr">
        <is>
          <t>Virtualization and Cloud Computing</t>
        </is>
      </c>
      <c r="G1038" s="2" t="inlineStr">
        <is>
          <t>OSMCQ074</t>
        </is>
      </c>
      <c r="H1038" s="2" t="inlineStr"/>
      <c r="I1038" s="2" t="inlineStr">
        <is>
          <t>Easy</t>
        </is>
      </c>
      <c r="J1038" s="3">
        <f>HYPERLINK("https://www.codechef.com/problems/OSMCQ074", "https://www.codechef.com/problems/OSMCQ074")</f>
        <v/>
      </c>
      <c r="K1038" s="2" t="inlineStr"/>
      <c r="L1038" s="2" t="inlineStr"/>
      <c r="M1038" s="2" t="inlineStr"/>
      <c r="N1038" s="2" t="inlineStr">
        <is>
          <t>No</t>
        </is>
      </c>
      <c r="O1038" s="2" t="inlineStr">
        <is>
          <t>Unattempted</t>
        </is>
      </c>
    </row>
    <row r="1039">
      <c r="A1039" s="4" t="inlineStr">
        <is>
          <t>Interview Questions</t>
        </is>
      </c>
      <c r="B1039" s="4" t="inlineStr">
        <is>
          <t>Operating systems Interview Questions</t>
        </is>
      </c>
      <c r="C1039" s="4" t="inlineStr">
        <is>
          <t>Revise all the important Operating Systems concepts and practice lots of MCQ questions to prepare for interviews.</t>
        </is>
      </c>
      <c r="D1039" s="4" t="inlineStr">
        <is>
          <t>Virtualization - Virtualization</t>
        </is>
      </c>
      <c r="E1039" s="4" t="n">
        <v>100</v>
      </c>
      <c r="F1039" s="4" t="inlineStr">
        <is>
          <t>Full Virtualization vs Paravirtualization</t>
        </is>
      </c>
      <c r="G1039" s="4" t="inlineStr">
        <is>
          <t>OSMCQ075</t>
        </is>
      </c>
      <c r="H1039" s="4" t="inlineStr"/>
      <c r="I1039" s="4" t="inlineStr">
        <is>
          <t>Easy</t>
        </is>
      </c>
      <c r="J1039" s="5">
        <f>HYPERLINK("https://www.codechef.com/problems/OSMCQ075", "https://www.codechef.com/problems/OSMCQ075")</f>
        <v/>
      </c>
      <c r="K1039" s="4" t="inlineStr"/>
      <c r="L1039" s="4" t="inlineStr"/>
      <c r="M1039" s="4" t="inlineStr"/>
      <c r="N1039" s="4" t="inlineStr">
        <is>
          <t>No</t>
        </is>
      </c>
      <c r="O1039" s="4" t="inlineStr">
        <is>
          <t>Unattempted</t>
        </is>
      </c>
    </row>
    <row r="1040">
      <c r="A1040" s="2" t="inlineStr">
        <is>
          <t>Interview Questions</t>
        </is>
      </c>
      <c r="B1040" s="2" t="inlineStr">
        <is>
          <t>Operating systems Interview Questions</t>
        </is>
      </c>
      <c r="C1040" s="2" t="inlineStr">
        <is>
          <t>Revise all the important Operating Systems concepts and practice lots of MCQ questions to prepare for interviews.</t>
        </is>
      </c>
      <c r="D1040" s="2" t="inlineStr">
        <is>
          <t>Virtualization - Virtualization</t>
        </is>
      </c>
      <c r="E1040" s="2" t="n">
        <v>101</v>
      </c>
      <c r="F1040" s="2" t="inlineStr">
        <is>
          <t>Hypervisors</t>
        </is>
      </c>
      <c r="G1040" s="2" t="inlineStr">
        <is>
          <t>OSP26</t>
        </is>
      </c>
      <c r="H1040" s="2" t="inlineStr"/>
      <c r="I1040" s="2" t="inlineStr">
        <is>
          <t>Easy</t>
        </is>
      </c>
      <c r="J1040" s="3">
        <f>HYPERLINK("https://www.codechef.com/problems/OSP26", "https://www.codechef.com/problems/OSP26")</f>
        <v/>
      </c>
      <c r="K1040" s="2" t="inlineStr"/>
      <c r="L1040" s="2" t="inlineStr"/>
      <c r="M1040" s="2" t="inlineStr"/>
      <c r="N1040" s="2" t="inlineStr">
        <is>
          <t>No</t>
        </is>
      </c>
      <c r="O1040" s="2" t="inlineStr">
        <is>
          <t>Unattempted</t>
        </is>
      </c>
    </row>
    <row r="1041">
      <c r="A1041" s="4" t="inlineStr">
        <is>
          <t>Interview Questions</t>
        </is>
      </c>
      <c r="B1041" s="4" t="inlineStr">
        <is>
          <t>Operating systems Interview Questions</t>
        </is>
      </c>
      <c r="C1041" s="4" t="inlineStr">
        <is>
          <t>Revise all the important Operating Systems concepts and practice lots of MCQ questions to prepare for interviews.</t>
        </is>
      </c>
      <c r="D1041" s="4" t="inlineStr">
        <is>
          <t>Virtualization - Virtualization</t>
        </is>
      </c>
      <c r="E1041" s="4" t="n">
        <v>102</v>
      </c>
      <c r="F1041" s="4" t="inlineStr">
        <is>
          <t>Hypervisor Types</t>
        </is>
      </c>
      <c r="G1041" s="4" t="inlineStr">
        <is>
          <t>OSMCQ076</t>
        </is>
      </c>
      <c r="H1041" s="4" t="inlineStr"/>
      <c r="I1041" s="4" t="inlineStr">
        <is>
          <t>Easy</t>
        </is>
      </c>
      <c r="J1041" s="5">
        <f>HYPERLINK("https://www.codechef.com/problems/OSMCQ076", "https://www.codechef.com/problems/OSMCQ076")</f>
        <v/>
      </c>
      <c r="K1041" s="4" t="inlineStr"/>
      <c r="L1041" s="4" t="inlineStr"/>
      <c r="M1041" s="4" t="inlineStr"/>
      <c r="N1041" s="4" t="inlineStr">
        <is>
          <t>No</t>
        </is>
      </c>
      <c r="O1041" s="4" t="inlineStr">
        <is>
          <t>Unattempted</t>
        </is>
      </c>
    </row>
    <row r="1042">
      <c r="A1042" s="2" t="inlineStr">
        <is>
          <t>Interview Questions</t>
        </is>
      </c>
      <c r="B1042" s="2" t="inlineStr">
        <is>
          <t>Operating systems Interview Questions</t>
        </is>
      </c>
      <c r="C1042" s="2" t="inlineStr">
        <is>
          <t>Revise all the important Operating Systems concepts and practice lots of MCQ questions to prepare for interviews.</t>
        </is>
      </c>
      <c r="D1042" s="2" t="inlineStr">
        <is>
          <t>Virtualization - Virtualization</t>
        </is>
      </c>
      <c r="E1042" s="2" t="n">
        <v>103</v>
      </c>
      <c r="F1042" s="2" t="inlineStr">
        <is>
          <t>Hypervisor Benefits</t>
        </is>
      </c>
      <c r="G1042" s="2" t="inlineStr">
        <is>
          <t>OSMCQ077</t>
        </is>
      </c>
      <c r="H1042" s="2" t="inlineStr"/>
      <c r="I1042" s="2" t="inlineStr">
        <is>
          <t>Easy</t>
        </is>
      </c>
      <c r="J1042" s="3">
        <f>HYPERLINK("https://www.codechef.com/problems/OSMCQ077", "https://www.codechef.com/problems/OSMCQ077")</f>
        <v/>
      </c>
      <c r="K1042" s="2" t="inlineStr"/>
      <c r="L1042" s="2" t="inlineStr"/>
      <c r="M1042" s="2" t="inlineStr"/>
      <c r="N1042" s="2" t="inlineStr">
        <is>
          <t>No</t>
        </is>
      </c>
      <c r="O1042" s="2" t="inlineStr">
        <is>
          <t>Unattempted</t>
        </is>
      </c>
    </row>
    <row r="1043">
      <c r="A1043" s="4" t="inlineStr">
        <is>
          <t>Interview Questions</t>
        </is>
      </c>
      <c r="B1043" s="4" t="inlineStr">
        <is>
          <t>Operating systems Interview Questions</t>
        </is>
      </c>
      <c r="C1043" s="4" t="inlineStr">
        <is>
          <t>Revise all the important Operating Systems concepts and practice lots of MCQ questions to prepare for interviews.</t>
        </is>
      </c>
      <c r="D1043" s="4" t="inlineStr">
        <is>
          <t>Virtualization - Virtualization</t>
        </is>
      </c>
      <c r="E1043" s="4" t="n">
        <v>104</v>
      </c>
      <c r="F1043" s="4" t="inlineStr">
        <is>
          <t>Hypervisors and Cloud Computing</t>
        </is>
      </c>
      <c r="G1043" s="4" t="inlineStr">
        <is>
          <t>OSMCQ078</t>
        </is>
      </c>
      <c r="H1043" s="4" t="inlineStr"/>
      <c r="I1043" s="4" t="inlineStr">
        <is>
          <t>Medium</t>
        </is>
      </c>
      <c r="J1043" s="5">
        <f>HYPERLINK("https://www.codechef.com/problems/OSMCQ078", "https://www.codechef.com/problems/OSMCQ078")</f>
        <v/>
      </c>
      <c r="K1043" s="4" t="inlineStr"/>
      <c r="L1043" s="4" t="inlineStr"/>
      <c r="M1043" s="4" t="inlineStr"/>
      <c r="N1043" s="4" t="inlineStr">
        <is>
          <t>No</t>
        </is>
      </c>
      <c r="O1043" s="4" t="inlineStr">
        <is>
          <t>Unattempted</t>
        </is>
      </c>
    </row>
    <row r="1044">
      <c r="A1044" s="2" t="inlineStr">
        <is>
          <t>Interview Questions</t>
        </is>
      </c>
      <c r="B1044" s="2" t="inlineStr">
        <is>
          <t>Operating systems Interview Questions</t>
        </is>
      </c>
      <c r="C1044" s="2" t="inlineStr">
        <is>
          <t>Revise all the important Operating Systems concepts and practice lots of MCQ questions to prepare for interviews.</t>
        </is>
      </c>
      <c r="D1044" s="2" t="inlineStr">
        <is>
          <t>Virtualization - Virtualization</t>
        </is>
      </c>
      <c r="E1044" s="2" t="n">
        <v>105</v>
      </c>
      <c r="F1044" s="2" t="inlineStr">
        <is>
          <t>Virtual machines</t>
        </is>
      </c>
      <c r="G1044" s="2" t="inlineStr">
        <is>
          <t>OSP27</t>
        </is>
      </c>
      <c r="H1044" s="2" t="inlineStr"/>
      <c r="I1044" s="2" t="inlineStr">
        <is>
          <t>Easy</t>
        </is>
      </c>
      <c r="J1044" s="3">
        <f>HYPERLINK("https://www.codechef.com/problems/OSP27", "https://www.codechef.com/problems/OSP27")</f>
        <v/>
      </c>
      <c r="K1044" s="2" t="inlineStr"/>
      <c r="L1044" s="2" t="inlineStr"/>
      <c r="M1044" s="2" t="inlineStr"/>
      <c r="N1044" s="2" t="inlineStr">
        <is>
          <t>No</t>
        </is>
      </c>
      <c r="O1044" s="2" t="inlineStr">
        <is>
          <t>Unattempted</t>
        </is>
      </c>
    </row>
    <row r="1045">
      <c r="A1045" s="4" t="inlineStr">
        <is>
          <t>Interview Questions</t>
        </is>
      </c>
      <c r="B1045" s="4" t="inlineStr">
        <is>
          <t>Operating systems Interview Questions</t>
        </is>
      </c>
      <c r="C1045" s="4" t="inlineStr">
        <is>
          <t>Revise all the important Operating Systems concepts and practice lots of MCQ questions to prepare for interviews.</t>
        </is>
      </c>
      <c r="D1045" s="4" t="inlineStr">
        <is>
          <t>Virtualization - Virtualization</t>
        </is>
      </c>
      <c r="E1045" s="4" t="n">
        <v>106</v>
      </c>
      <c r="F1045" s="4" t="inlineStr">
        <is>
          <t>Virtual Machine Components</t>
        </is>
      </c>
      <c r="G1045" s="4" t="inlineStr">
        <is>
          <t>OSMCQ079</t>
        </is>
      </c>
      <c r="H1045" s="4" t="inlineStr"/>
      <c r="I1045" s="4" t="inlineStr">
        <is>
          <t>Easy</t>
        </is>
      </c>
      <c r="J1045" s="5">
        <f>HYPERLINK("https://www.codechef.com/problems/OSMCQ079", "https://www.codechef.com/problems/OSMCQ079")</f>
        <v/>
      </c>
      <c r="K1045" s="4" t="inlineStr"/>
      <c r="L1045" s="4" t="inlineStr"/>
      <c r="M1045" s="4" t="inlineStr"/>
      <c r="N1045" s="4" t="inlineStr">
        <is>
          <t>No</t>
        </is>
      </c>
      <c r="O1045" s="4" t="inlineStr">
        <is>
          <t>Unattempted</t>
        </is>
      </c>
    </row>
    <row r="1046">
      <c r="A1046" s="2" t="inlineStr">
        <is>
          <t>Interview Questions</t>
        </is>
      </c>
      <c r="B1046" s="2" t="inlineStr">
        <is>
          <t>Operating systems Interview Questions</t>
        </is>
      </c>
      <c r="C1046" s="2" t="inlineStr">
        <is>
          <t>Revise all the important Operating Systems concepts and practice lots of MCQ questions to prepare for interviews.</t>
        </is>
      </c>
      <c r="D1046" s="2" t="inlineStr">
        <is>
          <t>Virtualization - Virtualization</t>
        </is>
      </c>
      <c r="E1046" s="2" t="n">
        <v>107</v>
      </c>
      <c r="F1046" s="2" t="inlineStr">
        <is>
          <t>Hypervisor Function</t>
        </is>
      </c>
      <c r="G1046" s="2" t="inlineStr">
        <is>
          <t>OSMCQ080</t>
        </is>
      </c>
      <c r="H1046" s="2" t="inlineStr"/>
      <c r="I1046" s="2" t="inlineStr">
        <is>
          <t>Easy</t>
        </is>
      </c>
      <c r="J1046" s="3">
        <f>HYPERLINK("https://www.codechef.com/problems/OSMCQ080", "https://www.codechef.com/problems/OSMCQ080")</f>
        <v/>
      </c>
      <c r="K1046" s="2" t="inlineStr"/>
      <c r="L1046" s="2" t="inlineStr"/>
      <c r="M1046" s="2" t="inlineStr"/>
      <c r="N1046" s="2" t="inlineStr">
        <is>
          <t>No</t>
        </is>
      </c>
      <c r="O1046" s="2" t="inlineStr">
        <is>
          <t>Unattempted</t>
        </is>
      </c>
    </row>
    <row r="1047">
      <c r="A1047" s="4" t="inlineStr">
        <is>
          <t>Interview Questions</t>
        </is>
      </c>
      <c r="B1047" s="4" t="inlineStr">
        <is>
          <t>Operating systems Interview Questions</t>
        </is>
      </c>
      <c r="C1047" s="4" t="inlineStr">
        <is>
          <t>Revise all the important Operating Systems concepts and practice lots of MCQ questions to prepare for interviews.</t>
        </is>
      </c>
      <c r="D1047" s="4" t="inlineStr">
        <is>
          <t>Virtualization - Virtualization</t>
        </is>
      </c>
      <c r="E1047" s="4" t="n">
        <v>108</v>
      </c>
      <c r="F1047" s="4" t="inlineStr">
        <is>
          <t>Virtual Machine Benefits</t>
        </is>
      </c>
      <c r="G1047" s="4" t="inlineStr">
        <is>
          <t>OSMCQ081</t>
        </is>
      </c>
      <c r="H1047" s="4" t="inlineStr"/>
      <c r="I1047" s="4" t="inlineStr">
        <is>
          <t>Easy</t>
        </is>
      </c>
      <c r="J1047" s="5">
        <f>HYPERLINK("https://www.codechef.com/problems/OSMCQ081", "https://www.codechef.com/problems/OSMCQ081")</f>
        <v/>
      </c>
      <c r="K1047" s="4" t="inlineStr"/>
      <c r="L1047" s="4" t="inlineStr"/>
      <c r="M1047" s="4" t="inlineStr"/>
      <c r="N1047" s="4" t="inlineStr">
        <is>
          <t>No</t>
        </is>
      </c>
      <c r="O1047" s="4" t="inlineStr">
        <is>
          <t>Unattempted</t>
        </is>
      </c>
    </row>
    <row r="1048">
      <c r="A1048" s="2" t="inlineStr">
        <is>
          <t>Interview Questions</t>
        </is>
      </c>
      <c r="B1048" s="2" t="inlineStr">
        <is>
          <t>Operating systems Interview Questions</t>
        </is>
      </c>
      <c r="C1048" s="2" t="inlineStr">
        <is>
          <t>Revise all the important Operating Systems concepts and practice lots of MCQ questions to prepare for interviews.</t>
        </is>
      </c>
      <c r="D1048" s="2" t="inlineStr">
        <is>
          <t>Virtualization - Virtualization</t>
        </is>
      </c>
      <c r="E1048" s="2" t="n">
        <v>109</v>
      </c>
      <c r="F1048" s="2" t="inlineStr">
        <is>
          <t>Container technologies</t>
        </is>
      </c>
      <c r="G1048" s="2" t="inlineStr">
        <is>
          <t>OSP28</t>
        </is>
      </c>
      <c r="H1048" s="2" t="inlineStr"/>
      <c r="I1048" s="2" t="inlineStr">
        <is>
          <t>Easy</t>
        </is>
      </c>
      <c r="J1048" s="3">
        <f>HYPERLINK("https://www.codechef.com/problems/OSP28", "https://www.codechef.com/problems/OSP28")</f>
        <v/>
      </c>
      <c r="K1048" s="2" t="inlineStr"/>
      <c r="L1048" s="2" t="inlineStr"/>
      <c r="M1048" s="2" t="inlineStr"/>
      <c r="N1048" s="2" t="inlineStr">
        <is>
          <t>No</t>
        </is>
      </c>
      <c r="O1048" s="2" t="inlineStr">
        <is>
          <t>Unattempted</t>
        </is>
      </c>
    </row>
    <row r="1049">
      <c r="A1049" s="4" t="inlineStr">
        <is>
          <t>Interview Questions</t>
        </is>
      </c>
      <c r="B1049" s="4" t="inlineStr">
        <is>
          <t>Operating systems Interview Questions</t>
        </is>
      </c>
      <c r="C1049" s="4" t="inlineStr">
        <is>
          <t>Revise all the important Operating Systems concepts and practice lots of MCQ questions to prepare for interviews.</t>
        </is>
      </c>
      <c r="D1049" s="4" t="inlineStr">
        <is>
          <t>Virtualization - Virtualization</t>
        </is>
      </c>
      <c r="E1049" s="4" t="n">
        <v>110</v>
      </c>
      <c r="F1049" s="4" t="inlineStr">
        <is>
          <t>Container vs Virtual Machine</t>
        </is>
      </c>
      <c r="G1049" s="4" t="inlineStr">
        <is>
          <t>OSMCQ082</t>
        </is>
      </c>
      <c r="H1049" s="4" t="inlineStr"/>
      <c r="I1049" s="4" t="inlineStr">
        <is>
          <t>Easy</t>
        </is>
      </c>
      <c r="J1049" s="5">
        <f>HYPERLINK("https://www.codechef.com/problems/OSMCQ082", "https://www.codechef.com/problems/OSMCQ082")</f>
        <v/>
      </c>
      <c r="K1049" s="4" t="inlineStr"/>
      <c r="L1049" s="4" t="inlineStr"/>
      <c r="M1049" s="4" t="inlineStr"/>
      <c r="N1049" s="4" t="inlineStr">
        <is>
          <t>No</t>
        </is>
      </c>
      <c r="O1049" s="4" t="inlineStr">
        <is>
          <t>Unattempted</t>
        </is>
      </c>
    </row>
    <row r="1050">
      <c r="A1050" s="2" t="inlineStr">
        <is>
          <t>Interview Questions</t>
        </is>
      </c>
      <c r="B1050" s="2" t="inlineStr">
        <is>
          <t>Operating systems Interview Questions</t>
        </is>
      </c>
      <c r="C1050" s="2" t="inlineStr">
        <is>
          <t>Revise all the important Operating Systems concepts and practice lots of MCQ questions to prepare for interviews.</t>
        </is>
      </c>
      <c r="D1050" s="2" t="inlineStr">
        <is>
          <t>Virtualization - Virtualization</t>
        </is>
      </c>
      <c r="E1050" s="2" t="n">
        <v>111</v>
      </c>
      <c r="F1050" s="2" t="inlineStr">
        <is>
          <t>Container Isolation Mechanisms</t>
        </is>
      </c>
      <c r="G1050" s="2" t="inlineStr">
        <is>
          <t>OSMCQ083</t>
        </is>
      </c>
      <c r="H1050" s="2" t="inlineStr"/>
      <c r="I1050" s="2" t="inlineStr">
        <is>
          <t>Easy</t>
        </is>
      </c>
      <c r="J1050" s="3">
        <f>HYPERLINK("https://www.codechef.com/problems/OSMCQ083", "https://www.codechef.com/problems/OSMCQ083")</f>
        <v/>
      </c>
      <c r="K1050" s="2" t="inlineStr"/>
      <c r="L1050" s="2" t="inlineStr"/>
      <c r="M1050" s="2" t="inlineStr"/>
      <c r="N1050" s="2" t="inlineStr">
        <is>
          <t>No</t>
        </is>
      </c>
      <c r="O1050" s="2" t="inlineStr">
        <is>
          <t>Unattempted</t>
        </is>
      </c>
    </row>
    <row r="1051">
      <c r="A1051" s="4" t="inlineStr">
        <is>
          <t>Interview Questions</t>
        </is>
      </c>
      <c r="B1051" s="4" t="inlineStr">
        <is>
          <t>Operating systems Interview Questions</t>
        </is>
      </c>
      <c r="C1051" s="4" t="inlineStr">
        <is>
          <t>Revise all the important Operating Systems concepts and practice lots of MCQ questions to prepare for interviews.</t>
        </is>
      </c>
      <c r="D1051" s="4" t="inlineStr">
        <is>
          <t>Virtualization - Virtualization</t>
        </is>
      </c>
      <c r="E1051" s="4" t="n">
        <v>112</v>
      </c>
      <c r="F1051" s="4" t="inlineStr">
        <is>
          <t>Docker Components</t>
        </is>
      </c>
      <c r="G1051" s="4" t="inlineStr">
        <is>
          <t>OSMCQ084</t>
        </is>
      </c>
      <c r="H1051" s="4" t="inlineStr"/>
      <c r="I1051" s="4" t="inlineStr">
        <is>
          <t>Easy</t>
        </is>
      </c>
      <c r="J1051" s="5">
        <f>HYPERLINK("https://www.codechef.com/problems/OSMCQ084", "https://www.codechef.com/problems/OSMCQ084")</f>
        <v/>
      </c>
      <c r="K1051" s="4" t="inlineStr"/>
      <c r="L1051" s="4" t="inlineStr"/>
      <c r="M1051" s="4" t="inlineStr"/>
      <c r="N1051" s="4" t="inlineStr">
        <is>
          <t>No</t>
        </is>
      </c>
      <c r="O1051" s="4" t="inlineStr">
        <is>
          <t>Unattempted</t>
        </is>
      </c>
    </row>
    <row r="1052">
      <c r="A1052" s="2" t="inlineStr">
        <is>
          <t>Interview Questions</t>
        </is>
      </c>
      <c r="B1052" s="2" t="inlineStr">
        <is>
          <t>Operating systems Interview Questions</t>
        </is>
      </c>
      <c r="C1052" s="2" t="inlineStr">
        <is>
          <t>Revise all the important Operating Systems concepts and practice lots of MCQ questions to prepare for interviews.</t>
        </is>
      </c>
      <c r="D1052" s="2" t="inlineStr">
        <is>
          <t>Scheduling Algorithms - Scheduling Algorithms</t>
        </is>
      </c>
      <c r="E1052" s="2" t="n">
        <v>113</v>
      </c>
      <c r="F1052" s="2" t="inlineStr">
        <is>
          <t>Scheduling Algorithms</t>
        </is>
      </c>
      <c r="G1052" s="2" t="inlineStr">
        <is>
          <t>OSP29</t>
        </is>
      </c>
      <c r="H1052" s="2" t="inlineStr"/>
      <c r="I1052" s="2" t="inlineStr">
        <is>
          <t>Easy</t>
        </is>
      </c>
      <c r="J1052" s="3">
        <f>HYPERLINK("https://www.codechef.com/problems/OSP29", "https://www.codechef.com/problems/OSP29")</f>
        <v/>
      </c>
      <c r="K1052" s="2" t="inlineStr"/>
      <c r="L1052" s="2" t="inlineStr"/>
      <c r="M1052" s="2" t="inlineStr"/>
      <c r="N1052" s="2" t="inlineStr">
        <is>
          <t>No</t>
        </is>
      </c>
      <c r="O1052" s="2" t="inlineStr">
        <is>
          <t>Unattempted</t>
        </is>
      </c>
    </row>
    <row r="1053">
      <c r="A1053" s="4" t="inlineStr">
        <is>
          <t>Interview Questions</t>
        </is>
      </c>
      <c r="B1053" s="4" t="inlineStr">
        <is>
          <t>Operating systems Interview Questions</t>
        </is>
      </c>
      <c r="C1053" s="4" t="inlineStr">
        <is>
          <t>Revise all the important Operating Systems concepts and practice lots of MCQ questions to prepare for interviews.</t>
        </is>
      </c>
      <c r="D1053" s="4" t="inlineStr">
        <is>
          <t>Scheduling Algorithms - Scheduling Algorithms</t>
        </is>
      </c>
      <c r="E1053" s="4" t="n">
        <v>114</v>
      </c>
      <c r="F1053" s="4" t="inlineStr">
        <is>
          <t>Scheduling Importance</t>
        </is>
      </c>
      <c r="G1053" s="4" t="inlineStr">
        <is>
          <t>OSMCQ085</t>
        </is>
      </c>
      <c r="H1053" s="4" t="inlineStr"/>
      <c r="I1053" s="4" t="inlineStr">
        <is>
          <t>Easy</t>
        </is>
      </c>
      <c r="J1053" s="5">
        <f>HYPERLINK("https://www.codechef.com/problems/OSMCQ085", "https://www.codechef.com/problems/OSMCQ085")</f>
        <v/>
      </c>
      <c r="K1053" s="4" t="inlineStr"/>
      <c r="L1053" s="4" t="inlineStr"/>
      <c r="M1053" s="4" t="inlineStr"/>
      <c r="N1053" s="4" t="inlineStr">
        <is>
          <t>No</t>
        </is>
      </c>
      <c r="O1053" s="4" t="inlineStr">
        <is>
          <t>Unattempted</t>
        </is>
      </c>
    </row>
    <row r="1054">
      <c r="A1054" s="2" t="inlineStr">
        <is>
          <t>Interview Questions</t>
        </is>
      </c>
      <c r="B1054" s="2" t="inlineStr">
        <is>
          <t>Operating systems Interview Questions</t>
        </is>
      </c>
      <c r="C1054" s="2" t="inlineStr">
        <is>
          <t>Revise all the important Operating Systems concepts and practice lots of MCQ questions to prepare for interviews.</t>
        </is>
      </c>
      <c r="D1054" s="2" t="inlineStr">
        <is>
          <t>Scheduling Algorithms - Scheduling Algorithms</t>
        </is>
      </c>
      <c r="E1054" s="2" t="n">
        <v>115</v>
      </c>
      <c r="F1054" s="2" t="inlineStr">
        <is>
          <t>Preemptive vs Non-preemptive Scheduling</t>
        </is>
      </c>
      <c r="G1054" s="2" t="inlineStr">
        <is>
          <t>OSMCQ086</t>
        </is>
      </c>
      <c r="H1054" s="2" t="inlineStr"/>
      <c r="I1054" s="2" t="inlineStr">
        <is>
          <t>Easy</t>
        </is>
      </c>
      <c r="J1054" s="3">
        <f>HYPERLINK("https://www.codechef.com/problems/OSMCQ086", "https://www.codechef.com/problems/OSMCQ086")</f>
        <v/>
      </c>
      <c r="K1054" s="2" t="inlineStr"/>
      <c r="L1054" s="2" t="inlineStr"/>
      <c r="M1054" s="2" t="inlineStr"/>
      <c r="N1054" s="2" t="inlineStr">
        <is>
          <t>No</t>
        </is>
      </c>
      <c r="O1054" s="2" t="inlineStr">
        <is>
          <t>Unattempted</t>
        </is>
      </c>
    </row>
    <row r="1055">
      <c r="A1055" s="4" t="inlineStr">
        <is>
          <t>Interview Questions</t>
        </is>
      </c>
      <c r="B1055" s="4" t="inlineStr">
        <is>
          <t>Operating systems Interview Questions</t>
        </is>
      </c>
      <c r="C1055" s="4" t="inlineStr">
        <is>
          <t>Revise all the important Operating Systems concepts and practice lots of MCQ questions to prepare for interviews.</t>
        </is>
      </c>
      <c r="D1055" s="4" t="inlineStr">
        <is>
          <t>Scheduling Algorithms - Scheduling Algorithms</t>
        </is>
      </c>
      <c r="E1055" s="4" t="n">
        <v>116</v>
      </c>
      <c r="F1055" s="4" t="inlineStr">
        <is>
          <t>CPU Burst</t>
        </is>
      </c>
      <c r="G1055" s="4" t="inlineStr">
        <is>
          <t>OSMCQ087</t>
        </is>
      </c>
      <c r="H1055" s="4" t="inlineStr"/>
      <c r="I1055" s="4" t="inlineStr">
        <is>
          <t>Easy</t>
        </is>
      </c>
      <c r="J1055" s="5">
        <f>HYPERLINK("https://www.codechef.com/problems/OSMCQ087", "https://www.codechef.com/problems/OSMCQ087")</f>
        <v/>
      </c>
      <c r="K1055" s="4" t="inlineStr"/>
      <c r="L1055" s="4" t="inlineStr"/>
      <c r="M1055" s="4" t="inlineStr"/>
      <c r="N1055" s="4" t="inlineStr">
        <is>
          <t>No</t>
        </is>
      </c>
      <c r="O1055" s="4" t="inlineStr">
        <is>
          <t>Unattempted</t>
        </is>
      </c>
    </row>
    <row r="1056">
      <c r="A1056" s="2" t="inlineStr">
        <is>
          <t>Interview Questions</t>
        </is>
      </c>
      <c r="B1056" s="2" t="inlineStr">
        <is>
          <t>Operating systems Interview Questions</t>
        </is>
      </c>
      <c r="C1056" s="2" t="inlineStr">
        <is>
          <t>Revise all the important Operating Systems concepts and practice lots of MCQ questions to prepare for interviews.</t>
        </is>
      </c>
      <c r="D1056" s="2" t="inlineStr">
        <is>
          <t>Scheduling Algorithms - Scheduling Algorithms</t>
        </is>
      </c>
      <c r="E1056" s="2" t="n">
        <v>117</v>
      </c>
      <c r="F1056" s="2" t="inlineStr">
        <is>
          <t>First-Come, First-Served (FCFS)</t>
        </is>
      </c>
      <c r="G1056" s="2" t="inlineStr">
        <is>
          <t>OSP30</t>
        </is>
      </c>
      <c r="H1056" s="2" t="inlineStr"/>
      <c r="I1056" s="2" t="inlineStr">
        <is>
          <t>Easy</t>
        </is>
      </c>
      <c r="J1056" s="3">
        <f>HYPERLINK("https://www.codechef.com/problems/OSP30", "https://www.codechef.com/problems/OSP30")</f>
        <v/>
      </c>
      <c r="K1056" s="2" t="inlineStr"/>
      <c r="L1056" s="2" t="inlineStr"/>
      <c r="M1056" s="2" t="inlineStr"/>
      <c r="N1056" s="2" t="inlineStr">
        <is>
          <t>No</t>
        </is>
      </c>
      <c r="O1056" s="2" t="inlineStr">
        <is>
          <t>Unattempted</t>
        </is>
      </c>
    </row>
    <row r="1057">
      <c r="A1057" s="4" t="inlineStr">
        <is>
          <t>Interview Questions</t>
        </is>
      </c>
      <c r="B1057" s="4" t="inlineStr">
        <is>
          <t>Operating systems Interview Questions</t>
        </is>
      </c>
      <c r="C1057" s="4" t="inlineStr">
        <is>
          <t>Revise all the important Operating Systems concepts and practice lots of MCQ questions to prepare for interviews.</t>
        </is>
      </c>
      <c r="D1057" s="4" t="inlineStr">
        <is>
          <t>Scheduling Algorithms - Scheduling Algorithms</t>
        </is>
      </c>
      <c r="E1057" s="4" t="n">
        <v>118</v>
      </c>
      <c r="F1057" s="4" t="inlineStr">
        <is>
          <t>FCFS Characteristics</t>
        </is>
      </c>
      <c r="G1057" s="4" t="inlineStr">
        <is>
          <t>OSMCQ088</t>
        </is>
      </c>
      <c r="H1057" s="4" t="inlineStr"/>
      <c r="I1057" s="4" t="inlineStr">
        <is>
          <t>Easy</t>
        </is>
      </c>
      <c r="J1057" s="5">
        <f>HYPERLINK("https://www.codechef.com/problems/OSMCQ088", "https://www.codechef.com/problems/OSMCQ088")</f>
        <v/>
      </c>
      <c r="K1057" s="4" t="inlineStr"/>
      <c r="L1057" s="4" t="inlineStr"/>
      <c r="M1057" s="4" t="inlineStr"/>
      <c r="N1057" s="4" t="inlineStr">
        <is>
          <t>No</t>
        </is>
      </c>
      <c r="O1057" s="4" t="inlineStr">
        <is>
          <t>Unattempted</t>
        </is>
      </c>
    </row>
    <row r="1058">
      <c r="A1058" s="2" t="inlineStr">
        <is>
          <t>Interview Questions</t>
        </is>
      </c>
      <c r="B1058" s="2" t="inlineStr">
        <is>
          <t>Operating systems Interview Questions</t>
        </is>
      </c>
      <c r="C1058" s="2" t="inlineStr">
        <is>
          <t>Revise all the important Operating Systems concepts and practice lots of MCQ questions to prepare for interviews.</t>
        </is>
      </c>
      <c r="D1058" s="2" t="inlineStr">
        <is>
          <t>Scheduling Algorithms - Scheduling Algorithms</t>
        </is>
      </c>
      <c r="E1058" s="2" t="n">
        <v>119</v>
      </c>
      <c r="F1058" s="2" t="inlineStr">
        <is>
          <t>FCFS Convoy Effect</t>
        </is>
      </c>
      <c r="G1058" s="2" t="inlineStr">
        <is>
          <t>OSMCQ089</t>
        </is>
      </c>
      <c r="H1058" s="2" t="inlineStr"/>
      <c r="I1058" s="2" t="inlineStr">
        <is>
          <t>Easy</t>
        </is>
      </c>
      <c r="J1058" s="3">
        <f>HYPERLINK("https://www.codechef.com/problems/OSMCQ089", "https://www.codechef.com/problems/OSMCQ089")</f>
        <v/>
      </c>
      <c r="K1058" s="2" t="inlineStr"/>
      <c r="L1058" s="2" t="inlineStr"/>
      <c r="M1058" s="2" t="inlineStr"/>
      <c r="N1058" s="2" t="inlineStr">
        <is>
          <t>No</t>
        </is>
      </c>
      <c r="O1058" s="2" t="inlineStr">
        <is>
          <t>Unattempted</t>
        </is>
      </c>
    </row>
    <row r="1059">
      <c r="A1059" s="4" t="inlineStr">
        <is>
          <t>Interview Questions</t>
        </is>
      </c>
      <c r="B1059" s="4" t="inlineStr">
        <is>
          <t>Operating systems Interview Questions</t>
        </is>
      </c>
      <c r="C1059" s="4" t="inlineStr">
        <is>
          <t>Revise all the important Operating Systems concepts and practice lots of MCQ questions to prepare for interviews.</t>
        </is>
      </c>
      <c r="D1059" s="4" t="inlineStr">
        <is>
          <t>Scheduling Algorithms - Scheduling Algorithms</t>
        </is>
      </c>
      <c r="E1059" s="4" t="n">
        <v>120</v>
      </c>
      <c r="F1059" s="4" t="inlineStr">
        <is>
          <t>FCFS Nature</t>
        </is>
      </c>
      <c r="G1059" s="4" t="inlineStr">
        <is>
          <t>OSMCQ090</t>
        </is>
      </c>
      <c r="H1059" s="4" t="inlineStr"/>
      <c r="I1059" s="4" t="inlineStr">
        <is>
          <t>Easy</t>
        </is>
      </c>
      <c r="J1059" s="5">
        <f>HYPERLINK("https://www.codechef.com/problems/OSMCQ090", "https://www.codechef.com/problems/OSMCQ090")</f>
        <v/>
      </c>
      <c r="K1059" s="4" t="inlineStr"/>
      <c r="L1059" s="4" t="inlineStr"/>
      <c r="M1059" s="4" t="inlineStr"/>
      <c r="N1059" s="4" t="inlineStr">
        <is>
          <t>No</t>
        </is>
      </c>
      <c r="O1059" s="4" t="inlineStr">
        <is>
          <t>Unattempted</t>
        </is>
      </c>
    </row>
    <row r="1060">
      <c r="A1060" s="2" t="inlineStr">
        <is>
          <t>Interview Questions</t>
        </is>
      </c>
      <c r="B1060" s="2" t="inlineStr">
        <is>
          <t>Operating systems Interview Questions</t>
        </is>
      </c>
      <c r="C1060" s="2" t="inlineStr">
        <is>
          <t>Revise all the important Operating Systems concepts and practice lots of MCQ questions to prepare for interviews.</t>
        </is>
      </c>
      <c r="D1060" s="2" t="inlineStr">
        <is>
          <t>Scheduling Algorithms - Scheduling Algorithms</t>
        </is>
      </c>
      <c r="E1060" s="2" t="n">
        <v>121</v>
      </c>
      <c r="F1060" s="2" t="inlineStr">
        <is>
          <t>Shortest Job First (SJF)</t>
        </is>
      </c>
      <c r="G1060" s="2" t="inlineStr">
        <is>
          <t>OSP31</t>
        </is>
      </c>
      <c r="H1060" s="2" t="inlineStr"/>
      <c r="I1060" s="2" t="inlineStr">
        <is>
          <t>Medium</t>
        </is>
      </c>
      <c r="J1060" s="3">
        <f>HYPERLINK("https://www.codechef.com/problems/OSP31", "https://www.codechef.com/problems/OSP31")</f>
        <v/>
      </c>
      <c r="K1060" s="2" t="inlineStr"/>
      <c r="L1060" s="2" t="inlineStr"/>
      <c r="M1060" s="2" t="inlineStr"/>
      <c r="N1060" s="2" t="inlineStr">
        <is>
          <t>No</t>
        </is>
      </c>
      <c r="O1060" s="2" t="inlineStr">
        <is>
          <t>Unattempted</t>
        </is>
      </c>
    </row>
    <row r="1061">
      <c r="A1061" s="4" t="inlineStr">
        <is>
          <t>Interview Questions</t>
        </is>
      </c>
      <c r="B1061" s="4" t="inlineStr">
        <is>
          <t>Operating systems Interview Questions</t>
        </is>
      </c>
      <c r="C1061" s="4" t="inlineStr">
        <is>
          <t>Revise all the important Operating Systems concepts and practice lots of MCQ questions to prepare for interviews.</t>
        </is>
      </c>
      <c r="D1061" s="4" t="inlineStr">
        <is>
          <t>Scheduling Algorithms - Scheduling Algorithms</t>
        </is>
      </c>
      <c r="E1061" s="4" t="n">
        <v>122</v>
      </c>
      <c r="F1061" s="4" t="inlineStr">
        <is>
          <t>SJF vs FCFS</t>
        </is>
      </c>
      <c r="G1061" s="4" t="inlineStr">
        <is>
          <t>OSMCQ091</t>
        </is>
      </c>
      <c r="H1061" s="4" t="inlineStr"/>
      <c r="I1061" s="4" t="inlineStr">
        <is>
          <t>Easy</t>
        </is>
      </c>
      <c r="J1061" s="5">
        <f>HYPERLINK("https://www.codechef.com/problems/OSMCQ091", "https://www.codechef.com/problems/OSMCQ091")</f>
        <v/>
      </c>
      <c r="K1061" s="4" t="inlineStr"/>
      <c r="L1061" s="4" t="inlineStr"/>
      <c r="M1061" s="4" t="inlineStr"/>
      <c r="N1061" s="4" t="inlineStr">
        <is>
          <t>No</t>
        </is>
      </c>
      <c r="O1061" s="4" t="inlineStr">
        <is>
          <t>Unattempted</t>
        </is>
      </c>
    </row>
    <row r="1062">
      <c r="A1062" s="2" t="inlineStr">
        <is>
          <t>Interview Questions</t>
        </is>
      </c>
      <c r="B1062" s="2" t="inlineStr">
        <is>
          <t>Operating systems Interview Questions</t>
        </is>
      </c>
      <c r="C1062" s="2" t="inlineStr">
        <is>
          <t>Revise all the important Operating Systems concepts and practice lots of MCQ questions to prepare for interviews.</t>
        </is>
      </c>
      <c r="D1062" s="2" t="inlineStr">
        <is>
          <t>Scheduling Algorithms - Scheduling Algorithms</t>
        </is>
      </c>
      <c r="E1062" s="2" t="n">
        <v>123</v>
      </c>
      <c r="F1062" s="2" t="inlineStr">
        <is>
          <t>Types of SJF</t>
        </is>
      </c>
      <c r="G1062" s="2" t="inlineStr">
        <is>
          <t>OSMCQ092</t>
        </is>
      </c>
      <c r="H1062" s="2" t="inlineStr"/>
      <c r="I1062" s="2" t="inlineStr">
        <is>
          <t>Easy</t>
        </is>
      </c>
      <c r="J1062" s="3">
        <f>HYPERLINK("https://www.codechef.com/problems/OSMCQ092", "https://www.codechef.com/problems/OSMCQ092")</f>
        <v/>
      </c>
      <c r="K1062" s="2" t="inlineStr"/>
      <c r="L1062" s="2" t="inlineStr"/>
      <c r="M1062" s="2" t="inlineStr"/>
      <c r="N1062" s="2" t="inlineStr">
        <is>
          <t>No</t>
        </is>
      </c>
      <c r="O1062" s="2" t="inlineStr">
        <is>
          <t>Unattempted</t>
        </is>
      </c>
    </row>
    <row r="1063">
      <c r="A1063" s="4" t="inlineStr">
        <is>
          <t>Interview Questions</t>
        </is>
      </c>
      <c r="B1063" s="4" t="inlineStr">
        <is>
          <t>Operating systems Interview Questions</t>
        </is>
      </c>
      <c r="C1063" s="4" t="inlineStr">
        <is>
          <t>Revise all the important Operating Systems concepts and practice lots of MCQ questions to prepare for interviews.</t>
        </is>
      </c>
      <c r="D1063" s="4" t="inlineStr">
        <is>
          <t>Scheduling Algorithms - Scheduling Algorithms</t>
        </is>
      </c>
      <c r="E1063" s="4" t="n">
        <v>124</v>
      </c>
      <c r="F1063" s="4" t="inlineStr">
        <is>
          <t>SJF Limitations</t>
        </is>
      </c>
      <c r="G1063" s="4" t="inlineStr">
        <is>
          <t>OSMCQ093</t>
        </is>
      </c>
      <c r="H1063" s="4" t="inlineStr"/>
      <c r="I1063" s="4" t="inlineStr">
        <is>
          <t>Easy</t>
        </is>
      </c>
      <c r="J1063" s="5">
        <f>HYPERLINK("https://www.codechef.com/problems/OSMCQ093", "https://www.codechef.com/problems/OSMCQ093")</f>
        <v/>
      </c>
      <c r="K1063" s="4" t="inlineStr"/>
      <c r="L1063" s="4" t="inlineStr"/>
      <c r="M1063" s="4" t="inlineStr"/>
      <c r="N1063" s="4" t="inlineStr">
        <is>
          <t>No</t>
        </is>
      </c>
      <c r="O1063" s="4" t="inlineStr">
        <is>
          <t>Unattempted</t>
        </is>
      </c>
    </row>
    <row r="1064">
      <c r="A1064" s="2" t="inlineStr">
        <is>
          <t>Interview Questions</t>
        </is>
      </c>
      <c r="B1064" s="2" t="inlineStr">
        <is>
          <t>Operating systems Interview Questions</t>
        </is>
      </c>
      <c r="C1064" s="2" t="inlineStr">
        <is>
          <t>Revise all the important Operating Systems concepts and practice lots of MCQ questions to prepare for interviews.</t>
        </is>
      </c>
      <c r="D1064" s="2" t="inlineStr">
        <is>
          <t>Scheduling Algorithms - Scheduling Algorithms</t>
        </is>
      </c>
      <c r="E1064" s="2" t="n">
        <v>125</v>
      </c>
      <c r="F1064" s="2" t="inlineStr">
        <is>
          <t>Round Robin (RR)</t>
        </is>
      </c>
      <c r="G1064" s="2" t="inlineStr">
        <is>
          <t>OSP32</t>
        </is>
      </c>
      <c r="H1064" s="2" t="inlineStr"/>
      <c r="I1064" s="2" t="inlineStr">
        <is>
          <t>Easy</t>
        </is>
      </c>
      <c r="J1064" s="3">
        <f>HYPERLINK("https://www.codechef.com/problems/OSP32", "https://www.codechef.com/problems/OSP32")</f>
        <v/>
      </c>
      <c r="K1064" s="2" t="inlineStr"/>
      <c r="L1064" s="2" t="inlineStr"/>
      <c r="M1064" s="2" t="inlineStr"/>
      <c r="N1064" s="2" t="inlineStr">
        <is>
          <t>No</t>
        </is>
      </c>
      <c r="O1064" s="2" t="inlineStr">
        <is>
          <t>Unattempted</t>
        </is>
      </c>
    </row>
    <row r="1065">
      <c r="A1065" s="4" t="inlineStr">
        <is>
          <t>Interview Questions</t>
        </is>
      </c>
      <c r="B1065" s="4" t="inlineStr">
        <is>
          <t>Operating systems Interview Questions</t>
        </is>
      </c>
      <c r="C1065" s="4" t="inlineStr">
        <is>
          <t>Revise all the important Operating Systems concepts and practice lots of MCQ questions to prepare for interviews.</t>
        </is>
      </c>
      <c r="D1065" s="4" t="inlineStr">
        <is>
          <t>Scheduling Algorithms - Scheduling Algorithms</t>
        </is>
      </c>
      <c r="E1065" s="4" t="n">
        <v>126</v>
      </c>
      <c r="F1065" s="4" t="inlineStr">
        <is>
          <t>Round Robin Basics</t>
        </is>
      </c>
      <c r="G1065" s="4" t="inlineStr">
        <is>
          <t>OSMCQ094</t>
        </is>
      </c>
      <c r="H1065" s="4" t="inlineStr"/>
      <c r="I1065" s="4" t="inlineStr">
        <is>
          <t>Easy</t>
        </is>
      </c>
      <c r="J1065" s="5">
        <f>HYPERLINK("https://www.codechef.com/problems/OSMCQ094", "https://www.codechef.com/problems/OSMCQ094")</f>
        <v/>
      </c>
      <c r="K1065" s="4" t="inlineStr"/>
      <c r="L1065" s="4" t="inlineStr"/>
      <c r="M1065" s="4" t="inlineStr"/>
      <c r="N1065" s="4" t="inlineStr">
        <is>
          <t>No</t>
        </is>
      </c>
      <c r="O1065" s="4" t="inlineStr">
        <is>
          <t>Unattempted</t>
        </is>
      </c>
    </row>
    <row r="1066">
      <c r="A1066" s="2" t="inlineStr">
        <is>
          <t>Interview Questions</t>
        </is>
      </c>
      <c r="B1066" s="2" t="inlineStr">
        <is>
          <t>Operating systems Interview Questions</t>
        </is>
      </c>
      <c r="C1066" s="2" t="inlineStr">
        <is>
          <t>Revise all the important Operating Systems concepts and practice lots of MCQ questions to prepare for interviews.</t>
        </is>
      </c>
      <c r="D1066" s="2" t="inlineStr">
        <is>
          <t>Scheduling Algorithms - Scheduling Algorithms</t>
        </is>
      </c>
      <c r="E1066" s="2" t="n">
        <v>127</v>
      </c>
      <c r="F1066" s="2" t="inlineStr">
        <is>
          <t>Time Quantum Effects</t>
        </is>
      </c>
      <c r="G1066" s="2" t="inlineStr">
        <is>
          <t>OSMCQ095</t>
        </is>
      </c>
      <c r="H1066" s="2" t="inlineStr"/>
      <c r="I1066" s="2" t="inlineStr">
        <is>
          <t>Medium</t>
        </is>
      </c>
      <c r="J1066" s="3">
        <f>HYPERLINK("https://www.codechef.com/problems/OSMCQ095", "https://www.codechef.com/problems/OSMCQ095")</f>
        <v/>
      </c>
      <c r="K1066" s="2" t="inlineStr"/>
      <c r="L1066" s="2" t="inlineStr"/>
      <c r="M1066" s="2" t="inlineStr"/>
      <c r="N1066" s="2" t="inlineStr">
        <is>
          <t>No</t>
        </is>
      </c>
      <c r="O1066" s="2" t="inlineStr">
        <is>
          <t>Unattempted</t>
        </is>
      </c>
    </row>
    <row r="1067">
      <c r="A1067" s="4" t="inlineStr">
        <is>
          <t>Interview Questions</t>
        </is>
      </c>
      <c r="B1067" s="4" t="inlineStr">
        <is>
          <t>Operating systems Interview Questions</t>
        </is>
      </c>
      <c r="C1067" s="4" t="inlineStr">
        <is>
          <t>Revise all the important Operating Systems concepts and practice lots of MCQ questions to prepare for interviews.</t>
        </is>
      </c>
      <c r="D1067" s="4" t="inlineStr">
        <is>
          <t>Scheduling Algorithms - Scheduling Algorithms</t>
        </is>
      </c>
      <c r="E1067" s="4" t="n">
        <v>128</v>
      </c>
      <c r="F1067" s="4" t="inlineStr">
        <is>
          <t>Round Robin Characteristics</t>
        </is>
      </c>
      <c r="G1067" s="4" t="inlineStr">
        <is>
          <t>OSMCQ096</t>
        </is>
      </c>
      <c r="H1067" s="4" t="inlineStr"/>
      <c r="I1067" s="4" t="inlineStr">
        <is>
          <t>Easy</t>
        </is>
      </c>
      <c r="J1067" s="5">
        <f>HYPERLINK("https://www.codechef.com/problems/OSMCQ096", "https://www.codechef.com/problems/OSMCQ096")</f>
        <v/>
      </c>
      <c r="K1067" s="4" t="inlineStr"/>
      <c r="L1067" s="4" t="inlineStr"/>
      <c r="M1067" s="4" t="inlineStr"/>
      <c r="N1067" s="4" t="inlineStr">
        <is>
          <t>No</t>
        </is>
      </c>
      <c r="O1067" s="4" t="inlineStr">
        <is>
          <t>Unattempted</t>
        </is>
      </c>
    </row>
    <row r="1068">
      <c r="A1068" s="2" t="inlineStr">
        <is>
          <t>Interview Questions</t>
        </is>
      </c>
      <c r="B1068" s="2" t="inlineStr">
        <is>
          <t>Operating systems Interview Questions</t>
        </is>
      </c>
      <c r="C1068" s="2" t="inlineStr">
        <is>
          <t>Revise all the important Operating Systems concepts and practice lots of MCQ questions to prepare for interviews.</t>
        </is>
      </c>
      <c r="D1068" s="2" t="inlineStr">
        <is>
          <t>Scheduling Algorithms - Scheduling Algorithms</t>
        </is>
      </c>
      <c r="E1068" s="2" t="n">
        <v>129</v>
      </c>
      <c r="F1068" s="2" t="inlineStr">
        <is>
          <t>Priority scheduling</t>
        </is>
      </c>
      <c r="G1068" s="2" t="inlineStr">
        <is>
          <t>OSP33</t>
        </is>
      </c>
      <c r="H1068" s="2" t="inlineStr"/>
      <c r="I1068" s="2" t="inlineStr">
        <is>
          <t>Medium</t>
        </is>
      </c>
      <c r="J1068" s="3">
        <f>HYPERLINK("https://www.codechef.com/problems/OSP33", "https://www.codechef.com/problems/OSP33")</f>
        <v/>
      </c>
      <c r="K1068" s="2" t="inlineStr"/>
      <c r="L1068" s="2" t="inlineStr"/>
      <c r="M1068" s="2" t="inlineStr"/>
      <c r="N1068" s="2" t="inlineStr">
        <is>
          <t>No</t>
        </is>
      </c>
      <c r="O1068" s="2" t="inlineStr">
        <is>
          <t>Unattempted</t>
        </is>
      </c>
    </row>
    <row r="1069">
      <c r="A1069" s="4" t="inlineStr">
        <is>
          <t>Interview Questions</t>
        </is>
      </c>
      <c r="B1069" s="4" t="inlineStr">
        <is>
          <t>Operating systems Interview Questions</t>
        </is>
      </c>
      <c r="C1069" s="4" t="inlineStr">
        <is>
          <t>Revise all the important Operating Systems concepts and practice lots of MCQ questions to prepare for interviews.</t>
        </is>
      </c>
      <c r="D1069" s="4" t="inlineStr">
        <is>
          <t>Scheduling Algorithms - Scheduling Algorithms</t>
        </is>
      </c>
      <c r="E1069" s="4" t="n">
        <v>130</v>
      </c>
      <c r="F1069" s="4" t="inlineStr">
        <is>
          <t>Priority Scheduling Basics</t>
        </is>
      </c>
      <c r="G1069" s="4" t="inlineStr">
        <is>
          <t>OSMCQ097</t>
        </is>
      </c>
      <c r="H1069" s="4" t="inlineStr"/>
      <c r="I1069" s="4" t="inlineStr">
        <is>
          <t>Easy</t>
        </is>
      </c>
      <c r="J1069" s="5">
        <f>HYPERLINK("https://www.codechef.com/problems/OSMCQ097", "https://www.codechef.com/problems/OSMCQ097")</f>
        <v/>
      </c>
      <c r="K1069" s="4" t="inlineStr"/>
      <c r="L1069" s="4" t="inlineStr"/>
      <c r="M1069" s="4" t="inlineStr"/>
      <c r="N1069" s="4" t="inlineStr">
        <is>
          <t>No</t>
        </is>
      </c>
      <c r="O1069" s="4" t="inlineStr">
        <is>
          <t>Unattempted</t>
        </is>
      </c>
    </row>
    <row r="1070">
      <c r="A1070" s="2" t="inlineStr">
        <is>
          <t>Interview Questions</t>
        </is>
      </c>
      <c r="B1070" s="2" t="inlineStr">
        <is>
          <t>Operating systems Interview Questions</t>
        </is>
      </c>
      <c r="C1070" s="2" t="inlineStr">
        <is>
          <t>Revise all the important Operating Systems concepts and practice lots of MCQ questions to prepare for interviews.</t>
        </is>
      </c>
      <c r="D1070" s="2" t="inlineStr">
        <is>
          <t>Scheduling Algorithms - Scheduling Algorithms</t>
        </is>
      </c>
      <c r="E1070" s="2" t="n">
        <v>131</v>
      </c>
      <c r="F1070" s="2" t="inlineStr">
        <is>
          <t>Addressing Starvation</t>
        </is>
      </c>
      <c r="G1070" s="2" t="inlineStr">
        <is>
          <t>OSMCQ098</t>
        </is>
      </c>
      <c r="H1070" s="2" t="inlineStr"/>
      <c r="I1070" s="2" t="inlineStr">
        <is>
          <t>Medium</t>
        </is>
      </c>
      <c r="J1070" s="3">
        <f>HYPERLINK("https://www.codechef.com/problems/OSMCQ098", "https://www.codechef.com/problems/OSMCQ098")</f>
        <v/>
      </c>
      <c r="K1070" s="2" t="inlineStr"/>
      <c r="L1070" s="2" t="inlineStr"/>
      <c r="M1070" s="2" t="inlineStr"/>
      <c r="N1070" s="2" t="inlineStr">
        <is>
          <t>No</t>
        </is>
      </c>
      <c r="O1070" s="2" t="inlineStr">
        <is>
          <t>Unattempted</t>
        </is>
      </c>
    </row>
    <row r="1071">
      <c r="A1071" s="4" t="inlineStr">
        <is>
          <t>Interview Questions</t>
        </is>
      </c>
      <c r="B1071" s="4" t="inlineStr">
        <is>
          <t>Operating systems Interview Questions</t>
        </is>
      </c>
      <c r="C1071" s="4" t="inlineStr">
        <is>
          <t>Revise all the important Operating Systems concepts and practice lots of MCQ questions to prepare for interviews.</t>
        </is>
      </c>
      <c r="D1071" s="4" t="inlineStr">
        <is>
          <t>Scheduling Algorithms - Scheduling Algorithms</t>
        </is>
      </c>
      <c r="E1071" s="4" t="n">
        <v>132</v>
      </c>
      <c r="F1071" s="4" t="inlineStr">
        <is>
          <t>Priority Assignment</t>
        </is>
      </c>
      <c r="G1071" s="4" t="inlineStr">
        <is>
          <t>OSMCQ099</t>
        </is>
      </c>
      <c r="H1071" s="4" t="inlineStr"/>
      <c r="I1071" s="4" t="inlineStr">
        <is>
          <t>Easy</t>
        </is>
      </c>
      <c r="J1071" s="5">
        <f>HYPERLINK("https://www.codechef.com/problems/OSMCQ099", "https://www.codechef.com/problems/OSMCQ099")</f>
        <v/>
      </c>
      <c r="K1071" s="4" t="inlineStr"/>
      <c r="L1071" s="4" t="inlineStr"/>
      <c r="M1071" s="4" t="inlineStr"/>
      <c r="N1071" s="4" t="inlineStr">
        <is>
          <t>No</t>
        </is>
      </c>
      <c r="O1071" s="4" t="inlineStr">
        <is>
          <t>Unattempted</t>
        </is>
      </c>
    </row>
    <row r="1072">
      <c r="A1072" s="2" t="inlineStr">
        <is>
          <t>Interview Questions</t>
        </is>
      </c>
      <c r="B1072" s="2" t="inlineStr">
        <is>
          <t>Operating systems Interview Questions</t>
        </is>
      </c>
      <c r="C1072" s="2" t="inlineStr">
        <is>
          <t>Revise all the important Operating Systems concepts and practice lots of MCQ questions to prepare for interviews.</t>
        </is>
      </c>
      <c r="D1072" s="2" t="inlineStr">
        <is>
          <t>Scheduling Algorithms - Scheduling Algorithms</t>
        </is>
      </c>
      <c r="E1072" s="2" t="n">
        <v>133</v>
      </c>
      <c r="F1072" s="2" t="inlineStr">
        <is>
          <t>Multilevel queue scheduling</t>
        </is>
      </c>
      <c r="G1072" s="2" t="inlineStr">
        <is>
          <t>OSP34</t>
        </is>
      </c>
      <c r="H1072" s="2" t="inlineStr"/>
      <c r="I1072" s="2" t="inlineStr">
        <is>
          <t>Medium</t>
        </is>
      </c>
      <c r="J1072" s="3">
        <f>HYPERLINK("https://www.codechef.com/problems/OSP34", "https://www.codechef.com/problems/OSP34")</f>
        <v/>
      </c>
      <c r="K1072" s="2" t="inlineStr"/>
      <c r="L1072" s="2" t="inlineStr"/>
      <c r="M1072" s="2" t="inlineStr"/>
      <c r="N1072" s="2" t="inlineStr">
        <is>
          <t>No</t>
        </is>
      </c>
      <c r="O1072" s="2" t="inlineStr">
        <is>
          <t>Unattempted</t>
        </is>
      </c>
    </row>
    <row r="1073">
      <c r="A1073" s="4" t="inlineStr">
        <is>
          <t>Interview Questions</t>
        </is>
      </c>
      <c r="B1073" s="4" t="inlineStr">
        <is>
          <t>Operating systems Interview Questions</t>
        </is>
      </c>
      <c r="C1073" s="4" t="inlineStr">
        <is>
          <t>Revise all the important Operating Systems concepts and practice lots of MCQ questions to prepare for interviews.</t>
        </is>
      </c>
      <c r="D1073" s="4" t="inlineStr">
        <is>
          <t>Scheduling Algorithms - Scheduling Algorithms</t>
        </is>
      </c>
      <c r="E1073" s="4" t="n">
        <v>134</v>
      </c>
      <c r="F1073" s="4" t="inlineStr">
        <is>
          <t>Multilevel Queue Scheduling Basics</t>
        </is>
      </c>
      <c r="G1073" s="4" t="inlineStr">
        <is>
          <t>OSMCQ100</t>
        </is>
      </c>
      <c r="H1073" s="4" t="inlineStr"/>
      <c r="I1073" s="4" t="inlineStr">
        <is>
          <t>Easy</t>
        </is>
      </c>
      <c r="J1073" s="5">
        <f>HYPERLINK("https://www.codechef.com/problems/OSMCQ100", "https://www.codechef.com/problems/OSMCQ100")</f>
        <v/>
      </c>
      <c r="K1073" s="4" t="inlineStr"/>
      <c r="L1073" s="4" t="inlineStr"/>
      <c r="M1073" s="4" t="inlineStr"/>
      <c r="N1073" s="4" t="inlineStr">
        <is>
          <t>No</t>
        </is>
      </c>
      <c r="O1073" s="4" t="inlineStr">
        <is>
          <t>Unattempted</t>
        </is>
      </c>
    </row>
    <row r="1074">
      <c r="A1074" s="2" t="inlineStr">
        <is>
          <t>Interview Questions</t>
        </is>
      </c>
      <c r="B1074" s="2" t="inlineStr">
        <is>
          <t>Operating systems Interview Questions</t>
        </is>
      </c>
      <c r="C1074" s="2" t="inlineStr">
        <is>
          <t>Revise all the important Operating Systems concepts and practice lots of MCQ questions to prepare for interviews.</t>
        </is>
      </c>
      <c r="D1074" s="2" t="inlineStr">
        <is>
          <t>Scheduling Algorithms - Scheduling Algorithms</t>
        </is>
      </c>
      <c r="E1074" s="2" t="n">
        <v>135</v>
      </c>
      <c r="F1074" s="2" t="inlineStr">
        <is>
          <t>Advantages of Multilevel Queue Scheduling</t>
        </is>
      </c>
      <c r="G1074" s="2" t="inlineStr">
        <is>
          <t>OSMCQ101</t>
        </is>
      </c>
      <c r="H1074" s="2" t="inlineStr"/>
      <c r="I1074" s="2" t="inlineStr">
        <is>
          <t>Easy</t>
        </is>
      </c>
      <c r="J1074" s="3">
        <f>HYPERLINK("https://www.codechef.com/problems/OSMCQ101", "https://www.codechef.com/problems/OSMCQ101")</f>
        <v/>
      </c>
      <c r="K1074" s="2" t="inlineStr"/>
      <c r="L1074" s="2" t="inlineStr"/>
      <c r="M1074" s="2" t="inlineStr"/>
      <c r="N1074" s="2" t="inlineStr">
        <is>
          <t>No</t>
        </is>
      </c>
      <c r="O1074" s="2" t="inlineStr">
        <is>
          <t>Unattempted</t>
        </is>
      </c>
    </row>
    <row r="1075">
      <c r="A1075" s="4" t="inlineStr">
        <is>
          <t>Interview Questions</t>
        </is>
      </c>
      <c r="B1075" s="4" t="inlineStr">
        <is>
          <t>Operating systems Interview Questions</t>
        </is>
      </c>
      <c r="C1075" s="4" t="inlineStr">
        <is>
          <t>Revise all the important Operating Systems concepts and practice lots of MCQ questions to prepare for interviews.</t>
        </is>
      </c>
      <c r="D1075" s="4" t="inlineStr">
        <is>
          <t>Scheduling Algorithms - Scheduling Algorithms</t>
        </is>
      </c>
      <c r="E1075" s="4" t="n">
        <v>136</v>
      </c>
      <c r="F1075" s="4" t="inlineStr">
        <is>
          <t>Addressing Starvation in Multilevel Queue Scheduling</t>
        </is>
      </c>
      <c r="G1075" s="4" t="inlineStr">
        <is>
          <t>OSMCQ102</t>
        </is>
      </c>
      <c r="H1075" s="4" t="inlineStr"/>
      <c r="I1075" s="4" t="inlineStr">
        <is>
          <t>Medium</t>
        </is>
      </c>
      <c r="J1075" s="5">
        <f>HYPERLINK("https://www.codechef.com/problems/OSMCQ102", "https://www.codechef.com/problems/OSMCQ102")</f>
        <v/>
      </c>
      <c r="K1075" s="4" t="inlineStr"/>
      <c r="L1075" s="4" t="inlineStr"/>
      <c r="M1075" s="4" t="inlineStr"/>
      <c r="N1075" s="4" t="inlineStr">
        <is>
          <t>No</t>
        </is>
      </c>
      <c r="O1075" s="4" t="inlineStr">
        <is>
          <t>Unattempted</t>
        </is>
      </c>
    </row>
    <row r="1076">
      <c r="A1076" s="2" t="inlineStr">
        <is>
          <t>Interview Questions</t>
        </is>
      </c>
      <c r="B1076" s="2" t="inlineStr">
        <is>
          <t>Operating systems Interview Questions</t>
        </is>
      </c>
      <c r="C1076" s="2" t="inlineStr">
        <is>
          <t>Revise all the important Operating Systems concepts and practice lots of MCQ questions to prepare for interviews.</t>
        </is>
      </c>
      <c r="D1076" s="2" t="inlineStr">
        <is>
          <t>Concurrency and Synchronization - Concurrency and Synchronization</t>
        </is>
      </c>
      <c r="E1076" s="2" t="n">
        <v>137</v>
      </c>
      <c r="F1076" s="2" t="inlineStr">
        <is>
          <t>Introduction to concurrency and Synchronization</t>
        </is>
      </c>
      <c r="G1076" s="2" t="inlineStr">
        <is>
          <t>OSP35</t>
        </is>
      </c>
      <c r="H1076" s="2" t="inlineStr"/>
      <c r="I1076" s="2" t="inlineStr">
        <is>
          <t>Easy</t>
        </is>
      </c>
      <c r="J1076" s="3">
        <f>HYPERLINK("https://www.codechef.com/problems/OSP35", "https://www.codechef.com/problems/OSP35")</f>
        <v/>
      </c>
      <c r="K1076" s="2" t="inlineStr"/>
      <c r="L1076" s="2" t="inlineStr"/>
      <c r="M1076" s="2" t="inlineStr"/>
      <c r="N1076" s="2" t="inlineStr">
        <is>
          <t>No</t>
        </is>
      </c>
      <c r="O1076" s="2" t="inlineStr">
        <is>
          <t>Unattempted</t>
        </is>
      </c>
    </row>
    <row r="1077">
      <c r="A1077" s="4" t="inlineStr">
        <is>
          <t>Interview Questions</t>
        </is>
      </c>
      <c r="B1077" s="4" t="inlineStr">
        <is>
          <t>Operating systems Interview Questions</t>
        </is>
      </c>
      <c r="C1077" s="4" t="inlineStr">
        <is>
          <t>Revise all the important Operating Systems concepts and practice lots of MCQ questions to prepare for interviews.</t>
        </is>
      </c>
      <c r="D1077" s="4" t="inlineStr">
        <is>
          <t>Concurrency and Synchronization - Concurrency and Synchronization</t>
        </is>
      </c>
      <c r="E1077" s="4" t="n">
        <v>138</v>
      </c>
      <c r="F1077" s="4" t="inlineStr">
        <is>
          <t>Concurrency Benefits</t>
        </is>
      </c>
      <c r="G1077" s="4" t="inlineStr">
        <is>
          <t>OSMCQ103</t>
        </is>
      </c>
      <c r="H1077" s="4" t="inlineStr"/>
      <c r="I1077" s="4" t="inlineStr">
        <is>
          <t>Easy</t>
        </is>
      </c>
      <c r="J1077" s="5">
        <f>HYPERLINK("https://www.codechef.com/problems/OSMCQ103", "https://www.codechef.com/problems/OSMCQ103")</f>
        <v/>
      </c>
      <c r="K1077" s="4" t="inlineStr"/>
      <c r="L1077" s="4" t="inlineStr"/>
      <c r="M1077" s="4" t="inlineStr"/>
      <c r="N1077" s="4" t="inlineStr">
        <is>
          <t>No</t>
        </is>
      </c>
      <c r="O1077" s="4" t="inlineStr">
        <is>
          <t>Unattempted</t>
        </is>
      </c>
    </row>
    <row r="1078">
      <c r="A1078" s="2" t="inlineStr">
        <is>
          <t>Interview Questions</t>
        </is>
      </c>
      <c r="B1078" s="2" t="inlineStr">
        <is>
          <t>Operating systems Interview Questions</t>
        </is>
      </c>
      <c r="C1078" s="2" t="inlineStr">
        <is>
          <t>Revise all the important Operating Systems concepts and practice lots of MCQ questions to prepare for interviews.</t>
        </is>
      </c>
      <c r="D1078" s="2" t="inlineStr">
        <is>
          <t>Concurrency and Synchronization - Concurrency and Synchronization</t>
        </is>
      </c>
      <c r="E1078" s="2" t="n">
        <v>139</v>
      </c>
      <c r="F1078" s="2" t="inlineStr">
        <is>
          <t>Synchronization Purpose</t>
        </is>
      </c>
      <c r="G1078" s="2" t="inlineStr">
        <is>
          <t>OSMCQ104</t>
        </is>
      </c>
      <c r="H1078" s="2" t="inlineStr"/>
      <c r="I1078" s="2" t="inlineStr">
        <is>
          <t>Easy</t>
        </is>
      </c>
      <c r="J1078" s="3">
        <f>HYPERLINK("https://www.codechef.com/problems/OSMCQ104", "https://www.codechef.com/problems/OSMCQ104")</f>
        <v/>
      </c>
      <c r="K1078" s="2" t="inlineStr"/>
      <c r="L1078" s="2" t="inlineStr"/>
      <c r="M1078" s="2" t="inlineStr"/>
      <c r="N1078" s="2" t="inlineStr">
        <is>
          <t>No</t>
        </is>
      </c>
      <c r="O1078" s="2" t="inlineStr">
        <is>
          <t>Unattempted</t>
        </is>
      </c>
    </row>
    <row r="1079">
      <c r="A1079" s="4" t="inlineStr">
        <is>
          <t>Interview Questions</t>
        </is>
      </c>
      <c r="B1079" s="4" t="inlineStr">
        <is>
          <t>Operating systems Interview Questions</t>
        </is>
      </c>
      <c r="C1079" s="4" t="inlineStr">
        <is>
          <t>Revise all the important Operating Systems concepts and practice lots of MCQ questions to prepare for interviews.</t>
        </is>
      </c>
      <c r="D1079" s="4" t="inlineStr">
        <is>
          <t>Concurrency and Synchronization - Concurrency and Synchronization</t>
        </is>
      </c>
      <c r="E1079" s="4" t="n">
        <v>140</v>
      </c>
      <c r="F1079" s="4" t="inlineStr">
        <is>
          <t>Critical Section</t>
        </is>
      </c>
      <c r="G1079" s="4" t="inlineStr">
        <is>
          <t>OSMCQ105</t>
        </is>
      </c>
      <c r="H1079" s="4" t="inlineStr"/>
      <c r="I1079" s="4" t="inlineStr">
        <is>
          <t>Easy</t>
        </is>
      </c>
      <c r="J1079" s="5">
        <f>HYPERLINK("https://www.codechef.com/problems/OSMCQ105", "https://www.codechef.com/problems/OSMCQ105")</f>
        <v/>
      </c>
      <c r="K1079" s="4" t="inlineStr"/>
      <c r="L1079" s="4" t="inlineStr"/>
      <c r="M1079" s="4" t="inlineStr"/>
      <c r="N1079" s="4" t="inlineStr">
        <is>
          <t>No</t>
        </is>
      </c>
      <c r="O1079" s="4" t="inlineStr">
        <is>
          <t>Unattempted</t>
        </is>
      </c>
    </row>
    <row r="1080">
      <c r="A1080" s="2" t="inlineStr">
        <is>
          <t>Interview Questions</t>
        </is>
      </c>
      <c r="B1080" s="2" t="inlineStr">
        <is>
          <t>Operating systems Interview Questions</t>
        </is>
      </c>
      <c r="C1080" s="2" t="inlineStr">
        <is>
          <t>Revise all the important Operating Systems concepts and practice lots of MCQ questions to prepare for interviews.</t>
        </is>
      </c>
      <c r="D1080" s="2" t="inlineStr">
        <is>
          <t>Concurrency and Synchronization - Concurrency and Synchronization</t>
        </is>
      </c>
      <c r="E1080" s="2" t="n">
        <v>141</v>
      </c>
      <c r="F1080" s="2" t="inlineStr">
        <is>
          <t>Mutual exclusion</t>
        </is>
      </c>
      <c r="G1080" s="2" t="inlineStr">
        <is>
          <t>OSP36</t>
        </is>
      </c>
      <c r="H1080" s="2" t="inlineStr"/>
      <c r="I1080" s="2" t="inlineStr">
        <is>
          <t>Medium</t>
        </is>
      </c>
      <c r="J1080" s="3">
        <f>HYPERLINK("https://www.codechef.com/problems/OSP36", "https://www.codechef.com/problems/OSP36")</f>
        <v/>
      </c>
      <c r="K1080" s="2" t="inlineStr"/>
      <c r="L1080" s="2" t="inlineStr"/>
      <c r="M1080" s="2" t="inlineStr"/>
      <c r="N1080" s="2" t="inlineStr">
        <is>
          <t>No</t>
        </is>
      </c>
      <c r="O1080" s="2" t="inlineStr">
        <is>
          <t>Unattempted</t>
        </is>
      </c>
    </row>
    <row r="1081">
      <c r="A1081" s="4" t="inlineStr">
        <is>
          <t>Interview Questions</t>
        </is>
      </c>
      <c r="B1081" s="4" t="inlineStr">
        <is>
          <t>Operating systems Interview Questions</t>
        </is>
      </c>
      <c r="C1081" s="4" t="inlineStr">
        <is>
          <t>Revise all the important Operating Systems concepts and practice lots of MCQ questions to prepare for interviews.</t>
        </is>
      </c>
      <c r="D1081" s="4" t="inlineStr">
        <is>
          <t>Concurrency and Synchronization - Concurrency and Synchronization</t>
        </is>
      </c>
      <c r="E1081" s="4" t="n">
        <v>142</v>
      </c>
      <c r="F1081" s="4" t="inlineStr">
        <is>
          <t>Mutual Exclusion Purpose</t>
        </is>
      </c>
      <c r="G1081" s="4" t="inlineStr">
        <is>
          <t>OSMCQ106</t>
        </is>
      </c>
      <c r="H1081" s="4" t="inlineStr"/>
      <c r="I1081" s="4" t="inlineStr">
        <is>
          <t>Easy</t>
        </is>
      </c>
      <c r="J1081" s="5">
        <f>HYPERLINK("https://www.codechef.com/problems/OSMCQ106", "https://www.codechef.com/problems/OSMCQ106")</f>
        <v/>
      </c>
      <c r="K1081" s="4" t="inlineStr"/>
      <c r="L1081" s="4" t="inlineStr"/>
      <c r="M1081" s="4" t="inlineStr"/>
      <c r="N1081" s="4" t="inlineStr">
        <is>
          <t>No</t>
        </is>
      </c>
      <c r="O1081" s="4" t="inlineStr">
        <is>
          <t>Unattempted</t>
        </is>
      </c>
    </row>
    <row r="1082">
      <c r="A1082" s="2" t="inlineStr">
        <is>
          <t>Interview Questions</t>
        </is>
      </c>
      <c r="B1082" s="2" t="inlineStr">
        <is>
          <t>Operating systems Interview Questions</t>
        </is>
      </c>
      <c r="C1082" s="2" t="inlineStr">
        <is>
          <t>Revise all the important Operating Systems concepts and practice lots of MCQ questions to prepare for interviews.</t>
        </is>
      </c>
      <c r="D1082" s="2" t="inlineStr">
        <is>
          <t>Concurrency and Synchronization - Concurrency and Synchronization</t>
        </is>
      </c>
      <c r="E1082" s="2" t="n">
        <v>143</v>
      </c>
      <c r="F1082" s="2" t="inlineStr">
        <is>
          <t>Critical Section</t>
        </is>
      </c>
      <c r="G1082" s="2" t="inlineStr">
        <is>
          <t>OSMCQ107</t>
        </is>
      </c>
      <c r="H1082" s="2" t="inlineStr"/>
      <c r="I1082" s="2" t="inlineStr">
        <is>
          <t>Easy</t>
        </is>
      </c>
      <c r="J1082" s="3">
        <f>HYPERLINK("https://www.codechef.com/problems/OSMCQ107", "https://www.codechef.com/problems/OSMCQ107")</f>
        <v/>
      </c>
      <c r="K1082" s="2" t="inlineStr"/>
      <c r="L1082" s="2" t="inlineStr"/>
      <c r="M1082" s="2" t="inlineStr"/>
      <c r="N1082" s="2" t="inlineStr">
        <is>
          <t>No</t>
        </is>
      </c>
      <c r="O1082" s="2" t="inlineStr">
        <is>
          <t>Unattempted</t>
        </is>
      </c>
    </row>
    <row r="1083">
      <c r="A1083" s="4" t="inlineStr">
        <is>
          <t>Interview Questions</t>
        </is>
      </c>
      <c r="B1083" s="4" t="inlineStr">
        <is>
          <t>Operating systems Interview Questions</t>
        </is>
      </c>
      <c r="C1083" s="4" t="inlineStr">
        <is>
          <t>Revise all the important Operating Systems concepts and practice lots of MCQ questions to prepare for interviews.</t>
        </is>
      </c>
      <c r="D1083" s="4" t="inlineStr">
        <is>
          <t>Concurrency and Synchronization - Concurrency and Synchronization</t>
        </is>
      </c>
      <c r="E1083" s="4" t="n">
        <v>144</v>
      </c>
      <c r="F1083" s="4" t="inlineStr">
        <is>
          <t>Deadlock Scenario</t>
        </is>
      </c>
      <c r="G1083" s="4" t="inlineStr">
        <is>
          <t>OSMCQ108</t>
        </is>
      </c>
      <c r="H1083" s="4" t="inlineStr"/>
      <c r="I1083" s="4" t="inlineStr">
        <is>
          <t>Easy</t>
        </is>
      </c>
      <c r="J1083" s="5">
        <f>HYPERLINK("https://www.codechef.com/problems/OSMCQ108", "https://www.codechef.com/problems/OSMCQ108")</f>
        <v/>
      </c>
      <c r="K1083" s="4" t="inlineStr"/>
      <c r="L1083" s="4" t="inlineStr"/>
      <c r="M1083" s="4" t="inlineStr"/>
      <c r="N1083" s="4" t="inlineStr">
        <is>
          <t>No</t>
        </is>
      </c>
      <c r="O1083" s="4" t="inlineStr">
        <is>
          <t>Unattempted</t>
        </is>
      </c>
    </row>
    <row r="1084">
      <c r="A1084" s="2" t="inlineStr">
        <is>
          <t>Interview Questions</t>
        </is>
      </c>
      <c r="B1084" s="2" t="inlineStr">
        <is>
          <t>Operating systems Interview Questions</t>
        </is>
      </c>
      <c r="C1084" s="2" t="inlineStr">
        <is>
          <t>Revise all the important Operating Systems concepts and practice lots of MCQ questions to prepare for interviews.</t>
        </is>
      </c>
      <c r="D1084" s="2" t="inlineStr">
        <is>
          <t>Concurrency and Synchronization - Concurrency and Synchronization</t>
        </is>
      </c>
      <c r="E1084" s="2" t="n">
        <v>145</v>
      </c>
      <c r="F1084" s="2" t="inlineStr">
        <is>
          <t>Semaphores and monitors</t>
        </is>
      </c>
      <c r="G1084" s="2" t="inlineStr">
        <is>
          <t>OSP37</t>
        </is>
      </c>
      <c r="H1084" s="2" t="inlineStr"/>
      <c r="I1084" s="2" t="inlineStr">
        <is>
          <t>Hard</t>
        </is>
      </c>
      <c r="J1084" s="3">
        <f>HYPERLINK("https://www.codechef.com/problems/OSP37", "https://www.codechef.com/problems/OSP37")</f>
        <v/>
      </c>
      <c r="K1084" s="2" t="inlineStr"/>
      <c r="L1084" s="2" t="inlineStr"/>
      <c r="M1084" s="2" t="inlineStr"/>
      <c r="N1084" s="2" t="inlineStr">
        <is>
          <t>No</t>
        </is>
      </c>
      <c r="O1084" s="2" t="inlineStr">
        <is>
          <t>Unattempted</t>
        </is>
      </c>
    </row>
    <row r="1085">
      <c r="A1085" s="4" t="inlineStr">
        <is>
          <t>Interview Questions</t>
        </is>
      </c>
      <c r="B1085" s="4" t="inlineStr">
        <is>
          <t>Operating systems Interview Questions</t>
        </is>
      </c>
      <c r="C1085" s="4" t="inlineStr">
        <is>
          <t>Revise all the important Operating Systems concepts and practice lots of MCQ questions to prepare for interviews.</t>
        </is>
      </c>
      <c r="D1085" s="4" t="inlineStr">
        <is>
          <t>Concurrency and Synchronization - Concurrency and Synchronization</t>
        </is>
      </c>
      <c r="E1085" s="4" t="n">
        <v>146</v>
      </c>
      <c r="F1085" s="4" t="inlineStr">
        <is>
          <t>Semaphore Operations</t>
        </is>
      </c>
      <c r="G1085" s="4" t="inlineStr">
        <is>
          <t>OSMCQ109</t>
        </is>
      </c>
      <c r="H1085" s="4" t="inlineStr"/>
      <c r="I1085" s="4" t="inlineStr">
        <is>
          <t>Easy</t>
        </is>
      </c>
      <c r="J1085" s="5">
        <f>HYPERLINK("https://www.codechef.com/problems/OSMCQ109", "https://www.codechef.com/problems/OSMCQ109")</f>
        <v/>
      </c>
      <c r="K1085" s="4" t="inlineStr"/>
      <c r="L1085" s="4" t="inlineStr"/>
      <c r="M1085" s="4" t="inlineStr"/>
      <c r="N1085" s="4" t="inlineStr">
        <is>
          <t>No</t>
        </is>
      </c>
      <c r="O1085" s="4" t="inlineStr">
        <is>
          <t>Unattempted</t>
        </is>
      </c>
    </row>
    <row r="1086">
      <c r="A1086" s="2" t="inlineStr">
        <is>
          <t>Interview Questions</t>
        </is>
      </c>
      <c r="B1086" s="2" t="inlineStr">
        <is>
          <t>Operating systems Interview Questions</t>
        </is>
      </c>
      <c r="C1086" s="2" t="inlineStr">
        <is>
          <t>Revise all the important Operating Systems concepts and practice lots of MCQ questions to prepare for interviews.</t>
        </is>
      </c>
      <c r="D1086" s="2" t="inlineStr">
        <is>
          <t>Concurrency and Synchronization - Concurrency and Synchronization</t>
        </is>
      </c>
      <c r="E1086" s="2" t="n">
        <v>147</v>
      </c>
      <c r="F1086" s="2" t="inlineStr">
        <is>
          <t>Monitor Characteristics</t>
        </is>
      </c>
      <c r="G1086" s="2" t="inlineStr">
        <is>
          <t>OSMCQ110</t>
        </is>
      </c>
      <c r="H1086" s="2" t="inlineStr"/>
      <c r="I1086" s="2" t="inlineStr">
        <is>
          <t>Easy</t>
        </is>
      </c>
      <c r="J1086" s="3">
        <f>HYPERLINK("https://www.codechef.com/problems/OSMCQ110", "https://www.codechef.com/problems/OSMCQ110")</f>
        <v/>
      </c>
      <c r="K1086" s="2" t="inlineStr"/>
      <c r="L1086" s="2" t="inlineStr"/>
      <c r="M1086" s="2" t="inlineStr"/>
      <c r="N1086" s="2" t="inlineStr">
        <is>
          <t>No</t>
        </is>
      </c>
      <c r="O1086" s="2" t="inlineStr">
        <is>
          <t>Unattempted</t>
        </is>
      </c>
    </row>
    <row r="1087">
      <c r="A1087" s="4" t="inlineStr">
        <is>
          <t>Interview Questions</t>
        </is>
      </c>
      <c r="B1087" s="4" t="inlineStr">
        <is>
          <t>Operating systems Interview Questions</t>
        </is>
      </c>
      <c r="C1087" s="4" t="inlineStr">
        <is>
          <t>Revise all the important Operating Systems concepts and practice lots of MCQ questions to prepare for interviews.</t>
        </is>
      </c>
      <c r="D1087" s="4" t="inlineStr">
        <is>
          <t>Concurrency and Synchronization - Concurrency and Synchronization</t>
        </is>
      </c>
      <c r="E1087" s="4" t="n">
        <v>148</v>
      </c>
      <c r="F1087" s="4" t="inlineStr">
        <is>
          <t>Semaphores vs Monitors</t>
        </is>
      </c>
      <c r="G1087" s="4" t="inlineStr">
        <is>
          <t>OSMCQ111</t>
        </is>
      </c>
      <c r="H1087" s="4" t="inlineStr"/>
      <c r="I1087" s="4" t="inlineStr">
        <is>
          <t>Medium</t>
        </is>
      </c>
      <c r="J1087" s="5">
        <f>HYPERLINK("https://www.codechef.com/problems/OSMCQ111", "https://www.codechef.com/problems/OSMCQ111")</f>
        <v/>
      </c>
      <c r="K1087" s="4" t="inlineStr"/>
      <c r="L1087" s="4" t="inlineStr"/>
      <c r="M1087" s="4" t="inlineStr"/>
      <c r="N1087" s="4" t="inlineStr">
        <is>
          <t>No</t>
        </is>
      </c>
      <c r="O1087" s="4" t="inlineStr">
        <is>
          <t>Unattempted</t>
        </is>
      </c>
    </row>
    <row r="1088">
      <c r="A1088" s="2" t="inlineStr">
        <is>
          <t>Interview Questions</t>
        </is>
      </c>
      <c r="B1088" s="2" t="inlineStr">
        <is>
          <t>Operating systems Interview Questions</t>
        </is>
      </c>
      <c r="C1088" s="2" t="inlineStr">
        <is>
          <t>Revise all the important Operating Systems concepts and practice lots of MCQ questions to prepare for interviews.</t>
        </is>
      </c>
      <c r="D1088" s="2" t="inlineStr">
        <is>
          <t>Concurrency and Synchronization - Concurrency and Synchronization</t>
        </is>
      </c>
      <c r="E1088" s="2" t="n">
        <v>149</v>
      </c>
      <c r="F1088" s="2" t="inlineStr">
        <is>
          <t>Deadlock prevention, avoidance, and detection</t>
        </is>
      </c>
      <c r="G1088" s="2" t="inlineStr">
        <is>
          <t>OSP38</t>
        </is>
      </c>
      <c r="H1088" s="2" t="inlineStr"/>
      <c r="I1088" s="2" t="inlineStr">
        <is>
          <t>Hard</t>
        </is>
      </c>
      <c r="J1088" s="3">
        <f>HYPERLINK("https://www.codechef.com/problems/OSP38", "https://www.codechef.com/problems/OSP38")</f>
        <v/>
      </c>
      <c r="K1088" s="2" t="inlineStr"/>
      <c r="L1088" s="2" t="inlineStr"/>
      <c r="M1088" s="2" t="inlineStr"/>
      <c r="N1088" s="2" t="inlineStr">
        <is>
          <t>No</t>
        </is>
      </c>
      <c r="O1088" s="2" t="inlineStr">
        <is>
          <t>Unattempted</t>
        </is>
      </c>
    </row>
    <row r="1089">
      <c r="A1089" s="4" t="inlineStr">
        <is>
          <t>Interview Questions</t>
        </is>
      </c>
      <c r="B1089" s="4" t="inlineStr">
        <is>
          <t>Operating systems Interview Questions</t>
        </is>
      </c>
      <c r="C1089" s="4" t="inlineStr">
        <is>
          <t>Revise all the important Operating Systems concepts and practice lots of MCQ questions to prepare for interviews.</t>
        </is>
      </c>
      <c r="D1089" s="4" t="inlineStr">
        <is>
          <t>Concurrency and Synchronization - Concurrency and Synchronization</t>
        </is>
      </c>
      <c r="E1089" s="4" t="n">
        <v>150</v>
      </c>
      <c r="F1089" s="4" t="inlineStr">
        <is>
          <t>Deadlock Conditions</t>
        </is>
      </c>
      <c r="G1089" s="4" t="inlineStr">
        <is>
          <t>OSMCQ112</t>
        </is>
      </c>
      <c r="H1089" s="4" t="inlineStr"/>
      <c r="I1089" s="4" t="inlineStr">
        <is>
          <t>Easy</t>
        </is>
      </c>
      <c r="J1089" s="5">
        <f>HYPERLINK("https://www.codechef.com/problems/OSMCQ112", "https://www.codechef.com/problems/OSMCQ112")</f>
        <v/>
      </c>
      <c r="K1089" s="4" t="inlineStr"/>
      <c r="L1089" s="4" t="inlineStr"/>
      <c r="M1089" s="4" t="inlineStr"/>
      <c r="N1089" s="4" t="inlineStr">
        <is>
          <t>No</t>
        </is>
      </c>
      <c r="O1089" s="4" t="inlineStr">
        <is>
          <t>Unattempted</t>
        </is>
      </c>
    </row>
    <row r="1090">
      <c r="A1090" s="2" t="inlineStr">
        <is>
          <t>Interview Questions</t>
        </is>
      </c>
      <c r="B1090" s="2" t="inlineStr">
        <is>
          <t>Operating systems Interview Questions</t>
        </is>
      </c>
      <c r="C1090" s="2" t="inlineStr">
        <is>
          <t>Revise all the important Operating Systems concepts and practice lots of MCQ questions to prepare for interviews.</t>
        </is>
      </c>
      <c r="D1090" s="2" t="inlineStr">
        <is>
          <t>Concurrency and Synchronization - Concurrency and Synchronization</t>
        </is>
      </c>
      <c r="E1090" s="2" t="n">
        <v>151</v>
      </c>
      <c r="F1090" s="2" t="inlineStr">
        <is>
          <t>Deadlock Prevention Strategy</t>
        </is>
      </c>
      <c r="G1090" s="2" t="inlineStr">
        <is>
          <t>OSMCQ113</t>
        </is>
      </c>
      <c r="H1090" s="2" t="inlineStr"/>
      <c r="I1090" s="2" t="inlineStr">
        <is>
          <t>Easy</t>
        </is>
      </c>
      <c r="J1090" s="3">
        <f>HYPERLINK("https://www.codechef.com/problems/OSMCQ113", "https://www.codechef.com/problems/OSMCQ113")</f>
        <v/>
      </c>
      <c r="K1090" s="2" t="inlineStr"/>
      <c r="L1090" s="2" t="inlineStr"/>
      <c r="M1090" s="2" t="inlineStr"/>
      <c r="N1090" s="2" t="inlineStr">
        <is>
          <t>No</t>
        </is>
      </c>
      <c r="O1090" s="2" t="inlineStr">
        <is>
          <t>Unattempted</t>
        </is>
      </c>
    </row>
    <row r="1091">
      <c r="A1091" s="4" t="inlineStr">
        <is>
          <t>Interview Questions</t>
        </is>
      </c>
      <c r="B1091" s="4" t="inlineStr">
        <is>
          <t>Operating systems Interview Questions</t>
        </is>
      </c>
      <c r="C1091" s="4" t="inlineStr">
        <is>
          <t>Revise all the important Operating Systems concepts and practice lots of MCQ questions to prepare for interviews.</t>
        </is>
      </c>
      <c r="D1091" s="4" t="inlineStr">
        <is>
          <t>Concurrency and Synchronization - Concurrency and Synchronization</t>
        </is>
      </c>
      <c r="E1091" s="4" t="n">
        <v>152</v>
      </c>
      <c r="F1091" s="4" t="inlineStr">
        <is>
          <t>Deadlock Handling Approaches</t>
        </is>
      </c>
      <c r="G1091" s="4" t="inlineStr">
        <is>
          <t>OSMCQ114</t>
        </is>
      </c>
      <c r="H1091" s="4" t="inlineStr"/>
      <c r="I1091" s="4" t="inlineStr">
        <is>
          <t>Easy</t>
        </is>
      </c>
      <c r="J1091" s="5">
        <f>HYPERLINK("https://www.codechef.com/problems/OSMCQ114", "https://www.codechef.com/problems/OSMCQ114")</f>
        <v/>
      </c>
      <c r="K1091" s="4" t="inlineStr"/>
      <c r="L1091" s="4" t="inlineStr"/>
      <c r="M1091" s="4" t="inlineStr"/>
      <c r="N1091" s="4" t="inlineStr">
        <is>
          <t>No</t>
        </is>
      </c>
      <c r="O1091" s="4" t="inlineStr">
        <is>
          <t>Unattempted</t>
        </is>
      </c>
    </row>
    <row r="1092">
      <c r="A1092" s="2" t="inlineStr">
        <is>
          <t>Interview Questions</t>
        </is>
      </c>
      <c r="B1092" s="2" t="inlineStr">
        <is>
          <t>Operating systems Interview Questions</t>
        </is>
      </c>
      <c r="C1092" s="2" t="inlineStr">
        <is>
          <t>Revise all the important Operating Systems concepts and practice lots of MCQ questions to prepare for interviews.</t>
        </is>
      </c>
      <c r="D1092" s="2" t="inlineStr">
        <is>
          <t>Concurrency and Synchronization - Concurrency and Synchronization</t>
        </is>
      </c>
      <c r="E1092" s="2" t="n">
        <v>153</v>
      </c>
      <c r="F1092" s="2" t="inlineStr">
        <is>
          <t>Race conditions</t>
        </is>
      </c>
      <c r="G1092" s="2" t="inlineStr">
        <is>
          <t>OSP39</t>
        </is>
      </c>
      <c r="H1092" s="2" t="inlineStr"/>
      <c r="I1092" s="2" t="inlineStr">
        <is>
          <t>Hard</t>
        </is>
      </c>
      <c r="J1092" s="3">
        <f>HYPERLINK("https://www.codechef.com/problems/OSP39", "https://www.codechef.com/problems/OSP39")</f>
        <v/>
      </c>
      <c r="K1092" s="2" t="inlineStr"/>
      <c r="L1092" s="2" t="inlineStr"/>
      <c r="M1092" s="2" t="inlineStr"/>
      <c r="N1092" s="2" t="inlineStr">
        <is>
          <t>No</t>
        </is>
      </c>
      <c r="O1092" s="2" t="inlineStr">
        <is>
          <t>Unattempted</t>
        </is>
      </c>
    </row>
    <row r="1093">
      <c r="A1093" s="4" t="inlineStr">
        <is>
          <t>Interview Questions</t>
        </is>
      </c>
      <c r="B1093" s="4" t="inlineStr">
        <is>
          <t>Operating systems Interview Questions</t>
        </is>
      </c>
      <c r="C1093" s="4" t="inlineStr">
        <is>
          <t>Revise all the important Operating Systems concepts and practice lots of MCQ questions to prepare for interviews.</t>
        </is>
      </c>
      <c r="D1093" s="4" t="inlineStr">
        <is>
          <t>Concurrency and Synchronization - Concurrency and Synchronization</t>
        </is>
      </c>
      <c r="E1093" s="4" t="n">
        <v>154</v>
      </c>
      <c r="F1093" s="4" t="inlineStr">
        <is>
          <t>Race Condition Definition</t>
        </is>
      </c>
      <c r="G1093" s="4" t="inlineStr">
        <is>
          <t>OSMCQ115</t>
        </is>
      </c>
      <c r="H1093" s="4" t="inlineStr"/>
      <c r="I1093" s="4" t="inlineStr">
        <is>
          <t>Easy</t>
        </is>
      </c>
      <c r="J1093" s="5">
        <f>HYPERLINK("https://www.codechef.com/problems/OSMCQ115", "https://www.codechef.com/problems/OSMCQ115")</f>
        <v/>
      </c>
      <c r="K1093" s="4" t="inlineStr"/>
      <c r="L1093" s="4" t="inlineStr"/>
      <c r="M1093" s="4" t="inlineStr"/>
      <c r="N1093" s="4" t="inlineStr">
        <is>
          <t>No</t>
        </is>
      </c>
      <c r="O1093" s="4" t="inlineStr">
        <is>
          <t>Unattempted</t>
        </is>
      </c>
    </row>
    <row r="1094">
      <c r="A1094" s="2" t="inlineStr">
        <is>
          <t>Interview Questions</t>
        </is>
      </c>
      <c r="B1094" s="2" t="inlineStr">
        <is>
          <t>Operating systems Interview Questions</t>
        </is>
      </c>
      <c r="C1094" s="2" t="inlineStr">
        <is>
          <t>Revise all the important Operating Systems concepts and practice lots of MCQ questions to prepare for interviews.</t>
        </is>
      </c>
      <c r="D1094" s="2" t="inlineStr">
        <is>
          <t>Concurrency and Synchronization - Concurrency and Synchronization</t>
        </is>
      </c>
      <c r="E1094" s="2" t="n">
        <v>155</v>
      </c>
      <c r="F1094" s="2" t="inlineStr">
        <is>
          <t>Race Condition Detection</t>
        </is>
      </c>
      <c r="G1094" s="2" t="inlineStr">
        <is>
          <t>OSMCQ116</t>
        </is>
      </c>
      <c r="H1094" s="2" t="inlineStr"/>
      <c r="I1094" s="2" t="inlineStr">
        <is>
          <t>Medium</t>
        </is>
      </c>
      <c r="J1094" s="3">
        <f>HYPERLINK("https://www.codechef.com/problems/OSMCQ116", "https://www.codechef.com/problems/OSMCQ116")</f>
        <v/>
      </c>
      <c r="K1094" s="2" t="inlineStr"/>
      <c r="L1094" s="2" t="inlineStr"/>
      <c r="M1094" s="2" t="inlineStr"/>
      <c r="N1094" s="2" t="inlineStr">
        <is>
          <t>No</t>
        </is>
      </c>
      <c r="O1094" s="2" t="inlineStr">
        <is>
          <t>Unattempted</t>
        </is>
      </c>
    </row>
    <row r="1095">
      <c r="A1095" s="4" t="inlineStr">
        <is>
          <t>Interview Questions</t>
        </is>
      </c>
      <c r="B1095" s="4" t="inlineStr">
        <is>
          <t>Operating systems Interview Questions</t>
        </is>
      </c>
      <c r="C1095" s="4" t="inlineStr">
        <is>
          <t>Revise all the important Operating Systems concepts and practice lots of MCQ questions to prepare for interviews.</t>
        </is>
      </c>
      <c r="D1095" s="4" t="inlineStr">
        <is>
          <t>Concurrency and Synchronization - Concurrency and Synchronization</t>
        </is>
      </c>
      <c r="E1095" s="4" t="n">
        <v>156</v>
      </c>
      <c r="F1095" s="4" t="inlineStr">
        <is>
          <t>Race Condition Prevention</t>
        </is>
      </c>
      <c r="G1095" s="4" t="inlineStr">
        <is>
          <t>OSMCQ117</t>
        </is>
      </c>
      <c r="H1095" s="4" t="inlineStr"/>
      <c r="I1095" s="4" t="inlineStr">
        <is>
          <t>Medium</t>
        </is>
      </c>
      <c r="J1095" s="5">
        <f>HYPERLINK("https://www.codechef.com/problems/OSMCQ117", "https://www.codechef.com/problems/OSMCQ117")</f>
        <v/>
      </c>
      <c r="K1095" s="4" t="inlineStr"/>
      <c r="L1095" s="4" t="inlineStr"/>
      <c r="M1095" s="4" t="inlineStr"/>
      <c r="N1095" s="4" t="inlineStr">
        <is>
          <t>No</t>
        </is>
      </c>
      <c r="O1095" s="4" t="inlineStr">
        <is>
          <t>Unattempted</t>
        </is>
      </c>
    </row>
    <row r="1096">
      <c r="A1096" s="2" t="inlineStr">
        <is>
          <t>Interview Questions</t>
        </is>
      </c>
      <c r="B1096" s="2" t="inlineStr">
        <is>
          <t>Operating systems Interview Questions</t>
        </is>
      </c>
      <c r="C1096" s="2" t="inlineStr">
        <is>
          <t>Revise all the important Operating Systems concepts and practice lots of MCQ questions to prepare for interviews.</t>
        </is>
      </c>
      <c r="D1096" s="2" t="inlineStr">
        <is>
          <t>Concurrency and Synchronization - Concurrency and Synchronization</t>
        </is>
      </c>
      <c r="E1096" s="2" t="n">
        <v>157</v>
      </c>
      <c r="F1096" s="2" t="inlineStr">
        <is>
          <t>Producer-consumer problem</t>
        </is>
      </c>
      <c r="G1096" s="2" t="inlineStr">
        <is>
          <t>OSP40</t>
        </is>
      </c>
      <c r="H1096" s="2" t="inlineStr"/>
      <c r="I1096" s="2" t="inlineStr">
        <is>
          <t>Hard</t>
        </is>
      </c>
      <c r="J1096" s="3">
        <f>HYPERLINK("https://www.codechef.com/problems/OSP40", "https://www.codechef.com/problems/OSP40")</f>
        <v/>
      </c>
      <c r="K1096" s="2" t="inlineStr"/>
      <c r="L1096" s="2" t="inlineStr"/>
      <c r="M1096" s="2" t="inlineStr"/>
      <c r="N1096" s="2" t="inlineStr">
        <is>
          <t>No</t>
        </is>
      </c>
      <c r="O1096" s="2" t="inlineStr">
        <is>
          <t>Unattempted</t>
        </is>
      </c>
    </row>
    <row r="1097">
      <c r="A1097" s="4" t="inlineStr">
        <is>
          <t>Interview Questions</t>
        </is>
      </c>
      <c r="B1097" s="4" t="inlineStr">
        <is>
          <t>Operating systems Interview Questions</t>
        </is>
      </c>
      <c r="C1097" s="4" t="inlineStr">
        <is>
          <t>Revise all the important Operating Systems concepts and practice lots of MCQ questions to prepare for interviews.</t>
        </is>
      </c>
      <c r="D1097" s="4" t="inlineStr">
        <is>
          <t>Concurrency and Synchronization - Concurrency and Synchronization</t>
        </is>
      </c>
      <c r="E1097" s="4" t="n">
        <v>158</v>
      </c>
      <c r="F1097" s="4" t="inlineStr">
        <is>
          <t>Producer-Consumer Problem Components</t>
        </is>
      </c>
      <c r="G1097" s="4" t="inlineStr">
        <is>
          <t>OSMCQ118</t>
        </is>
      </c>
      <c r="H1097" s="4" t="inlineStr"/>
      <c r="I1097" s="4" t="inlineStr">
        <is>
          <t>Easy</t>
        </is>
      </c>
      <c r="J1097" s="5">
        <f>HYPERLINK("https://www.codechef.com/problems/OSMCQ118", "https://www.codechef.com/problems/OSMCQ118")</f>
        <v/>
      </c>
      <c r="K1097" s="4" t="inlineStr"/>
      <c r="L1097" s="4" t="inlineStr"/>
      <c r="M1097" s="4" t="inlineStr"/>
      <c r="N1097" s="4" t="inlineStr">
        <is>
          <t>No</t>
        </is>
      </c>
      <c r="O1097" s="4" t="inlineStr">
        <is>
          <t>Unattempted</t>
        </is>
      </c>
    </row>
    <row r="1098">
      <c r="A1098" s="2" t="inlineStr">
        <is>
          <t>Interview Questions</t>
        </is>
      </c>
      <c r="B1098" s="2" t="inlineStr">
        <is>
          <t>Operating systems Interview Questions</t>
        </is>
      </c>
      <c r="C1098" s="2" t="inlineStr">
        <is>
          <t>Revise all the important Operating Systems concepts and practice lots of MCQ questions to prepare for interviews.</t>
        </is>
      </c>
      <c r="D1098" s="2" t="inlineStr">
        <is>
          <t>Concurrency and Synchronization - Concurrency and Synchronization</t>
        </is>
      </c>
      <c r="E1098" s="2" t="n">
        <v>159</v>
      </c>
      <c r="F1098" s="2" t="inlineStr">
        <is>
          <t>Semaphores in Producer-Consumer Problem</t>
        </is>
      </c>
      <c r="G1098" s="2" t="inlineStr">
        <is>
          <t>OSMCQ119</t>
        </is>
      </c>
      <c r="H1098" s="2" t="inlineStr"/>
      <c r="I1098" s="2" t="inlineStr">
        <is>
          <t>Medium</t>
        </is>
      </c>
      <c r="J1098" s="3">
        <f>HYPERLINK("https://www.codechef.com/problems/OSMCQ119", "https://www.codechef.com/problems/OSMCQ119")</f>
        <v/>
      </c>
      <c r="K1098" s="2" t="inlineStr"/>
      <c r="L1098" s="2" t="inlineStr"/>
      <c r="M1098" s="2" t="inlineStr"/>
      <c r="N1098" s="2" t="inlineStr">
        <is>
          <t>No</t>
        </is>
      </c>
      <c r="O1098" s="2" t="inlineStr">
        <is>
          <t>Unattempted</t>
        </is>
      </c>
    </row>
    <row r="1099">
      <c r="A1099" s="4" t="inlineStr">
        <is>
          <t>Interview Questions</t>
        </is>
      </c>
      <c r="B1099" s="4" t="inlineStr">
        <is>
          <t>Operating systems Interview Questions</t>
        </is>
      </c>
      <c r="C1099" s="4" t="inlineStr">
        <is>
          <t>Revise all the important Operating Systems concepts and practice lots of MCQ questions to prepare for interviews.</t>
        </is>
      </c>
      <c r="D1099" s="4" t="inlineStr">
        <is>
          <t>Concurrency and Synchronization - Concurrency and Synchronization</t>
        </is>
      </c>
      <c r="E1099" s="4" t="n">
        <v>160</v>
      </c>
      <c r="F1099" s="4" t="inlineStr">
        <is>
          <t>Real-world Analogy</t>
        </is>
      </c>
      <c r="G1099" s="4" t="inlineStr">
        <is>
          <t>OSMCQ120</t>
        </is>
      </c>
      <c r="H1099" s="4" t="inlineStr"/>
      <c r="I1099" s="4" t="inlineStr">
        <is>
          <t>Easy</t>
        </is>
      </c>
      <c r="J1099" s="5">
        <f>HYPERLINK("https://www.codechef.com/problems/OSMCQ120", "https://www.codechef.com/problems/OSMCQ120")</f>
        <v/>
      </c>
      <c r="K1099" s="4" t="inlineStr"/>
      <c r="L1099" s="4" t="inlineStr"/>
      <c r="M1099" s="4" t="inlineStr"/>
      <c r="N1099" s="4" t="inlineStr">
        <is>
          <t>No</t>
        </is>
      </c>
      <c r="O1099" s="4" t="inlineStr">
        <is>
          <t>Unattempted</t>
        </is>
      </c>
    </row>
    <row r="1100">
      <c r="A1100" s="2" t="inlineStr">
        <is>
          <t>Interview Questions</t>
        </is>
      </c>
      <c r="B1100" s="2" t="inlineStr">
        <is>
          <t>React Advanced Interview Questions</t>
        </is>
      </c>
      <c r="C1100" s="2" t="inlineStr">
        <is>
          <t>Revise important Advanced React concepts with these interview questions and exercises. Attempt these 25 MCQs and Coding problems to practice Advanced React.</t>
        </is>
      </c>
      <c r="D1100" s="2" t="inlineStr">
        <is>
          <t>MCQ Questions - React Questions</t>
        </is>
      </c>
      <c r="E1100" s="2" t="n">
        <v>1</v>
      </c>
      <c r="F1100" s="2" t="inlineStr">
        <is>
          <t>React State Definition</t>
        </is>
      </c>
      <c r="G1100" s="2" t="inlineStr">
        <is>
          <t>REACTJSMCQ01</t>
        </is>
      </c>
      <c r="H1100" s="2" t="inlineStr"/>
      <c r="I1100" s="2" t="inlineStr">
        <is>
          <t>Easy</t>
        </is>
      </c>
      <c r="J1100" s="3">
        <f>HYPERLINK("https://www.codechef.com/problems/REACTJSMCQ01", "https://www.codechef.com/problems/REACTJSMCQ01")</f>
        <v/>
      </c>
      <c r="K1100" s="2" t="inlineStr"/>
      <c r="L1100" s="2" t="inlineStr"/>
      <c r="M1100" s="2" t="inlineStr"/>
      <c r="N1100" s="2" t="inlineStr">
        <is>
          <t>No</t>
        </is>
      </c>
      <c r="O1100" s="2" t="inlineStr">
        <is>
          <t>Unattempted</t>
        </is>
      </c>
    </row>
    <row r="1101">
      <c r="A1101" s="4" t="inlineStr">
        <is>
          <t>Interview Questions</t>
        </is>
      </c>
      <c r="B1101" s="4" t="inlineStr">
        <is>
          <t>React Advanced Interview Questions</t>
        </is>
      </c>
      <c r="C1101" s="4" t="inlineStr">
        <is>
          <t>Revise important Advanced React concepts with these interview questions and exercises. Attempt these 25 MCQs and Coding problems to practice Advanced React.</t>
        </is>
      </c>
      <c r="D1101" s="4" t="inlineStr">
        <is>
          <t>MCQ Questions - React Questions</t>
        </is>
      </c>
      <c r="E1101" s="4" t="n">
        <v>2</v>
      </c>
      <c r="F1101" s="4" t="inlineStr">
        <is>
          <t>Understanding useState Hook</t>
        </is>
      </c>
      <c r="G1101" s="4" t="inlineStr">
        <is>
          <t>REACTJSMCQ02</t>
        </is>
      </c>
      <c r="H1101" s="4" t="inlineStr"/>
      <c r="I1101" s="4" t="inlineStr">
        <is>
          <t>Medium</t>
        </is>
      </c>
      <c r="J1101" s="5">
        <f>HYPERLINK("https://www.codechef.com/problems/REACTJSMCQ02", "https://www.codechef.com/problems/REACTJSMCQ02")</f>
        <v/>
      </c>
      <c r="K1101" s="4" t="inlineStr"/>
      <c r="L1101" s="4" t="inlineStr"/>
      <c r="M1101" s="4" t="inlineStr"/>
      <c r="N1101" s="4" t="inlineStr">
        <is>
          <t>No</t>
        </is>
      </c>
      <c r="O1101" s="4" t="inlineStr">
        <is>
          <t>Unattempted</t>
        </is>
      </c>
    </row>
    <row r="1102">
      <c r="A1102" s="2" t="inlineStr">
        <is>
          <t>Interview Questions</t>
        </is>
      </c>
      <c r="B1102" s="2" t="inlineStr">
        <is>
          <t>React Advanced Interview Questions</t>
        </is>
      </c>
      <c r="C1102" s="2" t="inlineStr">
        <is>
          <t>Revise important Advanced React concepts with these interview questions and exercises. Attempt these 25 MCQs and Coding problems to practice Advanced React.</t>
        </is>
      </c>
      <c r="D1102" s="2" t="inlineStr">
        <is>
          <t>MCQ Questions - React Questions</t>
        </is>
      </c>
      <c r="E1102" s="2" t="n">
        <v>3</v>
      </c>
      <c r="F1102" s="2" t="inlineStr">
        <is>
          <t>React Hooks Call Order</t>
        </is>
      </c>
      <c r="G1102" s="2" t="inlineStr">
        <is>
          <t>REACTJSMCQ03</t>
        </is>
      </c>
      <c r="H1102" s="2" t="inlineStr"/>
      <c r="I1102" s="2" t="inlineStr">
        <is>
          <t>Medium</t>
        </is>
      </c>
      <c r="J1102" s="3">
        <f>HYPERLINK("https://www.codechef.com/problems/REACTJSMCQ03", "https://www.codechef.com/problems/REACTJSMCQ03")</f>
        <v/>
      </c>
      <c r="K1102" s="2" t="inlineStr"/>
      <c r="L1102" s="2" t="inlineStr"/>
      <c r="M1102" s="2" t="inlineStr"/>
      <c r="N1102" s="2" t="inlineStr">
        <is>
          <t>No</t>
        </is>
      </c>
      <c r="O1102" s="2" t="inlineStr">
        <is>
          <t>Unattempted</t>
        </is>
      </c>
    </row>
    <row r="1103">
      <c r="A1103" s="4" t="inlineStr">
        <is>
          <t>Interview Questions</t>
        </is>
      </c>
      <c r="B1103" s="4" t="inlineStr">
        <is>
          <t>React Advanced Interview Questions</t>
        </is>
      </c>
      <c r="C1103" s="4" t="inlineStr">
        <is>
          <t>Revise important Advanced React concepts with these interview questions and exercises. Attempt these 25 MCQs and Coding problems to practice Advanced React.</t>
        </is>
      </c>
      <c r="D1103" s="4" t="inlineStr">
        <is>
          <t>MCQ Questions - React Questions</t>
        </is>
      </c>
      <c r="E1103" s="4" t="n">
        <v>4</v>
      </c>
      <c r="F1103" s="4" t="inlineStr">
        <is>
          <t>React Component Lifecycle</t>
        </is>
      </c>
      <c r="G1103" s="4" t="inlineStr">
        <is>
          <t>REACTJSMCQ04</t>
        </is>
      </c>
      <c r="H1103" s="4" t="inlineStr"/>
      <c r="I1103" s="4" t="inlineStr">
        <is>
          <t>Medium</t>
        </is>
      </c>
      <c r="J1103" s="5">
        <f>HYPERLINK("https://www.codechef.com/problems/REACTJSMCQ04", "https://www.codechef.com/problems/REACTJSMCQ04")</f>
        <v/>
      </c>
      <c r="K1103" s="4" t="inlineStr"/>
      <c r="L1103" s="4" t="inlineStr"/>
      <c r="M1103" s="4" t="inlineStr"/>
      <c r="N1103" s="4" t="inlineStr">
        <is>
          <t>No</t>
        </is>
      </c>
      <c r="O1103" s="4" t="inlineStr">
        <is>
          <t>Unattempted</t>
        </is>
      </c>
    </row>
    <row r="1104">
      <c r="A1104" s="2" t="inlineStr">
        <is>
          <t>Interview Questions</t>
        </is>
      </c>
      <c r="B1104" s="2" t="inlineStr">
        <is>
          <t>React Advanced Interview Questions</t>
        </is>
      </c>
      <c r="C1104" s="2" t="inlineStr">
        <is>
          <t>Revise important Advanced React concepts with these interview questions and exercises. Attempt these 25 MCQs and Coding problems to practice Advanced React.</t>
        </is>
      </c>
      <c r="D1104" s="2" t="inlineStr">
        <is>
          <t>MCQ Questions - React Questions</t>
        </is>
      </c>
      <c r="E1104" s="2" t="n">
        <v>5</v>
      </c>
      <c r="F1104" s="2" t="inlineStr">
        <is>
          <t>Invalid Re-render Trigger</t>
        </is>
      </c>
      <c r="G1104" s="2" t="inlineStr">
        <is>
          <t>REACTJSMCQ05</t>
        </is>
      </c>
      <c r="H1104" s="2" t="inlineStr"/>
      <c r="I1104" s="2" t="inlineStr">
        <is>
          <t>Medium</t>
        </is>
      </c>
      <c r="J1104" s="3">
        <f>HYPERLINK("https://www.codechef.com/problems/REACTJSMCQ05", "https://www.codechef.com/problems/REACTJSMCQ05")</f>
        <v/>
      </c>
      <c r="K1104" s="2" t="inlineStr"/>
      <c r="L1104" s="2" t="inlineStr"/>
      <c r="M1104" s="2" t="inlineStr"/>
      <c r="N1104" s="2" t="inlineStr">
        <is>
          <t>No</t>
        </is>
      </c>
      <c r="O1104" s="2" t="inlineStr">
        <is>
          <t>Unattempted</t>
        </is>
      </c>
    </row>
    <row r="1105">
      <c r="A1105" s="4" t="inlineStr">
        <is>
          <t>Interview Questions</t>
        </is>
      </c>
      <c r="B1105" s="4" t="inlineStr">
        <is>
          <t>React Advanced Interview Questions</t>
        </is>
      </c>
      <c r="C1105" s="4" t="inlineStr">
        <is>
          <t>Revise important Advanced React concepts with these interview questions and exercises. Attempt these 25 MCQs and Coding problems to practice Advanced React.</t>
        </is>
      </c>
      <c r="D1105" s="4" t="inlineStr">
        <is>
          <t>MCQ Questions - React Questions</t>
        </is>
      </c>
      <c r="E1105" s="4" t="n">
        <v>6</v>
      </c>
      <c r="F1105" s="4" t="inlineStr">
        <is>
          <t>useContext Hook Functionality</t>
        </is>
      </c>
      <c r="G1105" s="4" t="inlineStr">
        <is>
          <t>REACTJSMCQ08</t>
        </is>
      </c>
      <c r="H1105" s="4" t="inlineStr"/>
      <c r="I1105" s="4" t="inlineStr">
        <is>
          <t>Medium</t>
        </is>
      </c>
      <c r="J1105" s="5">
        <f>HYPERLINK("https://www.codechef.com/problems/REACTJSMCQ08", "https://www.codechef.com/problems/REACTJSMCQ08")</f>
        <v/>
      </c>
      <c r="K1105" s="4" t="inlineStr"/>
      <c r="L1105" s="4" t="inlineStr"/>
      <c r="M1105" s="4" t="inlineStr"/>
      <c r="N1105" s="4" t="inlineStr">
        <is>
          <t>No</t>
        </is>
      </c>
      <c r="O1105" s="4" t="inlineStr">
        <is>
          <t>Unattempted</t>
        </is>
      </c>
    </row>
    <row r="1106">
      <c r="A1106" s="2" t="inlineStr">
        <is>
          <t>Interview Questions</t>
        </is>
      </c>
      <c r="B1106" s="2" t="inlineStr">
        <is>
          <t>React Advanced Interview Questions</t>
        </is>
      </c>
      <c r="C1106" s="2" t="inlineStr">
        <is>
          <t>Revise important Advanced React concepts with these interview questions and exercises. Attempt these 25 MCQs and Coding problems to practice Advanced React.</t>
        </is>
      </c>
      <c r="D1106" s="2" t="inlineStr">
        <is>
          <t>MCQ Questions - React Questions</t>
        </is>
      </c>
      <c r="E1106" s="2" t="n">
        <v>7</v>
      </c>
      <c r="F1106" s="2" t="inlineStr">
        <is>
          <t>React Reconciliation Basics</t>
        </is>
      </c>
      <c r="G1106" s="2" t="inlineStr">
        <is>
          <t>REACTJSMCQ06</t>
        </is>
      </c>
      <c r="H1106" s="2" t="inlineStr"/>
      <c r="I1106" s="2" t="inlineStr">
        <is>
          <t>Medium</t>
        </is>
      </c>
      <c r="J1106" s="3">
        <f>HYPERLINK("https://www.codechef.com/problems/REACTJSMCQ06", "https://www.codechef.com/problems/REACTJSMCQ06")</f>
        <v/>
      </c>
      <c r="K1106" s="2" t="inlineStr"/>
      <c r="L1106" s="2" t="inlineStr"/>
      <c r="M1106" s="2" t="inlineStr"/>
      <c r="N1106" s="2" t="inlineStr">
        <is>
          <t>No</t>
        </is>
      </c>
      <c r="O1106" s="2" t="inlineStr">
        <is>
          <t>Unattempted</t>
        </is>
      </c>
    </row>
    <row r="1107">
      <c r="A1107" s="4" t="inlineStr">
        <is>
          <t>Interview Questions</t>
        </is>
      </c>
      <c r="B1107" s="4" t="inlineStr">
        <is>
          <t>React Advanced Interview Questions</t>
        </is>
      </c>
      <c r="C1107" s="4" t="inlineStr">
        <is>
          <t>Revise important Advanced React concepts with these interview questions and exercises. Attempt these 25 MCQs and Coding problems to practice Advanced React.</t>
        </is>
      </c>
      <c r="D1107" s="4" t="inlineStr">
        <is>
          <t>MCQ Questions - React Questions</t>
        </is>
      </c>
      <c r="E1107" s="4" t="n">
        <v>8</v>
      </c>
      <c r="F1107" s="4" t="inlineStr">
        <is>
          <t>Component Rerendering Behavior</t>
        </is>
      </c>
      <c r="G1107" s="4" t="inlineStr">
        <is>
          <t>REACTJSMCQ07</t>
        </is>
      </c>
      <c r="H1107" s="4" t="inlineStr"/>
      <c r="I1107" s="4" t="inlineStr">
        <is>
          <t>Medium</t>
        </is>
      </c>
      <c r="J1107" s="5">
        <f>HYPERLINK("https://www.codechef.com/problems/REACTJSMCQ07", "https://www.codechef.com/problems/REACTJSMCQ07")</f>
        <v/>
      </c>
      <c r="K1107" s="4" t="inlineStr"/>
      <c r="L1107" s="4" t="inlineStr"/>
      <c r="M1107" s="4" t="inlineStr"/>
      <c r="N1107" s="4" t="inlineStr">
        <is>
          <t>No</t>
        </is>
      </c>
      <c r="O1107" s="4" t="inlineStr">
        <is>
          <t>Unattempted</t>
        </is>
      </c>
    </row>
    <row r="1108">
      <c r="A1108" s="2" t="inlineStr">
        <is>
          <t>Interview Questions</t>
        </is>
      </c>
      <c r="B1108" s="2" t="inlineStr">
        <is>
          <t>React Advanced Interview Questions</t>
        </is>
      </c>
      <c r="C1108" s="2" t="inlineStr">
        <is>
          <t>Revise important Advanced React concepts with these interview questions and exercises. Attempt these 25 MCQs and Coding problems to practice Advanced React.</t>
        </is>
      </c>
      <c r="D1108" s="2" t="inlineStr">
        <is>
          <t>MCQ Questions - React Questions</t>
        </is>
      </c>
      <c r="E1108" s="2" t="n">
        <v>9</v>
      </c>
      <c r="F1108" s="2" t="inlineStr">
        <is>
          <t>Understanding Side Effects in React</t>
        </is>
      </c>
      <c r="G1108" s="2" t="inlineStr">
        <is>
          <t>REACTJSMCQ09</t>
        </is>
      </c>
      <c r="H1108" s="2" t="inlineStr"/>
      <c r="I1108" s="2" t="inlineStr">
        <is>
          <t>Medium</t>
        </is>
      </c>
      <c r="J1108" s="3">
        <f>HYPERLINK("https://www.codechef.com/problems/REACTJSMCQ09", "https://www.codechef.com/problems/REACTJSMCQ09")</f>
        <v/>
      </c>
      <c r="K1108" s="2" t="inlineStr"/>
      <c r="L1108" s="2" t="inlineStr"/>
      <c r="M1108" s="2" t="inlineStr"/>
      <c r="N1108" s="2" t="inlineStr">
        <is>
          <t>No</t>
        </is>
      </c>
      <c r="O1108" s="2" t="inlineStr">
        <is>
          <t>Unattempted</t>
        </is>
      </c>
    </row>
    <row r="1109">
      <c r="A1109" s="4" t="inlineStr">
        <is>
          <t>Interview Questions</t>
        </is>
      </c>
      <c r="B1109" s="4" t="inlineStr">
        <is>
          <t>React Advanced Interview Questions</t>
        </is>
      </c>
      <c r="C1109" s="4" t="inlineStr">
        <is>
          <t>Revise important Advanced React concepts with these interview questions and exercises. Attempt these 25 MCQs and Coding problems to practice Advanced React.</t>
        </is>
      </c>
      <c r="D1109" s="4" t="inlineStr">
        <is>
          <t>MCQ Questions - React Questions</t>
        </is>
      </c>
      <c r="E1109" s="4" t="n">
        <v>10</v>
      </c>
      <c r="F1109" s="4" t="inlineStr">
        <is>
          <t>Props vs State Consistency</t>
        </is>
      </c>
      <c r="G1109" s="4" t="inlineStr">
        <is>
          <t>REACTJSMCQ10</t>
        </is>
      </c>
      <c r="H1109" s="4" t="inlineStr"/>
      <c r="I1109" s="4" t="inlineStr">
        <is>
          <t>Medium</t>
        </is>
      </c>
      <c r="J1109" s="5">
        <f>HYPERLINK("https://www.codechef.com/problems/REACTJSMCQ10", "https://www.codechef.com/problems/REACTJSMCQ10")</f>
        <v/>
      </c>
      <c r="K1109" s="4" t="inlineStr"/>
      <c r="L1109" s="4" t="inlineStr"/>
      <c r="M1109" s="4" t="inlineStr"/>
      <c r="N1109" s="4" t="inlineStr">
        <is>
          <t>No</t>
        </is>
      </c>
      <c r="O1109" s="4" t="inlineStr">
        <is>
          <t>Unattempted</t>
        </is>
      </c>
    </row>
    <row r="1110">
      <c r="A1110" s="2" t="inlineStr">
        <is>
          <t>Interview Questions</t>
        </is>
      </c>
      <c r="B1110" s="2" t="inlineStr">
        <is>
          <t>React Advanced Interview Questions</t>
        </is>
      </c>
      <c r="C1110" s="2" t="inlineStr">
        <is>
          <t>Revise important Advanced React concepts with these interview questions and exercises. Attempt these 25 MCQs and Coding problems to practice Advanced React.</t>
        </is>
      </c>
      <c r="D1110" s="2" t="inlineStr">
        <is>
          <t>MCQ Questions - React Questions</t>
        </is>
      </c>
      <c r="E1110" s="2" t="n">
        <v>11</v>
      </c>
      <c r="F1110" s="2" t="inlineStr">
        <is>
          <t>React List Key Purpose</t>
        </is>
      </c>
      <c r="G1110" s="2" t="inlineStr">
        <is>
          <t>REACTJSMCQ11</t>
        </is>
      </c>
      <c r="H1110" s="2" t="inlineStr"/>
      <c r="I1110" s="2" t="inlineStr">
        <is>
          <t>Easy</t>
        </is>
      </c>
      <c r="J1110" s="3">
        <f>HYPERLINK("https://www.codechef.com/problems/REACTJSMCQ11", "https://www.codechef.com/problems/REACTJSMCQ11")</f>
        <v/>
      </c>
      <c r="K1110" s="2" t="inlineStr"/>
      <c r="L1110" s="2" t="inlineStr"/>
      <c r="M1110" s="2" t="inlineStr"/>
      <c r="N1110" s="2" t="inlineStr">
        <is>
          <t>No</t>
        </is>
      </c>
      <c r="O1110" s="2" t="inlineStr">
        <is>
          <t>Unattempted</t>
        </is>
      </c>
    </row>
    <row r="1111">
      <c r="A1111" s="4" t="inlineStr">
        <is>
          <t>Interview Questions</t>
        </is>
      </c>
      <c r="B1111" s="4" t="inlineStr">
        <is>
          <t>React Advanced Interview Questions</t>
        </is>
      </c>
      <c r="C1111" s="4" t="inlineStr">
        <is>
          <t>Revise important Advanced React concepts with these interview questions and exercises. Attempt these 25 MCQs and Coding problems to practice Advanced React.</t>
        </is>
      </c>
      <c r="D1111" s="4" t="inlineStr">
        <is>
          <t>MCQ Questions - React Questions</t>
        </is>
      </c>
      <c r="E1111" s="4" t="n">
        <v>12</v>
      </c>
      <c r="F1111" s="4" t="inlineStr">
        <is>
          <t>Async setState Behavior</t>
        </is>
      </c>
      <c r="G1111" s="4" t="inlineStr">
        <is>
          <t>REACTJSMCQ12</t>
        </is>
      </c>
      <c r="H1111" s="4" t="inlineStr"/>
      <c r="I1111" s="4" t="inlineStr">
        <is>
          <t>Medium</t>
        </is>
      </c>
      <c r="J1111" s="5">
        <f>HYPERLINK("https://www.codechef.com/problems/REACTJSMCQ12", "https://www.codechef.com/problems/REACTJSMCQ12")</f>
        <v/>
      </c>
      <c r="K1111" s="4" t="inlineStr"/>
      <c r="L1111" s="4" t="inlineStr"/>
      <c r="M1111" s="4" t="inlineStr"/>
      <c r="N1111" s="4" t="inlineStr">
        <is>
          <t>No</t>
        </is>
      </c>
      <c r="O1111" s="4" t="inlineStr">
        <is>
          <t>Unattempted</t>
        </is>
      </c>
    </row>
    <row r="1112">
      <c r="A1112" s="2" t="inlineStr">
        <is>
          <t>Interview Questions</t>
        </is>
      </c>
      <c r="B1112" s="2" t="inlineStr">
        <is>
          <t>React Advanced Interview Questions</t>
        </is>
      </c>
      <c r="C1112" s="2" t="inlineStr">
        <is>
          <t>Revise important Advanced React concepts with these interview questions and exercises. Attempt these 25 MCQs and Coding problems to practice Advanced React.</t>
        </is>
      </c>
      <c r="D1112" s="2" t="inlineStr">
        <is>
          <t>MCQ Questions - React Questions</t>
        </is>
      </c>
      <c r="E1112" s="2" t="n">
        <v>13</v>
      </c>
      <c r="F1112" s="2" t="inlineStr">
        <is>
          <t>useRef Hook Usage</t>
        </is>
      </c>
      <c r="G1112" s="2" t="inlineStr">
        <is>
          <t>REACTJSMCQ13</t>
        </is>
      </c>
      <c r="H1112" s="2" t="inlineStr"/>
      <c r="I1112" s="2" t="inlineStr">
        <is>
          <t>Medium</t>
        </is>
      </c>
      <c r="J1112" s="3">
        <f>HYPERLINK("https://www.codechef.com/problems/REACTJSMCQ13", "https://www.codechef.com/problems/REACTJSMCQ13")</f>
        <v/>
      </c>
      <c r="K1112" s="2" t="inlineStr"/>
      <c r="L1112" s="2" t="inlineStr"/>
      <c r="M1112" s="2" t="inlineStr"/>
      <c r="N1112" s="2" t="inlineStr">
        <is>
          <t>No</t>
        </is>
      </c>
      <c r="O1112" s="2" t="inlineStr">
        <is>
          <t>Unattempted</t>
        </is>
      </c>
    </row>
    <row r="1113">
      <c r="A1113" s="4" t="inlineStr">
        <is>
          <t>Interview Questions</t>
        </is>
      </c>
      <c r="B1113" s="4" t="inlineStr">
        <is>
          <t>React Advanced Interview Questions</t>
        </is>
      </c>
      <c r="C1113" s="4" t="inlineStr">
        <is>
          <t>Revise important Advanced React concepts with these interview questions and exercises. Attempt these 25 MCQs and Coding problems to practice Advanced React.</t>
        </is>
      </c>
      <c r="D1113" s="4" t="inlineStr">
        <is>
          <t>MCQ Questions - React Questions</t>
        </is>
      </c>
      <c r="E1113" s="4" t="n">
        <v>14</v>
      </c>
      <c r="F1113" s="4" t="inlineStr">
        <is>
          <t>React memo Usage</t>
        </is>
      </c>
      <c r="G1113" s="4" t="inlineStr">
        <is>
          <t>REACTJSMCQ14</t>
        </is>
      </c>
      <c r="H1113" s="4" t="inlineStr"/>
      <c r="I1113" s="4" t="inlineStr">
        <is>
          <t>Medium</t>
        </is>
      </c>
      <c r="J1113" s="5">
        <f>HYPERLINK("https://www.codechef.com/problems/REACTJSMCQ14", "https://www.codechef.com/problems/REACTJSMCQ14")</f>
        <v/>
      </c>
      <c r="K1113" s="4" t="inlineStr"/>
      <c r="L1113" s="4" t="inlineStr"/>
      <c r="M1113" s="4" t="inlineStr"/>
      <c r="N1113" s="4" t="inlineStr">
        <is>
          <t>No</t>
        </is>
      </c>
      <c r="O1113" s="4" t="inlineStr">
        <is>
          <t>Unattempted</t>
        </is>
      </c>
    </row>
    <row r="1114">
      <c r="A1114" s="2" t="inlineStr">
        <is>
          <t>Interview Questions</t>
        </is>
      </c>
      <c r="B1114" s="2" t="inlineStr">
        <is>
          <t>React Advanced Interview Questions</t>
        </is>
      </c>
      <c r="C1114" s="2" t="inlineStr">
        <is>
          <t>Revise important Advanced React concepts with these interview questions and exercises. Attempt these 25 MCQs and Coding problems to practice Advanced React.</t>
        </is>
      </c>
      <c r="D1114" s="2" t="inlineStr">
        <is>
          <t>MCQ Questions - React Questions</t>
        </is>
      </c>
      <c r="E1114" s="2" t="n">
        <v>15</v>
      </c>
      <c r="F1114" s="2" t="inlineStr">
        <is>
          <t>UseReducer State Management</t>
        </is>
      </c>
      <c r="G1114" s="2" t="inlineStr">
        <is>
          <t>REACTJSMCQ15</t>
        </is>
      </c>
      <c r="H1114" s="2" t="inlineStr"/>
      <c r="I1114" s="2" t="inlineStr">
        <is>
          <t>Medium</t>
        </is>
      </c>
      <c r="J1114" s="3">
        <f>HYPERLINK("https://www.codechef.com/problems/REACTJSMCQ15", "https://www.codechef.com/problems/REACTJSMCQ15")</f>
        <v/>
      </c>
      <c r="K1114" s="2" t="inlineStr"/>
      <c r="L1114" s="2" t="inlineStr"/>
      <c r="M1114" s="2" t="inlineStr"/>
      <c r="N1114" s="2" t="inlineStr">
        <is>
          <t>No</t>
        </is>
      </c>
      <c r="O1114" s="2" t="inlineStr">
        <is>
          <t>Unattempted</t>
        </is>
      </c>
    </row>
    <row r="1115">
      <c r="A1115" s="4" t="inlineStr">
        <is>
          <t>Interview Questions</t>
        </is>
      </c>
      <c r="B1115" s="4" t="inlineStr">
        <is>
          <t>React Advanced Interview Questions</t>
        </is>
      </c>
      <c r="C1115" s="4" t="inlineStr">
        <is>
          <t>Revise important Advanced React concepts with these interview questions and exercises. Attempt these 25 MCQs and Coding problems to practice Advanced React.</t>
        </is>
      </c>
      <c r="D1115" s="4" t="inlineStr">
        <is>
          <t>MCQ Questions - React Questions</t>
        </is>
      </c>
      <c r="E1115" s="4" t="n">
        <v>16</v>
      </c>
      <c r="F1115" s="4" t="inlineStr">
        <is>
          <t>Inline Functions Re-Renders</t>
        </is>
      </c>
      <c r="G1115" s="4" t="inlineStr">
        <is>
          <t>REACTJSMCQ16</t>
        </is>
      </c>
      <c r="H1115" s="4" t="inlineStr"/>
      <c r="I1115" s="4" t="inlineStr">
        <is>
          <t>Medium</t>
        </is>
      </c>
      <c r="J1115" s="5">
        <f>HYPERLINK("https://www.codechef.com/problems/REACTJSMCQ16", "https://www.codechef.com/problems/REACTJSMCQ16")</f>
        <v/>
      </c>
      <c r="K1115" s="4" t="inlineStr"/>
      <c r="L1115" s="4" t="inlineStr"/>
      <c r="M1115" s="4" t="inlineStr"/>
      <c r="N1115" s="4" t="inlineStr">
        <is>
          <t>No</t>
        </is>
      </c>
      <c r="O1115" s="4" t="inlineStr">
        <is>
          <t>Unattempted</t>
        </is>
      </c>
    </row>
    <row r="1116">
      <c r="A1116" s="2" t="inlineStr">
        <is>
          <t>Interview Questions</t>
        </is>
      </c>
      <c r="B1116" s="2" t="inlineStr">
        <is>
          <t>React Advanced Interview Questions</t>
        </is>
      </c>
      <c r="C1116" s="2" t="inlineStr">
        <is>
          <t>Revise important Advanced React concepts with these interview questions and exercises. Attempt these 25 MCQs and Coding problems to practice Advanced React.</t>
        </is>
      </c>
      <c r="D1116" s="2" t="inlineStr">
        <is>
          <t>MCQ Questions - React Questions</t>
        </is>
      </c>
      <c r="E1116" s="2" t="n">
        <v>17</v>
      </c>
      <c r="F1116" s="2" t="inlineStr">
        <is>
          <t>React useMemo Optimization</t>
        </is>
      </c>
      <c r="G1116" s="2" t="inlineStr">
        <is>
          <t>REACTJSMCQ17</t>
        </is>
      </c>
      <c r="H1116" s="2" t="inlineStr"/>
      <c r="I1116" s="2" t="inlineStr">
        <is>
          <t>Medium</t>
        </is>
      </c>
      <c r="J1116" s="3">
        <f>HYPERLINK("https://www.codechef.com/problems/REACTJSMCQ17", "https://www.codechef.com/problems/REACTJSMCQ17")</f>
        <v/>
      </c>
      <c r="K1116" s="2" t="inlineStr"/>
      <c r="L1116" s="2" t="inlineStr"/>
      <c r="M1116" s="2" t="inlineStr"/>
      <c r="N1116" s="2" t="inlineStr">
        <is>
          <t>No</t>
        </is>
      </c>
      <c r="O1116" s="2" t="inlineStr">
        <is>
          <t>Unattempted</t>
        </is>
      </c>
    </row>
    <row r="1117">
      <c r="A1117" s="4" t="inlineStr">
        <is>
          <t>Interview Questions</t>
        </is>
      </c>
      <c r="B1117" s="4" t="inlineStr">
        <is>
          <t>React Advanced Interview Questions</t>
        </is>
      </c>
      <c r="C1117" s="4" t="inlineStr">
        <is>
          <t>Revise important Advanced React concepts with these interview questions and exercises. Attempt these 25 MCQs and Coding problems to practice Advanced React.</t>
        </is>
      </c>
      <c r="D1117" s="4" t="inlineStr">
        <is>
          <t>MCQ Questions - React Questions</t>
        </is>
      </c>
      <c r="E1117" s="4" t="n">
        <v>18</v>
      </c>
      <c r="F1117" s="4" t="inlineStr">
        <is>
          <t>Props Communication in React</t>
        </is>
      </c>
      <c r="G1117" s="4" t="inlineStr">
        <is>
          <t>REACTJSMCQ18</t>
        </is>
      </c>
      <c r="H1117" s="4" t="inlineStr"/>
      <c r="I1117" s="4" t="inlineStr">
        <is>
          <t>Medium</t>
        </is>
      </c>
      <c r="J1117" s="5">
        <f>HYPERLINK("https://www.codechef.com/problems/REACTJSMCQ18", "https://www.codechef.com/problems/REACTJSMCQ18")</f>
        <v/>
      </c>
      <c r="K1117" s="4" t="inlineStr"/>
      <c r="L1117" s="4" t="inlineStr"/>
      <c r="M1117" s="4" t="inlineStr"/>
      <c r="N1117" s="4" t="inlineStr">
        <is>
          <t>No</t>
        </is>
      </c>
      <c r="O1117" s="4" t="inlineStr">
        <is>
          <t>Unattempted</t>
        </is>
      </c>
    </row>
    <row r="1118">
      <c r="A1118" s="2" t="inlineStr">
        <is>
          <t>Interview Questions</t>
        </is>
      </c>
      <c r="B1118" s="2" t="inlineStr">
        <is>
          <t>React Advanced Interview Questions</t>
        </is>
      </c>
      <c r="C1118" s="2" t="inlineStr">
        <is>
          <t>Revise important Advanced React concepts with these interview questions and exercises. Attempt these 25 MCQs and Coding problems to practice Advanced React.</t>
        </is>
      </c>
      <c r="D1118" s="2" t="inlineStr">
        <is>
          <t>MCQ Questions - React Questions</t>
        </is>
      </c>
      <c r="E1118" s="2" t="n">
        <v>19</v>
      </c>
      <c r="F1118" s="2" t="inlineStr">
        <is>
          <t>useLayoutEffect Purpose</t>
        </is>
      </c>
      <c r="G1118" s="2" t="inlineStr">
        <is>
          <t>REACTJSMCQ19</t>
        </is>
      </c>
      <c r="H1118" s="2" t="inlineStr"/>
      <c r="I1118" s="2" t="inlineStr">
        <is>
          <t>Medium</t>
        </is>
      </c>
      <c r="J1118" s="3">
        <f>HYPERLINK("https://www.codechef.com/problems/REACTJSMCQ19", "https://www.codechef.com/problems/REACTJSMCQ19")</f>
        <v/>
      </c>
      <c r="K1118" s="2" t="inlineStr"/>
      <c r="L1118" s="2" t="inlineStr"/>
      <c r="M1118" s="2" t="inlineStr"/>
      <c r="N1118" s="2" t="inlineStr">
        <is>
          <t>No</t>
        </is>
      </c>
      <c r="O1118" s="2" t="inlineStr">
        <is>
          <t>Unattempted</t>
        </is>
      </c>
    </row>
    <row r="1119">
      <c r="A1119" s="4" t="inlineStr">
        <is>
          <t>Interview Questions</t>
        </is>
      </c>
      <c r="B1119" s="4" t="inlineStr">
        <is>
          <t>React Advanced Interview Questions</t>
        </is>
      </c>
      <c r="C1119" s="4" t="inlineStr">
        <is>
          <t>Revise important Advanced React concepts with these interview questions and exercises. Attempt these 25 MCQs and Coding problems to practice Advanced React.</t>
        </is>
      </c>
      <c r="D1119" s="4" t="inlineStr">
        <is>
          <t>MCQ Questions - React Questions</t>
        </is>
      </c>
      <c r="E1119" s="4" t="n">
        <v>20</v>
      </c>
      <c r="F1119" s="4" t="inlineStr">
        <is>
          <t>Difference between useState and useRef</t>
        </is>
      </c>
      <c r="G1119" s="4" t="inlineStr">
        <is>
          <t>REACTJSMCQ20</t>
        </is>
      </c>
      <c r="H1119" s="4" t="inlineStr"/>
      <c r="I1119" s="4" t="inlineStr">
        <is>
          <t>Medium</t>
        </is>
      </c>
      <c r="J1119" s="5">
        <f>HYPERLINK("https://www.codechef.com/problems/REACTJSMCQ20", "https://www.codechef.com/problems/REACTJSMCQ20")</f>
        <v/>
      </c>
      <c r="K1119" s="4" t="inlineStr"/>
      <c r="L1119" s="4" t="inlineStr"/>
      <c r="M1119" s="4" t="inlineStr"/>
      <c r="N1119" s="4" t="inlineStr">
        <is>
          <t>No</t>
        </is>
      </c>
      <c r="O1119" s="4" t="inlineStr">
        <is>
          <t>Unattempted</t>
        </is>
      </c>
    </row>
    <row r="1120">
      <c r="A1120" s="2" t="inlineStr">
        <is>
          <t>Interview Questions</t>
        </is>
      </c>
      <c r="B1120" s="2" t="inlineStr">
        <is>
          <t>React Advanced Interview Questions</t>
        </is>
      </c>
      <c r="C1120" s="2" t="inlineStr">
        <is>
          <t>Revise important Advanced React concepts with these interview questions and exercises. Attempt these 25 MCQs and Coding problems to practice Advanced React.</t>
        </is>
      </c>
      <c r="D1120" s="2" t="inlineStr">
        <is>
          <t>Coding Questions - Coding Questions</t>
        </is>
      </c>
      <c r="E1120" s="2" t="n">
        <v>21</v>
      </c>
      <c r="F1120" s="2" t="inlineStr">
        <is>
          <t>useEffect - Code snippet</t>
        </is>
      </c>
      <c r="G1120" s="2" t="inlineStr">
        <is>
          <t>REACTJSMCQ21</t>
        </is>
      </c>
      <c r="H1120" s="2" t="inlineStr"/>
      <c r="I1120" s="2" t="inlineStr">
        <is>
          <t>Medium</t>
        </is>
      </c>
      <c r="J1120" s="3">
        <f>HYPERLINK("https://www.codechef.com/problems/REACTJSMCQ21", "https://www.codechef.com/problems/REACTJSMCQ21")</f>
        <v/>
      </c>
      <c r="K1120" s="2" t="inlineStr"/>
      <c r="L1120" s="2" t="inlineStr"/>
      <c r="M1120" s="2" t="inlineStr"/>
      <c r="N1120" s="2" t="inlineStr">
        <is>
          <t>No</t>
        </is>
      </c>
      <c r="O1120" s="2" t="inlineStr">
        <is>
          <t>Unattempted</t>
        </is>
      </c>
    </row>
    <row r="1121">
      <c r="A1121" s="4" t="inlineStr">
        <is>
          <t>Interview Questions</t>
        </is>
      </c>
      <c r="B1121" s="4" t="inlineStr">
        <is>
          <t>React Advanced Interview Questions</t>
        </is>
      </c>
      <c r="C1121" s="4" t="inlineStr">
        <is>
          <t>Revise important Advanced React concepts with these interview questions and exercises. Attempt these 25 MCQs and Coding problems to practice Advanced React.</t>
        </is>
      </c>
      <c r="D1121" s="4" t="inlineStr">
        <is>
          <t>Coding Questions - Coding Questions</t>
        </is>
      </c>
      <c r="E1121" s="4" t="n">
        <v>22</v>
      </c>
      <c r="F1121" s="4" t="inlineStr">
        <is>
          <t>useState - Code Snippet</t>
        </is>
      </c>
      <c r="G1121" s="4" t="inlineStr">
        <is>
          <t>REACTJSMCQ22</t>
        </is>
      </c>
      <c r="H1121" s="4" t="inlineStr"/>
      <c r="I1121" s="4" t="inlineStr">
        <is>
          <t>Medium</t>
        </is>
      </c>
      <c r="J1121" s="5">
        <f>HYPERLINK("https://www.codechef.com/problems/REACTJSMCQ22", "https://www.codechef.com/problems/REACTJSMCQ22")</f>
        <v/>
      </c>
      <c r="K1121" s="4" t="inlineStr"/>
      <c r="L1121" s="4" t="inlineStr"/>
      <c r="M1121" s="4" t="inlineStr"/>
      <c r="N1121" s="4" t="inlineStr">
        <is>
          <t>No</t>
        </is>
      </c>
      <c r="O1121" s="4" t="inlineStr">
        <is>
          <t>Unattempted</t>
        </is>
      </c>
    </row>
    <row r="1122">
      <c r="A1122" s="2" t="inlineStr">
        <is>
          <t>Interview Questions</t>
        </is>
      </c>
      <c r="B1122" s="2" t="inlineStr">
        <is>
          <t>React Advanced Interview Questions</t>
        </is>
      </c>
      <c r="C1122" s="2" t="inlineStr">
        <is>
          <t>Revise important Advanced React concepts with these interview questions and exercises. Attempt these 25 MCQs and Coding problems to practice Advanced React.</t>
        </is>
      </c>
      <c r="D1122" s="2" t="inlineStr">
        <is>
          <t>Coding Questions - Coding Questions</t>
        </is>
      </c>
      <c r="E1122" s="2" t="n">
        <v>23</v>
      </c>
      <c r="F1122" s="2" t="inlineStr">
        <is>
          <t>Component Display - Code Snippet</t>
        </is>
      </c>
      <c r="G1122" s="2" t="inlineStr">
        <is>
          <t>REACTJSMCQ23</t>
        </is>
      </c>
      <c r="H1122" s="2" t="inlineStr"/>
      <c r="I1122" s="2" t="inlineStr">
        <is>
          <t>Easy</t>
        </is>
      </c>
      <c r="J1122" s="3">
        <f>HYPERLINK("https://www.codechef.com/problems/REACTJSMCQ23", "https://www.codechef.com/problems/REACTJSMCQ23")</f>
        <v/>
      </c>
      <c r="K1122" s="2" t="inlineStr"/>
      <c r="L1122" s="2" t="inlineStr"/>
      <c r="M1122" s="2" t="inlineStr"/>
      <c r="N1122" s="2" t="inlineStr">
        <is>
          <t>No</t>
        </is>
      </c>
      <c r="O1122" s="2" t="inlineStr">
        <is>
          <t>Unattempted</t>
        </is>
      </c>
    </row>
    <row r="1123">
      <c r="A1123" s="4" t="inlineStr">
        <is>
          <t>Interview Questions</t>
        </is>
      </c>
      <c r="B1123" s="4" t="inlineStr">
        <is>
          <t>React Advanced Interview Questions</t>
        </is>
      </c>
      <c r="C1123" s="4" t="inlineStr">
        <is>
          <t>Revise important Advanced React concepts with these interview questions and exercises. Attempt these 25 MCQs and Coding problems to practice Advanced React.</t>
        </is>
      </c>
      <c r="D1123" s="4" t="inlineStr">
        <is>
          <t>Coding Questions - Coding Questions</t>
        </is>
      </c>
      <c r="E1123" s="4" t="n">
        <v>24</v>
      </c>
      <c r="F1123" s="4" t="inlineStr">
        <is>
          <t>React Timer with useEffect</t>
        </is>
      </c>
      <c r="G1123" s="4" t="inlineStr">
        <is>
          <t>REACTJSMCQ24</t>
        </is>
      </c>
      <c r="H1123" s="4" t="inlineStr"/>
      <c r="I1123" s="4" t="inlineStr">
        <is>
          <t>Medium</t>
        </is>
      </c>
      <c r="J1123" s="5">
        <f>HYPERLINK("https://www.codechef.com/problems/REACTJSMCQ24", "https://www.codechef.com/problems/REACTJSMCQ24")</f>
        <v/>
      </c>
      <c r="K1123" s="4" t="inlineStr"/>
      <c r="L1123" s="4" t="inlineStr"/>
      <c r="M1123" s="4" t="inlineStr"/>
      <c r="N1123" s="4" t="inlineStr">
        <is>
          <t>No</t>
        </is>
      </c>
      <c r="O1123" s="4" t="inlineStr">
        <is>
          <t>Unattempted</t>
        </is>
      </c>
    </row>
    <row r="1124">
      <c r="A1124" s="2" t="inlineStr">
        <is>
          <t>Interview Questions</t>
        </is>
      </c>
      <c r="B1124" s="2" t="inlineStr">
        <is>
          <t>React Advanced Interview Questions</t>
        </is>
      </c>
      <c r="C1124" s="2" t="inlineStr">
        <is>
          <t>Revise important Advanced React concepts with these interview questions and exercises. Attempt these 25 MCQs and Coding problems to practice Advanced React.</t>
        </is>
      </c>
      <c r="D1124" s="2" t="inlineStr">
        <is>
          <t>Coding Questions - Coding Questions</t>
        </is>
      </c>
      <c r="E1124" s="2" t="n">
        <v>25</v>
      </c>
      <c r="F1124" s="2" t="inlineStr">
        <is>
          <t>Initial State Toggle Button</t>
        </is>
      </c>
      <c r="G1124" s="2" t="inlineStr">
        <is>
          <t>REACTJSMCQ25</t>
        </is>
      </c>
      <c r="H1124" s="2" t="inlineStr"/>
      <c r="I1124" s="2" t="inlineStr">
        <is>
          <t>Easy</t>
        </is>
      </c>
      <c r="J1124" s="3">
        <f>HYPERLINK("https://www.codechef.com/problems/REACTJSMCQ25", "https://www.codechef.com/problems/REACTJSMCQ25")</f>
        <v/>
      </c>
      <c r="K1124" s="2" t="inlineStr"/>
      <c r="L1124" s="2" t="inlineStr"/>
      <c r="M1124" s="2" t="inlineStr"/>
      <c r="N1124" s="2" t="inlineStr">
        <is>
          <t>No</t>
        </is>
      </c>
      <c r="O1124" s="2" t="inlineStr">
        <is>
          <t>Unattempted</t>
        </is>
      </c>
    </row>
    <row r="1125">
      <c r="A1125" s="4" t="inlineStr">
        <is>
          <t>Interview Questions</t>
        </is>
      </c>
      <c r="B1125" s="4" t="inlineStr">
        <is>
          <t>Python Developer Interview Preparation</t>
        </is>
      </c>
      <c r="C1125" s="4" t="inlineStr">
        <is>
          <t>Prepare for freshers interviews for Python developer roles. Practice your responses for commonly asked Interview questions.</t>
        </is>
      </c>
      <c r="D1125" s="4" t="inlineStr">
        <is>
          <t>Python Fundamentals - Python Fundamentals</t>
        </is>
      </c>
      <c r="E1125" s="4" t="n">
        <v>1</v>
      </c>
      <c r="F1125" s="4" t="inlineStr">
        <is>
          <t>Lists vs. Tuples</t>
        </is>
      </c>
      <c r="G1125" s="4" t="inlineStr">
        <is>
          <t>SHRTPROB90</t>
        </is>
      </c>
      <c r="H1125" s="4" t="inlineStr"/>
      <c r="I1125" s="4" t="inlineStr">
        <is>
          <t>Easy</t>
        </is>
      </c>
      <c r="J1125" s="5">
        <f>HYPERLINK("https://www.codechef.com/problems/SHRTPROB90", "https://www.codechef.com/problems/SHRTPROB90")</f>
        <v/>
      </c>
      <c r="K1125" s="4" t="inlineStr"/>
      <c r="L1125" s="4" t="inlineStr"/>
      <c r="M1125" s="4" t="inlineStr"/>
      <c r="N1125" s="4" t="inlineStr">
        <is>
          <t>No</t>
        </is>
      </c>
      <c r="O1125" s="4" t="inlineStr">
        <is>
          <t>Unattempted</t>
        </is>
      </c>
    </row>
    <row r="1126">
      <c r="A1126" s="2" t="inlineStr">
        <is>
          <t>Interview Questions</t>
        </is>
      </c>
      <c r="B1126" s="2" t="inlineStr">
        <is>
          <t>Python Developer Interview Preparation</t>
        </is>
      </c>
      <c r="C1126" s="2" t="inlineStr">
        <is>
          <t>Prepare for freshers interviews for Python developer roles. Practice your responses for commonly asked Interview questions.</t>
        </is>
      </c>
      <c r="D1126" s="2" t="inlineStr">
        <is>
          <t>Python Fundamentals - Python Fundamentals</t>
        </is>
      </c>
      <c r="E1126" s="2" t="n">
        <v>2</v>
      </c>
      <c r="F1126" s="2" t="inlineStr">
        <is>
          <t>Concurrency Bottleneck</t>
        </is>
      </c>
      <c r="G1126" s="2" t="inlineStr">
        <is>
          <t>SHRTPROB91</t>
        </is>
      </c>
      <c r="H1126" s="2" t="inlineStr"/>
      <c r="I1126" s="2" t="inlineStr">
        <is>
          <t>Medium</t>
        </is>
      </c>
      <c r="J1126" s="3">
        <f>HYPERLINK("https://www.codechef.com/problems/SHRTPROB91", "https://www.codechef.com/problems/SHRTPROB91")</f>
        <v/>
      </c>
      <c r="K1126" s="2" t="inlineStr"/>
      <c r="L1126" s="2" t="inlineStr"/>
      <c r="M1126" s="2" t="inlineStr"/>
      <c r="N1126" s="2" t="inlineStr">
        <is>
          <t>No</t>
        </is>
      </c>
      <c r="O1126" s="2" t="inlineStr">
        <is>
          <t>Unattempted</t>
        </is>
      </c>
    </row>
    <row r="1127">
      <c r="A1127" s="4" t="inlineStr">
        <is>
          <t>Interview Questions</t>
        </is>
      </c>
      <c r="B1127" s="4" t="inlineStr">
        <is>
          <t>Python Developer Interview Preparation</t>
        </is>
      </c>
      <c r="C1127" s="4" t="inlineStr">
        <is>
          <t>Prepare for freshers interviews for Python developer roles. Practice your responses for commonly asked Interview questions.</t>
        </is>
      </c>
      <c r="D1127" s="4" t="inlineStr">
        <is>
          <t>Python Fundamentals - Python Fundamentals</t>
        </is>
      </c>
      <c r="E1127" s="4" t="n">
        <v>3</v>
      </c>
      <c r="F1127" s="4" t="inlineStr">
        <is>
          <t>Memory Handling Techniques</t>
        </is>
      </c>
      <c r="G1127" s="4" t="inlineStr">
        <is>
          <t>SHRTPROB92</t>
        </is>
      </c>
      <c r="H1127" s="4" t="inlineStr"/>
      <c r="I1127" s="4" t="inlineStr">
        <is>
          <t>Medium</t>
        </is>
      </c>
      <c r="J1127" s="5">
        <f>HYPERLINK("https://www.codechef.com/problems/SHRTPROB92", "https://www.codechef.com/problems/SHRTPROB92")</f>
        <v/>
      </c>
      <c r="K1127" s="4" t="inlineStr"/>
      <c r="L1127" s="4" t="inlineStr"/>
      <c r="M1127" s="4" t="inlineStr"/>
      <c r="N1127" s="4" t="inlineStr">
        <is>
          <t>No</t>
        </is>
      </c>
      <c r="O1127" s="4" t="inlineStr">
        <is>
          <t>Unattempted</t>
        </is>
      </c>
    </row>
    <row r="1128">
      <c r="A1128" s="2" t="inlineStr">
        <is>
          <t>Interview Questions</t>
        </is>
      </c>
      <c r="B1128" s="2" t="inlineStr">
        <is>
          <t>Python Developer Interview Preparation</t>
        </is>
      </c>
      <c r="C1128" s="2" t="inlineStr">
        <is>
          <t>Prepare for freshers interviews for Python developer roles. Practice your responses for commonly asked Interview questions.</t>
        </is>
      </c>
      <c r="D1128" s="2" t="inlineStr">
        <is>
          <t>Python Fundamentals - Python Fundamentals</t>
        </is>
      </c>
      <c r="E1128" s="2" t="n">
        <v>4</v>
      </c>
      <c r="F1128" s="2" t="inlineStr">
        <is>
          <t>Enhanced Functions</t>
        </is>
      </c>
      <c r="G1128" s="2" t="inlineStr">
        <is>
          <t>SHRTPROB93</t>
        </is>
      </c>
      <c r="H1128" s="2" t="inlineStr"/>
      <c r="I1128" s="2" t="inlineStr">
        <is>
          <t>Hard</t>
        </is>
      </c>
      <c r="J1128" s="3">
        <f>HYPERLINK("https://www.codechef.com/problems/SHRTPROB93", "https://www.codechef.com/problems/SHRTPROB93")</f>
        <v/>
      </c>
      <c r="K1128" s="2" t="inlineStr"/>
      <c r="L1128" s="2" t="inlineStr"/>
      <c r="M1128" s="2" t="inlineStr"/>
      <c r="N1128" s="2" t="inlineStr">
        <is>
          <t>No</t>
        </is>
      </c>
      <c r="O1128" s="2" t="inlineStr">
        <is>
          <t>Unattempted</t>
        </is>
      </c>
    </row>
    <row r="1129">
      <c r="A1129" s="4" t="inlineStr">
        <is>
          <t>Interview Questions</t>
        </is>
      </c>
      <c r="B1129" s="4" t="inlineStr">
        <is>
          <t>Python Developer Interview Preparation</t>
        </is>
      </c>
      <c r="C1129" s="4" t="inlineStr">
        <is>
          <t>Prepare for freshers interviews for Python developer roles. Practice your responses for commonly asked Interview questions.</t>
        </is>
      </c>
      <c r="D1129" s="4" t="inlineStr">
        <is>
          <t>Python Fundamentals - Python Fundamentals</t>
        </is>
      </c>
      <c r="E1129" s="4" t="n">
        <v>5</v>
      </c>
      <c r="F1129" s="4" t="inlineStr">
        <is>
          <t>String Duality</t>
        </is>
      </c>
      <c r="G1129" s="4" t="inlineStr">
        <is>
          <t>SHRTPROB94</t>
        </is>
      </c>
      <c r="H1129" s="4" t="inlineStr"/>
      <c r="I1129" s="4" t="inlineStr">
        <is>
          <t>Easy</t>
        </is>
      </c>
      <c r="J1129" s="5">
        <f>HYPERLINK("https://www.codechef.com/problems/SHRTPROB94", "https://www.codechef.com/problems/SHRTPROB94")</f>
        <v/>
      </c>
      <c r="K1129" s="4" t="inlineStr"/>
      <c r="L1129" s="4" t="inlineStr"/>
      <c r="M1129" s="4" t="inlineStr"/>
      <c r="N1129" s="4" t="inlineStr">
        <is>
          <t>No</t>
        </is>
      </c>
      <c r="O1129" s="4" t="inlineStr">
        <is>
          <t>Unattempted</t>
        </is>
      </c>
    </row>
    <row r="1130">
      <c r="A1130" s="2" t="inlineStr">
        <is>
          <t>Interview Questions</t>
        </is>
      </c>
      <c r="B1130" s="2" t="inlineStr">
        <is>
          <t>Python Developer Interview Preparation</t>
        </is>
      </c>
      <c r="C1130" s="2" t="inlineStr">
        <is>
          <t>Prepare for freshers interviews for Python developer roles. Practice your responses for commonly asked Interview questions.</t>
        </is>
      </c>
      <c r="D1130" s="2" t="inlineStr">
        <is>
          <t>Python Fundamentals - Python Fundamentals</t>
        </is>
      </c>
      <c r="E1130" s="2" t="n">
        <v>6</v>
      </c>
      <c r="F1130" s="2" t="inlineStr">
        <is>
          <t>Exception Handling</t>
        </is>
      </c>
      <c r="G1130" s="2" t="inlineStr">
        <is>
          <t>SHRTPROB95</t>
        </is>
      </c>
      <c r="H1130" s="2" t="inlineStr"/>
      <c r="I1130" s="2" t="inlineStr">
        <is>
          <t>Easy</t>
        </is>
      </c>
      <c r="J1130" s="3">
        <f>HYPERLINK("https://www.codechef.com/problems/SHRTPROB95", "https://www.codechef.com/problems/SHRTPROB95")</f>
        <v/>
      </c>
      <c r="K1130" s="2" t="inlineStr"/>
      <c r="L1130" s="2" t="inlineStr"/>
      <c r="M1130" s="2" t="inlineStr"/>
      <c r="N1130" s="2" t="inlineStr">
        <is>
          <t>No</t>
        </is>
      </c>
      <c r="O1130" s="2" t="inlineStr">
        <is>
          <t>Unattempted</t>
        </is>
      </c>
    </row>
    <row r="1131">
      <c r="A1131" s="4" t="inlineStr">
        <is>
          <t>Interview Questions</t>
        </is>
      </c>
      <c r="B1131" s="4" t="inlineStr">
        <is>
          <t>Python Developer Interview Preparation</t>
        </is>
      </c>
      <c r="C1131" s="4" t="inlineStr">
        <is>
          <t>Prepare for freshers interviews for Python developer roles. Practice your responses for commonly asked Interview questions.</t>
        </is>
      </c>
      <c r="D1131" s="4" t="inlineStr">
        <is>
          <t>Python Fundamentals - Python Fundamentals</t>
        </is>
      </c>
      <c r="E1131" s="4" t="n">
        <v>7</v>
      </c>
      <c r="F1131" s="4" t="inlineStr">
        <is>
          <t>Concise Lists</t>
        </is>
      </c>
      <c r="G1131" s="4" t="inlineStr">
        <is>
          <t>SHRTPROB96</t>
        </is>
      </c>
      <c r="H1131" s="4" t="inlineStr"/>
      <c r="I1131" s="4" t="inlineStr">
        <is>
          <t>Easy</t>
        </is>
      </c>
      <c r="J1131" s="5">
        <f>HYPERLINK("https://www.codechef.com/problems/SHRTPROB96", "https://www.codechef.com/problems/SHRTPROB96")</f>
        <v/>
      </c>
      <c r="K1131" s="4" t="inlineStr"/>
      <c r="L1131" s="4" t="inlineStr"/>
      <c r="M1131" s="4" t="inlineStr"/>
      <c r="N1131" s="4" t="inlineStr">
        <is>
          <t>No</t>
        </is>
      </c>
      <c r="O1131" s="4" t="inlineStr">
        <is>
          <t>Unattempted</t>
        </is>
      </c>
    </row>
    <row r="1132">
      <c r="A1132" s="2" t="inlineStr">
        <is>
          <t>Interview Questions</t>
        </is>
      </c>
      <c r="B1132" s="2" t="inlineStr">
        <is>
          <t>Python Developer Interview Preparation</t>
        </is>
      </c>
      <c r="C1132" s="2" t="inlineStr">
        <is>
          <t>Prepare for freshers interviews for Python developer roles. Practice your responses for commonly asked Interview questions.</t>
        </is>
      </c>
      <c r="D1132" s="2" t="inlineStr">
        <is>
          <t>Python Fundamentals - Python Fundamentals</t>
        </is>
      </c>
      <c r="E1132" s="2" t="n">
        <v>8</v>
      </c>
      <c r="F1132" s="2" t="inlineStr">
        <is>
          <t>GenFib</t>
        </is>
      </c>
      <c r="G1132" s="2" t="inlineStr">
        <is>
          <t>SHRTPROB97</t>
        </is>
      </c>
      <c r="H1132" s="2" t="inlineStr"/>
      <c r="I1132" s="2" t="inlineStr">
        <is>
          <t>Medium</t>
        </is>
      </c>
      <c r="J1132" s="3">
        <f>HYPERLINK("https://www.codechef.com/problems/SHRTPROB97", "https://www.codechef.com/problems/SHRTPROB97")</f>
        <v/>
      </c>
      <c r="K1132" s="2" t="inlineStr"/>
      <c r="L1132" s="2" t="inlineStr"/>
      <c r="M1132" s="2" t="inlineStr"/>
      <c r="N1132" s="2" t="inlineStr">
        <is>
          <t>No</t>
        </is>
      </c>
      <c r="O1132" s="2" t="inlineStr">
        <is>
          <t>Unattempted</t>
        </is>
      </c>
    </row>
    <row r="1133">
      <c r="A1133" s="4" t="inlineStr">
        <is>
          <t>Interview Questions</t>
        </is>
      </c>
      <c r="B1133" s="4" t="inlineStr">
        <is>
          <t>Python Developer Interview Preparation</t>
        </is>
      </c>
      <c r="C1133" s="4" t="inlineStr">
        <is>
          <t>Prepare for freshers interviews for Python developer roles. Practice your responses for commonly asked Interview questions.</t>
        </is>
      </c>
      <c r="D1133" s="4" t="inlineStr">
        <is>
          <t>Python Fundamentals - Python Fundamentals</t>
        </is>
      </c>
      <c r="E1133" s="4" t="n">
        <v>9</v>
      </c>
      <c r="F1133" s="4" t="inlineStr">
        <is>
          <t>Memory Management</t>
        </is>
      </c>
      <c r="G1133" s="4" t="inlineStr">
        <is>
          <t>SHRTPROB98</t>
        </is>
      </c>
      <c r="H1133" s="4" t="inlineStr"/>
      <c r="I1133" s="4" t="inlineStr">
        <is>
          <t>Medium</t>
        </is>
      </c>
      <c r="J1133" s="5">
        <f>HYPERLINK("https://www.codechef.com/problems/SHRTPROB98", "https://www.codechef.com/problems/SHRTPROB98")</f>
        <v/>
      </c>
      <c r="K1133" s="4" t="inlineStr"/>
      <c r="L1133" s="4" t="inlineStr"/>
      <c r="M1133" s="4" t="inlineStr"/>
      <c r="N1133" s="4" t="inlineStr">
        <is>
          <t>No</t>
        </is>
      </c>
      <c r="O1133" s="4" t="inlineStr">
        <is>
          <t>Unattempted</t>
        </is>
      </c>
    </row>
    <row r="1134">
      <c r="A1134" s="2" t="inlineStr">
        <is>
          <t>Interview Questions</t>
        </is>
      </c>
      <c r="B1134" s="2" t="inlineStr">
        <is>
          <t>Python Developer Interview Preparation</t>
        </is>
      </c>
      <c r="C1134" s="2" t="inlineStr">
        <is>
          <t>Prepare for freshers interviews for Python developer roles. Practice your responses for commonly asked Interview questions.</t>
        </is>
      </c>
      <c r="D1134" s="2" t="inlineStr">
        <is>
          <t>Python Fundamentals - Python Fundamentals</t>
        </is>
      </c>
      <c r="E1134" s="2" t="n">
        <v>10</v>
      </c>
      <c r="F1134" s="2" t="inlineStr">
        <is>
          <t>Copycat Conundrum</t>
        </is>
      </c>
      <c r="G1134" s="2" t="inlineStr">
        <is>
          <t>SHRTPROB99</t>
        </is>
      </c>
      <c r="H1134" s="2" t="inlineStr"/>
      <c r="I1134" s="2" t="inlineStr">
        <is>
          <t>Easy</t>
        </is>
      </c>
      <c r="J1134" s="3">
        <f>HYPERLINK("https://www.codechef.com/problems/SHRTPROB99", "https://www.codechef.com/problems/SHRTPROB99")</f>
        <v/>
      </c>
      <c r="K1134" s="2" t="inlineStr"/>
      <c r="L1134" s="2" t="inlineStr"/>
      <c r="M1134" s="2" t="inlineStr"/>
      <c r="N1134" s="2" t="inlineStr">
        <is>
          <t>No</t>
        </is>
      </c>
      <c r="O1134" s="2" t="inlineStr">
        <is>
          <t>Unattempted</t>
        </is>
      </c>
    </row>
    <row r="1135">
      <c r="A1135" s="4" t="inlineStr">
        <is>
          <t>Interview Questions</t>
        </is>
      </c>
      <c r="B1135" s="4" t="inlineStr">
        <is>
          <t>Python Developer Interview Preparation</t>
        </is>
      </c>
      <c r="C1135" s="4" t="inlineStr">
        <is>
          <t>Prepare for freshers interviews for Python developer roles. Practice your responses for commonly asked Interview questions.</t>
        </is>
      </c>
      <c r="D1135" s="4" t="inlineStr">
        <is>
          <t>Python Fundamentals - Python Fundamentals</t>
        </is>
      </c>
      <c r="E1135" s="4" t="n">
        <v>11</v>
      </c>
      <c r="F1135" s="4" t="inlineStr">
        <is>
          <t>Inheritance Resolution</t>
        </is>
      </c>
      <c r="G1135" s="4" t="inlineStr">
        <is>
          <t>SHRTPROB100</t>
        </is>
      </c>
      <c r="H1135" s="4" t="inlineStr"/>
      <c r="I1135" s="4" t="inlineStr">
        <is>
          <t>Medium</t>
        </is>
      </c>
      <c r="J1135" s="5">
        <f>HYPERLINK("https://www.codechef.com/problems/SHRTPROB100", "https://www.codechef.com/problems/SHRTPROB100")</f>
        <v/>
      </c>
      <c r="K1135" s="4" t="inlineStr"/>
      <c r="L1135" s="4" t="inlineStr"/>
      <c r="M1135" s="4" t="inlineStr"/>
      <c r="N1135" s="4" t="inlineStr">
        <is>
          <t>No</t>
        </is>
      </c>
      <c r="O1135" s="4" t="inlineStr">
        <is>
          <t>Unattempted</t>
        </is>
      </c>
    </row>
    <row r="1136">
      <c r="A1136" s="2" t="inlineStr">
        <is>
          <t>Interview Questions</t>
        </is>
      </c>
      <c r="B1136" s="2" t="inlineStr">
        <is>
          <t>Python Developer Interview Preparation</t>
        </is>
      </c>
      <c r="C1136" s="2" t="inlineStr">
        <is>
          <t>Prepare for freshers interviews for Python developer roles. Practice your responses for commonly asked Interview questions.</t>
        </is>
      </c>
      <c r="D1136" s="2" t="inlineStr">
        <is>
          <t>Python Fundamentals - Python Fundamentals</t>
        </is>
      </c>
      <c r="E1136" s="2" t="n">
        <v>12</v>
      </c>
      <c r="F1136" s="2" t="inlineStr">
        <is>
          <t>Flexible Functions</t>
        </is>
      </c>
      <c r="G1136" s="2" t="inlineStr">
        <is>
          <t>SHRTPROB101</t>
        </is>
      </c>
      <c r="H1136" s="2" t="inlineStr"/>
      <c r="I1136" s="2" t="inlineStr">
        <is>
          <t>Medium</t>
        </is>
      </c>
      <c r="J1136" s="3">
        <f>HYPERLINK("https://www.codechef.com/problems/SHRTPROB101", "https://www.codechef.com/problems/SHRTPROB101")</f>
        <v/>
      </c>
      <c r="K1136" s="2" t="inlineStr"/>
      <c r="L1136" s="2" t="inlineStr"/>
      <c r="M1136" s="2" t="inlineStr"/>
      <c r="N1136" s="2" t="inlineStr">
        <is>
          <t>No</t>
        </is>
      </c>
      <c r="O1136" s="2" t="inlineStr">
        <is>
          <t>Unattempted</t>
        </is>
      </c>
    </row>
    <row r="1137">
      <c r="A1137" s="4" t="inlineStr">
        <is>
          <t>Interview Questions</t>
        </is>
      </c>
      <c r="B1137" s="4" t="inlineStr">
        <is>
          <t>Python Developer Interview Preparation</t>
        </is>
      </c>
      <c r="C1137" s="4" t="inlineStr">
        <is>
          <t>Prepare for freshers interviews for Python developer roles. Practice your responses for commonly asked Interview questions.</t>
        </is>
      </c>
      <c r="D1137" s="4" t="inlineStr">
        <is>
          <t>Python Fundamentals - Python Fundamentals</t>
        </is>
      </c>
      <c r="E1137" s="4" t="n">
        <v>13</v>
      </c>
      <c r="F1137" s="4" t="inlineStr">
        <is>
          <t>Understanding Metaclasses</t>
        </is>
      </c>
      <c r="G1137" s="4" t="inlineStr">
        <is>
          <t>SHRTPROB102</t>
        </is>
      </c>
      <c r="H1137" s="4" t="inlineStr"/>
      <c r="I1137" s="4" t="inlineStr">
        <is>
          <t>Medium</t>
        </is>
      </c>
      <c r="J1137" s="5">
        <f>HYPERLINK("https://www.codechef.com/problems/SHRTPROB102", "https://www.codechef.com/problems/SHRTPROB102")</f>
        <v/>
      </c>
      <c r="K1137" s="4" t="inlineStr"/>
      <c r="L1137" s="4" t="inlineStr"/>
      <c r="M1137" s="4" t="inlineStr"/>
      <c r="N1137" s="4" t="inlineStr">
        <is>
          <t>No</t>
        </is>
      </c>
      <c r="O1137" s="4" t="inlineStr">
        <is>
          <t>Unattempted</t>
        </is>
      </c>
    </row>
    <row r="1138">
      <c r="A1138" s="2" t="inlineStr">
        <is>
          <t>Interview Questions</t>
        </is>
      </c>
      <c r="B1138" s="2" t="inlineStr">
        <is>
          <t>Python Developer Interview Preparation</t>
        </is>
      </c>
      <c r="C1138" s="2" t="inlineStr">
        <is>
          <t>Prepare for freshers interviews for Python developer roles. Practice your responses for commonly asked Interview questions.</t>
        </is>
      </c>
      <c r="D1138" s="2" t="inlineStr">
        <is>
          <t>Python Fundamentals - Python Fundamentals</t>
        </is>
      </c>
      <c r="E1138" s="2" t="n">
        <v>14</v>
      </c>
      <c r="F1138" s="2" t="inlineStr">
        <is>
          <t>Custom Context</t>
        </is>
      </c>
      <c r="G1138" s="2" t="inlineStr">
        <is>
          <t>SHRTPROB103</t>
        </is>
      </c>
      <c r="H1138" s="2" t="inlineStr"/>
      <c r="I1138" s="2" t="inlineStr">
        <is>
          <t>Medium</t>
        </is>
      </c>
      <c r="J1138" s="3">
        <f>HYPERLINK("https://www.codechef.com/problems/SHRTPROB103", "https://www.codechef.com/problems/SHRTPROB103")</f>
        <v/>
      </c>
      <c r="K1138" s="2" t="inlineStr"/>
      <c r="L1138" s="2" t="inlineStr"/>
      <c r="M1138" s="2" t="inlineStr"/>
      <c r="N1138" s="2" t="inlineStr">
        <is>
          <t>No</t>
        </is>
      </c>
      <c r="O1138" s="2" t="inlineStr">
        <is>
          <t>Unattempted</t>
        </is>
      </c>
    </row>
    <row r="1139">
      <c r="A1139" s="4" t="inlineStr">
        <is>
          <t>Interview Questions</t>
        </is>
      </c>
      <c r="B1139" s="4" t="inlineStr">
        <is>
          <t>Python Developer Interview Preparation</t>
        </is>
      </c>
      <c r="C1139" s="4" t="inlineStr">
        <is>
          <t>Prepare for freshers interviews for Python developer roles. Practice your responses for commonly asked Interview questions.</t>
        </is>
      </c>
      <c r="D1139" s="4" t="inlineStr">
        <is>
          <t>Python Fundamentals - Python Fundamentals</t>
        </is>
      </c>
      <c r="E1139" s="4" t="n">
        <v>15</v>
      </c>
      <c r="F1139" s="4" t="inlineStr">
        <is>
          <t>Code Optimization</t>
        </is>
      </c>
      <c r="G1139" s="4" t="inlineStr">
        <is>
          <t>SHRTPROB104</t>
        </is>
      </c>
      <c r="H1139" s="4" t="inlineStr"/>
      <c r="I1139" s="4" t="inlineStr">
        <is>
          <t>Medium</t>
        </is>
      </c>
      <c r="J1139" s="5">
        <f>HYPERLINK("https://www.codechef.com/problems/SHRTPROB104", "https://www.codechef.com/problems/SHRTPROB104")</f>
        <v/>
      </c>
      <c r="K1139" s="4" t="inlineStr"/>
      <c r="L1139" s="4" t="inlineStr"/>
      <c r="M1139" s="4" t="inlineStr"/>
      <c r="N1139" s="4" t="inlineStr">
        <is>
          <t>No</t>
        </is>
      </c>
      <c r="O1139" s="4" t="inlineStr">
        <is>
          <t>Unattempted</t>
        </is>
      </c>
    </row>
    <row r="1140">
      <c r="A1140" s="2" t="inlineStr">
        <is>
          <t>Interview Questions</t>
        </is>
      </c>
      <c r="B1140" s="2" t="inlineStr">
        <is>
          <t>Python Developer Interview Preparation</t>
        </is>
      </c>
      <c r="C1140" s="2" t="inlineStr">
        <is>
          <t>Prepare for freshers interviews for Python developer roles. Practice your responses for commonly asked Interview questions.</t>
        </is>
      </c>
      <c r="D1140" s="2" t="inlineStr">
        <is>
          <t>Python Fundamentals - Python Fundamentals</t>
        </is>
      </c>
      <c r="E1140" s="2" t="n">
        <v>16</v>
      </c>
      <c r="F1140" s="2" t="inlineStr">
        <is>
          <t>Attribute Access Control</t>
        </is>
      </c>
      <c r="G1140" s="2" t="inlineStr">
        <is>
          <t>SHRTPROB105</t>
        </is>
      </c>
      <c r="H1140" s="2" t="inlineStr"/>
      <c r="I1140" s="2" t="inlineStr">
        <is>
          <t>Medium</t>
        </is>
      </c>
      <c r="J1140" s="3">
        <f>HYPERLINK("https://www.codechef.com/problems/SHRTPROB105", "https://www.codechef.com/problems/SHRTPROB105")</f>
        <v/>
      </c>
      <c r="K1140" s="2" t="inlineStr"/>
      <c r="L1140" s="2" t="inlineStr"/>
      <c r="M1140" s="2" t="inlineStr"/>
      <c r="N1140" s="2" t="inlineStr">
        <is>
          <t>No</t>
        </is>
      </c>
      <c r="O1140" s="2" t="inlineStr">
        <is>
          <t>Unattempted</t>
        </is>
      </c>
    </row>
    <row r="1141">
      <c r="A1141" s="4" t="inlineStr">
        <is>
          <t>Interview Questions</t>
        </is>
      </c>
      <c r="B1141" s="4" t="inlineStr">
        <is>
          <t>Python Developer Interview Preparation</t>
        </is>
      </c>
      <c r="C1141" s="4" t="inlineStr">
        <is>
          <t>Prepare for freshers interviews for Python developer roles. Practice your responses for commonly asked Interview questions.</t>
        </is>
      </c>
      <c r="D1141" s="4" t="inlineStr">
        <is>
          <t>Python Fundamentals - Python Fundamentals</t>
        </is>
      </c>
      <c r="E1141" s="4" t="n">
        <v>17</v>
      </c>
      <c r="F1141" s="4" t="inlineStr">
        <is>
          <t>Identity vs. Equality</t>
        </is>
      </c>
      <c r="G1141" s="4" t="inlineStr">
        <is>
          <t>SHRTPROB106</t>
        </is>
      </c>
      <c r="H1141" s="4" t="inlineStr"/>
      <c r="I1141" s="4" t="inlineStr">
        <is>
          <t>Easy</t>
        </is>
      </c>
      <c r="J1141" s="5">
        <f>HYPERLINK("https://www.codechef.com/problems/SHRTPROB106", "https://www.codechef.com/problems/SHRTPROB106")</f>
        <v/>
      </c>
      <c r="K1141" s="4" t="inlineStr"/>
      <c r="L1141" s="4" t="inlineStr"/>
      <c r="M1141" s="4" t="inlineStr"/>
      <c r="N1141" s="4" t="inlineStr">
        <is>
          <t>No</t>
        </is>
      </c>
      <c r="O1141" s="4" t="inlineStr">
        <is>
          <t>Unattempted</t>
        </is>
      </c>
    </row>
    <row r="1142">
      <c r="A1142" s="2" t="inlineStr">
        <is>
          <t>Interview Questions</t>
        </is>
      </c>
      <c r="B1142" s="2" t="inlineStr">
        <is>
          <t>Python Developer Interview Preparation</t>
        </is>
      </c>
      <c r="C1142" s="2" t="inlineStr">
        <is>
          <t>Prepare for freshers interviews for Python developer roles. Practice your responses for commonly asked Interview questions.</t>
        </is>
      </c>
      <c r="D1142" s="2" t="inlineStr">
        <is>
          <t>Python Fundamentals - Python Fundamentals</t>
        </is>
      </c>
      <c r="E1142" s="2" t="n">
        <v>18</v>
      </c>
      <c r="F1142" s="2" t="inlineStr">
        <is>
          <t>Dynamic Modification</t>
        </is>
      </c>
      <c r="G1142" s="2" t="inlineStr">
        <is>
          <t>SHRTPROB108</t>
        </is>
      </c>
      <c r="H1142" s="2" t="inlineStr"/>
      <c r="I1142" s="2" t="inlineStr">
        <is>
          <t>Medium</t>
        </is>
      </c>
      <c r="J1142" s="3">
        <f>HYPERLINK("https://www.codechef.com/problems/SHRTPROB108", "https://www.codechef.com/problems/SHRTPROB108")</f>
        <v/>
      </c>
      <c r="K1142" s="2" t="inlineStr"/>
      <c r="L1142" s="2" t="inlineStr"/>
      <c r="M1142" s="2" t="inlineStr"/>
      <c r="N1142" s="2" t="inlineStr">
        <is>
          <t>No</t>
        </is>
      </c>
      <c r="O1142" s="2" t="inlineStr">
        <is>
          <t>Unattempted</t>
        </is>
      </c>
    </row>
    <row r="1143">
      <c r="A1143" s="4" t="inlineStr">
        <is>
          <t>Interview Questions</t>
        </is>
      </c>
      <c r="B1143" s="4" t="inlineStr">
        <is>
          <t>Python Developer Interview Preparation</t>
        </is>
      </c>
      <c r="C1143" s="4" t="inlineStr">
        <is>
          <t>Prepare for freshers interviews for Python developer roles. Practice your responses for commonly asked Interview questions.</t>
        </is>
      </c>
      <c r="D1143" s="4" t="inlineStr">
        <is>
          <t>Python Fundamentals - Python Fundamentals</t>
        </is>
      </c>
      <c r="E1143" s="4" t="n">
        <v>19</v>
      </c>
      <c r="F1143" s="4" t="inlineStr">
        <is>
          <t>Static vs. Class</t>
        </is>
      </c>
      <c r="G1143" s="4" t="inlineStr">
        <is>
          <t>SHRTPROB109</t>
        </is>
      </c>
      <c r="H1143" s="4" t="inlineStr"/>
      <c r="I1143" s="4" t="inlineStr">
        <is>
          <t>Medium</t>
        </is>
      </c>
      <c r="J1143" s="5">
        <f>HYPERLINK("https://www.codechef.com/problems/SHRTPROB109", "https://www.codechef.com/problems/SHRTPROB109")</f>
        <v/>
      </c>
      <c r="K1143" s="4" t="inlineStr"/>
      <c r="L1143" s="4" t="inlineStr"/>
      <c r="M1143" s="4" t="inlineStr"/>
      <c r="N1143" s="4" t="inlineStr">
        <is>
          <t>No</t>
        </is>
      </c>
      <c r="O1143" s="4" t="inlineStr">
        <is>
          <t>Unattempted</t>
        </is>
      </c>
    </row>
    <row r="1144">
      <c r="A1144" s="2" t="inlineStr">
        <is>
          <t>Interview Questions</t>
        </is>
      </c>
      <c r="B1144" s="2" t="inlineStr">
        <is>
          <t>Python Developer Interview Preparation</t>
        </is>
      </c>
      <c r="C1144" s="2" t="inlineStr">
        <is>
          <t>Prepare for freshers interviews for Python developer roles. Practice your responses for commonly asked Interview questions.</t>
        </is>
      </c>
      <c r="D1144" s="2" t="inlineStr">
        <is>
          <t>Data structures and Algorithms (Coding problems) - Data structures and Algorithms (Coding problems)</t>
        </is>
      </c>
      <c r="E1144" s="2" t="n">
        <v>20</v>
      </c>
      <c r="F1144" s="2" t="inlineStr">
        <is>
          <t>Find Middle Element of Linked List</t>
        </is>
      </c>
      <c r="G1144" s="2" t="inlineStr">
        <is>
          <t>LLMID</t>
        </is>
      </c>
      <c r="H1144" s="2" t="inlineStr">
        <is>
          <t>1200</t>
        </is>
      </c>
      <c r="I1144" s="2" t="inlineStr">
        <is>
          <t>Easy</t>
        </is>
      </c>
      <c r="J1144" s="3">
        <f>HYPERLINK("https://www.codechef.com/problems/LLMID", "https://www.codechef.com/problems/LLMID")</f>
        <v/>
      </c>
      <c r="K1144" s="2" t="inlineStr"/>
      <c r="L1144" s="2" t="inlineStr"/>
      <c r="M1144" s="2" t="inlineStr"/>
      <c r="N1144" s="2" t="inlineStr">
        <is>
          <t>No</t>
        </is>
      </c>
      <c r="O1144" s="2" t="inlineStr">
        <is>
          <t>Unattempted</t>
        </is>
      </c>
    </row>
    <row r="1145">
      <c r="A1145" s="4" t="inlineStr">
        <is>
          <t>Interview Questions</t>
        </is>
      </c>
      <c r="B1145" s="4" t="inlineStr">
        <is>
          <t>Python Developer Interview Preparation</t>
        </is>
      </c>
      <c r="C1145" s="4" t="inlineStr">
        <is>
          <t>Prepare for freshers interviews for Python developer roles. Practice your responses for commonly asked Interview questions.</t>
        </is>
      </c>
      <c r="D1145" s="4" t="inlineStr">
        <is>
          <t>Data structures and Algorithms (Coding problems) - Data structures and Algorithms (Coding problems)</t>
        </is>
      </c>
      <c r="E1145" s="4" t="n">
        <v>21</v>
      </c>
      <c r="F1145" s="4" t="inlineStr">
        <is>
          <t>Find Next Smaller value in Linked List</t>
        </is>
      </c>
      <c r="G1145" s="4" t="inlineStr">
        <is>
          <t>NSELL</t>
        </is>
      </c>
      <c r="H1145" s="4" t="inlineStr">
        <is>
          <t>1600</t>
        </is>
      </c>
      <c r="I1145" s="4" t="inlineStr">
        <is>
          <t>Medium</t>
        </is>
      </c>
      <c r="J1145" s="5">
        <f>HYPERLINK("https://www.codechef.com/problems/NSELL", "https://www.codechef.com/problems/NSELL")</f>
        <v/>
      </c>
      <c r="K1145" s="4" t="inlineStr"/>
      <c r="L1145" s="4" t="inlineStr"/>
      <c r="M1145" s="4" t="inlineStr"/>
      <c r="N1145" s="4" t="inlineStr">
        <is>
          <t>No</t>
        </is>
      </c>
      <c r="O1145" s="4" t="inlineStr">
        <is>
          <t>Unattempted</t>
        </is>
      </c>
    </row>
    <row r="1146">
      <c r="A1146" s="2" t="inlineStr">
        <is>
          <t>Interview Questions</t>
        </is>
      </c>
      <c r="B1146" s="2" t="inlineStr">
        <is>
          <t>Python Developer Interview Preparation</t>
        </is>
      </c>
      <c r="C1146" s="2" t="inlineStr">
        <is>
          <t>Prepare for freshers interviews for Python developer roles. Practice your responses for commonly asked Interview questions.</t>
        </is>
      </c>
      <c r="D1146" s="2" t="inlineStr">
        <is>
          <t>Data structures and Algorithms (Coding problems) - Data structures and Algorithms (Coding problems)</t>
        </is>
      </c>
      <c r="E1146" s="2" t="n">
        <v>22</v>
      </c>
      <c r="F1146" s="2" t="inlineStr">
        <is>
          <t>Reverse a Linked List</t>
        </is>
      </c>
      <c r="G1146" s="2" t="inlineStr">
        <is>
          <t>RTLL</t>
        </is>
      </c>
      <c r="H1146" s="2" t="inlineStr">
        <is>
          <t>1400</t>
        </is>
      </c>
      <c r="I1146" s="2" t="inlineStr">
        <is>
          <t>Medium</t>
        </is>
      </c>
      <c r="J1146" s="3">
        <f>HYPERLINK("https://www.codechef.com/problems/RTLL", "https://www.codechef.com/problems/RTLL")</f>
        <v/>
      </c>
      <c r="K1146" s="2" t="inlineStr"/>
      <c r="L1146" s="2" t="inlineStr"/>
      <c r="M1146" s="2" t="inlineStr"/>
      <c r="N1146" s="2" t="inlineStr">
        <is>
          <t>No</t>
        </is>
      </c>
      <c r="O1146" s="2" t="inlineStr">
        <is>
          <t>Unattempted</t>
        </is>
      </c>
    </row>
    <row r="1147">
      <c r="A1147" s="4" t="inlineStr">
        <is>
          <t>Interview Questions</t>
        </is>
      </c>
      <c r="B1147" s="4" t="inlineStr">
        <is>
          <t>Python Developer Interview Preparation</t>
        </is>
      </c>
      <c r="C1147" s="4" t="inlineStr">
        <is>
          <t>Prepare for freshers interviews for Python developer roles. Practice your responses for commonly asked Interview questions.</t>
        </is>
      </c>
      <c r="D1147" s="4" t="inlineStr">
        <is>
          <t>Data structures and Algorithms (Coding problems) - Data structures and Algorithms (Coding problems)</t>
        </is>
      </c>
      <c r="E1147" s="4" t="n">
        <v>23</v>
      </c>
      <c r="F1147" s="4" t="inlineStr">
        <is>
          <t>Maximizing LCS</t>
        </is>
      </c>
      <c r="G1147" s="4" t="inlineStr">
        <is>
          <t>MAXLCS</t>
        </is>
      </c>
      <c r="H1147" s="4" t="inlineStr">
        <is>
          <t>1567</t>
        </is>
      </c>
      <c r="I1147" s="4" t="inlineStr">
        <is>
          <t>Medium</t>
        </is>
      </c>
      <c r="J1147" s="5">
        <f>HYPERLINK("https://www.codechef.com/problems/MAXLCS", "https://www.codechef.com/problems/MAXLCS")</f>
        <v/>
      </c>
      <c r="K1147" s="4" t="inlineStr"/>
      <c r="L1147" s="4" t="inlineStr"/>
      <c r="M1147" s="4" t="inlineStr"/>
      <c r="N1147" s="4" t="inlineStr">
        <is>
          <t>No</t>
        </is>
      </c>
      <c r="O1147" s="4" t="inlineStr">
        <is>
          <t>Unattempted</t>
        </is>
      </c>
    </row>
    <row r="1148">
      <c r="A1148" s="2" t="inlineStr">
        <is>
          <t>Interview Questions</t>
        </is>
      </c>
      <c r="B1148" s="2" t="inlineStr">
        <is>
          <t>Python Developer Interview Preparation</t>
        </is>
      </c>
      <c r="C1148" s="2" t="inlineStr">
        <is>
          <t>Prepare for freshers interviews for Python developer roles. Practice your responses for commonly asked Interview questions.</t>
        </is>
      </c>
      <c r="D1148" s="2" t="inlineStr">
        <is>
          <t>Data structures and Algorithms (Coding problems) - Data structures and Algorithms (Coding problems)</t>
        </is>
      </c>
      <c r="E1148" s="2" t="n">
        <v>24</v>
      </c>
      <c r="F1148" s="2" t="inlineStr">
        <is>
          <t>Check Reachability</t>
        </is>
      </c>
      <c r="G1148" s="2" t="inlineStr">
        <is>
          <t>DAA109</t>
        </is>
      </c>
      <c r="H1148" s="2" t="inlineStr">
        <is>
          <t>932</t>
        </is>
      </c>
      <c r="I1148" s="2" t="inlineStr">
        <is>
          <t>Easy</t>
        </is>
      </c>
      <c r="J1148" s="3">
        <f>HYPERLINK("https://www.codechef.com/problems/DAA109", "https://www.codechef.com/problems/DAA109")</f>
        <v/>
      </c>
      <c r="K1148" s="2" t="inlineStr"/>
      <c r="L1148" s="2" t="inlineStr"/>
      <c r="M1148" s="2" t="inlineStr"/>
      <c r="N1148" s="2" t="inlineStr">
        <is>
          <t>No</t>
        </is>
      </c>
      <c r="O1148" s="2" t="inlineStr">
        <is>
          <t>Unattempted</t>
        </is>
      </c>
    </row>
    <row r="1149">
      <c r="A1149" s="4" t="inlineStr">
        <is>
          <t>Interview Questions</t>
        </is>
      </c>
      <c r="B1149" s="4" t="inlineStr">
        <is>
          <t>Python Developer Interview Preparation</t>
        </is>
      </c>
      <c r="C1149" s="4" t="inlineStr">
        <is>
          <t>Prepare for freshers interviews for Python developer roles. Practice your responses for commonly asked Interview questions.</t>
        </is>
      </c>
      <c r="D1149" s="4" t="inlineStr">
        <is>
          <t>Data structures and Algorithms (Coding problems) - Data structures and Algorithms (Coding problems)</t>
        </is>
      </c>
      <c r="E1149" s="4" t="n">
        <v>25</v>
      </c>
      <c r="F1149" s="4" t="inlineStr">
        <is>
          <t>Single Source Shortest Path</t>
        </is>
      </c>
      <c r="G1149" s="4" t="inlineStr">
        <is>
          <t>DAA119</t>
        </is>
      </c>
      <c r="H1149" s="4" t="inlineStr">
        <is>
          <t>932</t>
        </is>
      </c>
      <c r="I1149" s="4" t="inlineStr">
        <is>
          <t>Easy</t>
        </is>
      </c>
      <c r="J1149" s="5">
        <f>HYPERLINK("https://www.codechef.com/problems/DAA119", "https://www.codechef.com/problems/DAA119")</f>
        <v/>
      </c>
      <c r="K1149" s="4" t="inlineStr"/>
      <c r="L1149" s="4" t="inlineStr"/>
      <c r="M1149" s="4" t="inlineStr"/>
      <c r="N1149" s="4" t="inlineStr">
        <is>
          <t>No</t>
        </is>
      </c>
      <c r="O1149" s="4" t="inlineStr">
        <is>
          <t>Unattempted</t>
        </is>
      </c>
    </row>
    <row r="1150">
      <c r="A1150" s="2" t="inlineStr">
        <is>
          <t>Interview Questions</t>
        </is>
      </c>
      <c r="B1150" s="2" t="inlineStr">
        <is>
          <t>Python Developer Interview Preparation</t>
        </is>
      </c>
      <c r="C1150" s="2" t="inlineStr">
        <is>
          <t>Prepare for freshers interviews for Python developer roles. Practice your responses for commonly asked Interview questions.</t>
        </is>
      </c>
      <c r="D1150" s="2" t="inlineStr">
        <is>
          <t>Data structures and Algorithms (Coding problems) - Data structures and Algorithms (Coding problems)</t>
        </is>
      </c>
      <c r="E1150" s="2" t="n">
        <v>26</v>
      </c>
      <c r="F1150" s="2" t="inlineStr">
        <is>
          <t>Implement complete heap</t>
        </is>
      </c>
      <c r="G1150" s="2" t="inlineStr">
        <is>
          <t>HEAP06</t>
        </is>
      </c>
      <c r="H1150" s="2" t="inlineStr"/>
      <c r="I1150" s="2" t="inlineStr">
        <is>
          <t>Medium</t>
        </is>
      </c>
      <c r="J1150" s="3">
        <f>HYPERLINK("https://www.codechef.com/problems/HEAP06", "https://www.codechef.com/problems/HEAP06")</f>
        <v/>
      </c>
      <c r="K1150" s="2" t="inlineStr"/>
      <c r="L1150" s="2" t="inlineStr"/>
      <c r="M1150" s="2" t="inlineStr"/>
      <c r="N1150" s="2" t="inlineStr">
        <is>
          <t>No</t>
        </is>
      </c>
      <c r="O1150" s="2" t="inlineStr">
        <is>
          <t>Unattempted</t>
        </is>
      </c>
    </row>
    <row r="1151">
      <c r="A1151" s="4" t="inlineStr">
        <is>
          <t>Interview Questions</t>
        </is>
      </c>
      <c r="B1151" s="4" t="inlineStr">
        <is>
          <t>Python Developer Interview Preparation</t>
        </is>
      </c>
      <c r="C1151" s="4" t="inlineStr">
        <is>
          <t>Prepare for freshers interviews for Python developer roles. Practice your responses for commonly asked Interview questions.</t>
        </is>
      </c>
      <c r="D1151" s="4" t="inlineStr">
        <is>
          <t>Data structures and Algorithms (Coding problems) - Data structures and Algorithms (Coding problems)</t>
        </is>
      </c>
      <c r="E1151" s="4" t="n">
        <v>27</v>
      </c>
      <c r="F1151" s="4" t="inlineStr">
        <is>
          <t>Queue - To do list</t>
        </is>
      </c>
      <c r="G1151" s="4" t="inlineStr">
        <is>
          <t>QUEUE06</t>
        </is>
      </c>
      <c r="H1151" s="4" t="inlineStr">
        <is>
          <t>932</t>
        </is>
      </c>
      <c r="I1151" s="4" t="inlineStr">
        <is>
          <t>Easy</t>
        </is>
      </c>
      <c r="J1151" s="5">
        <f>HYPERLINK("https://www.codechef.com/problems/QUEUE06", "https://www.codechef.com/problems/QUEUE06")</f>
        <v/>
      </c>
      <c r="K1151" s="4" t="inlineStr"/>
      <c r="L1151" s="4" t="inlineStr"/>
      <c r="M1151" s="4" t="inlineStr"/>
      <c r="N1151" s="4" t="inlineStr">
        <is>
          <t>No</t>
        </is>
      </c>
      <c r="O1151" s="4" t="inlineStr">
        <is>
          <t>Unattempted</t>
        </is>
      </c>
    </row>
    <row r="1152">
      <c r="A1152" s="2" t="inlineStr">
        <is>
          <t>Interview Questions</t>
        </is>
      </c>
      <c r="B1152" s="2" t="inlineStr">
        <is>
          <t>Python Developer Interview Preparation</t>
        </is>
      </c>
      <c r="C1152" s="2" t="inlineStr">
        <is>
          <t>Prepare for freshers interviews for Python developer roles. Practice your responses for commonly asked Interview questions.</t>
        </is>
      </c>
      <c r="D1152" s="2" t="inlineStr">
        <is>
          <t>Data structures and Algorithms (Coding problems) - Data structures and Algorithms (Coding problems)</t>
        </is>
      </c>
      <c r="E1152" s="2" t="n">
        <v>28</v>
      </c>
      <c r="F1152" s="2" t="inlineStr">
        <is>
          <t>Auto-Complete</t>
        </is>
      </c>
      <c r="G1152" s="2" t="inlineStr">
        <is>
          <t>TRIE11</t>
        </is>
      </c>
      <c r="H1152" s="2" t="inlineStr"/>
      <c r="I1152" s="2" t="inlineStr">
        <is>
          <t>Medium</t>
        </is>
      </c>
      <c r="J1152" s="3">
        <f>HYPERLINK("https://www.codechef.com/problems/TRIE11", "https://www.codechef.com/problems/TRIE11")</f>
        <v/>
      </c>
      <c r="K1152" s="2" t="inlineStr"/>
      <c r="L1152" s="2" t="inlineStr"/>
      <c r="M1152" s="2" t="inlineStr"/>
      <c r="N1152" s="2" t="inlineStr">
        <is>
          <t>No</t>
        </is>
      </c>
      <c r="O1152" s="2" t="inlineStr">
        <is>
          <t>Unattempted</t>
        </is>
      </c>
    </row>
    <row r="1153">
      <c r="A1153" s="4" t="inlineStr">
        <is>
          <t>Interview Questions</t>
        </is>
      </c>
      <c r="B1153" s="4" t="inlineStr">
        <is>
          <t>Python Developer Interview Preparation</t>
        </is>
      </c>
      <c r="C1153" s="4" t="inlineStr">
        <is>
          <t>Prepare for freshers interviews for Python developer roles. Practice your responses for commonly asked Interview questions.</t>
        </is>
      </c>
      <c r="D1153" s="4" t="inlineStr">
        <is>
          <t>Data structures and Algorithms (Coding problems) - Data structures and Algorithms (Coding problems)</t>
        </is>
      </c>
      <c r="E1153" s="4" t="n">
        <v>29</v>
      </c>
      <c r="F1153" s="4" t="inlineStr">
        <is>
          <t>PreOrder Traversal</t>
        </is>
      </c>
      <c r="G1153" s="4" t="inlineStr">
        <is>
          <t>BTPREORDER</t>
        </is>
      </c>
      <c r="H1153" s="4" t="inlineStr"/>
      <c r="I1153" s="4" t="inlineStr">
        <is>
          <t>Easy</t>
        </is>
      </c>
      <c r="J1153" s="5">
        <f>HYPERLINK("https://www.codechef.com/problems/BTPREORDER", "https://www.codechef.com/problems/BTPREORDER")</f>
        <v/>
      </c>
      <c r="K1153" s="4" t="inlineStr"/>
      <c r="L1153" s="4" t="inlineStr"/>
      <c r="M1153" s="4" t="inlineStr"/>
      <c r="N1153" s="4" t="inlineStr">
        <is>
          <t>No</t>
        </is>
      </c>
      <c r="O1153" s="4" t="inlineStr">
        <is>
          <t>Unattempted</t>
        </is>
      </c>
    </row>
    <row r="1154">
      <c r="A1154" s="2" t="inlineStr">
        <is>
          <t>Interview Questions</t>
        </is>
      </c>
      <c r="B1154" s="2" t="inlineStr">
        <is>
          <t>Python Developer Interview Preparation</t>
        </is>
      </c>
      <c r="C1154" s="2" t="inlineStr">
        <is>
          <t>Prepare for freshers interviews for Python developer roles. Practice your responses for commonly asked Interview questions.</t>
        </is>
      </c>
      <c r="D1154" s="2" t="inlineStr">
        <is>
          <t>Data structures and Algorithms (Coding problems) - Data structures and Algorithms (Coding problems)</t>
        </is>
      </c>
      <c r="E1154" s="2" t="n">
        <v>30</v>
      </c>
      <c r="F1154" s="2" t="inlineStr">
        <is>
          <t>Kth Largest Node in BST</t>
        </is>
      </c>
      <c r="G1154" s="2" t="inlineStr">
        <is>
          <t>BSTKTHMAX</t>
        </is>
      </c>
      <c r="H1154" s="2" t="inlineStr"/>
      <c r="I1154" s="2" t="inlineStr">
        <is>
          <t>Medium</t>
        </is>
      </c>
      <c r="J1154" s="3">
        <f>HYPERLINK("https://www.codechef.com/problems/BSTKTHMAX", "https://www.codechef.com/problems/BSTKTHMAX")</f>
        <v/>
      </c>
      <c r="K1154" s="2" t="inlineStr"/>
      <c r="L1154" s="2" t="inlineStr"/>
      <c r="M1154" s="2" t="inlineStr"/>
      <c r="N1154" s="2" t="inlineStr">
        <is>
          <t>No</t>
        </is>
      </c>
      <c r="O1154" s="2" t="inlineStr">
        <is>
          <t>Unattempted</t>
        </is>
      </c>
    </row>
    <row r="1155">
      <c r="A1155" s="4" t="inlineStr">
        <is>
          <t>Interview Questions</t>
        </is>
      </c>
      <c r="B1155" s="4" t="inlineStr">
        <is>
          <t>Python Developer Interview Preparation</t>
        </is>
      </c>
      <c r="C1155" s="4" t="inlineStr">
        <is>
          <t>Prepare for freshers interviews for Python developer roles. Practice your responses for commonly asked Interview questions.</t>
        </is>
      </c>
      <c r="D1155" s="4" t="inlineStr">
        <is>
          <t>Data structures and Algorithms (Coding problems) - Data structures and Algorithms (Coding problems)</t>
        </is>
      </c>
      <c r="E1155" s="4" t="n">
        <v>31</v>
      </c>
      <c r="F1155" s="4" t="inlineStr">
        <is>
          <t>Complete the implementation</t>
        </is>
      </c>
      <c r="G1155" s="4" t="inlineStr">
        <is>
          <t>SESO43</t>
        </is>
      </c>
      <c r="H1155" s="4" t="inlineStr"/>
      <c r="I1155" s="4" t="inlineStr">
        <is>
          <t>Hard</t>
        </is>
      </c>
      <c r="J1155" s="5">
        <f>HYPERLINK("https://www.codechef.com/problems/SESO43", "https://www.codechef.com/problems/SESO43")</f>
        <v/>
      </c>
      <c r="K1155" s="4" t="inlineStr"/>
      <c r="L1155" s="4" t="inlineStr"/>
      <c r="M1155" s="4" t="inlineStr"/>
      <c r="N1155" s="4" t="inlineStr">
        <is>
          <t>No</t>
        </is>
      </c>
      <c r="O1155" s="4" t="inlineStr">
        <is>
          <t>Unattempted</t>
        </is>
      </c>
    </row>
    <row r="1156">
      <c r="A1156" s="2" t="inlineStr">
        <is>
          <t>Interview Questions</t>
        </is>
      </c>
      <c r="B1156" s="2" t="inlineStr">
        <is>
          <t>Python Developer Interview Preparation</t>
        </is>
      </c>
      <c r="C1156" s="2" t="inlineStr">
        <is>
          <t>Prepare for freshers interviews for Python developer roles. Practice your responses for commonly asked Interview questions.</t>
        </is>
      </c>
      <c r="D1156" s="2" t="inlineStr">
        <is>
          <t>Data structures and Algorithms (Coding problems) - Data structures and Algorithms (Coding problems)</t>
        </is>
      </c>
      <c r="E1156" s="2" t="n">
        <v>32</v>
      </c>
      <c r="F1156" s="2" t="inlineStr">
        <is>
          <t>Count Pairs</t>
        </is>
      </c>
      <c r="G1156" s="2" t="inlineStr">
        <is>
          <t>DSAPROB15</t>
        </is>
      </c>
      <c r="H1156" s="2" t="inlineStr"/>
      <c r="I1156" s="2" t="inlineStr">
        <is>
          <t>Medium</t>
        </is>
      </c>
      <c r="J1156" s="3">
        <f>HYPERLINK("https://www.codechef.com/problems/DSAPROB15", "https://www.codechef.com/problems/DSAPROB15")</f>
        <v/>
      </c>
      <c r="K1156" s="2" t="inlineStr"/>
      <c r="L1156" s="2" t="inlineStr"/>
      <c r="M1156" s="2" t="inlineStr"/>
      <c r="N1156" s="2" t="inlineStr">
        <is>
          <t>No</t>
        </is>
      </c>
      <c r="O1156" s="2" t="inlineStr">
        <is>
          <t>Unattempted</t>
        </is>
      </c>
    </row>
    <row r="1157">
      <c r="A1157" s="4" t="inlineStr">
        <is>
          <t>Interview Questions</t>
        </is>
      </c>
      <c r="B1157" s="4" t="inlineStr">
        <is>
          <t>Python Developer Interview Preparation</t>
        </is>
      </c>
      <c r="C1157" s="4" t="inlineStr">
        <is>
          <t>Prepare for freshers interviews for Python developer roles. Practice your responses for commonly asked Interview questions.</t>
        </is>
      </c>
      <c r="D1157" s="4" t="inlineStr">
        <is>
          <t>Data structures and Algorithms (Coding problems) - Data structures and Algorithms (Coding problems)</t>
        </is>
      </c>
      <c r="E1157" s="4" t="n">
        <v>33</v>
      </c>
      <c r="F1157" s="4" t="inlineStr">
        <is>
          <t>Count Beautiful Pairs</t>
        </is>
      </c>
      <c r="G1157" s="4" t="inlineStr">
        <is>
          <t>DSAAGP58</t>
        </is>
      </c>
      <c r="H1157" s="4" t="inlineStr">
        <is>
          <t>932</t>
        </is>
      </c>
      <c r="I1157" s="4" t="inlineStr">
        <is>
          <t>Easy</t>
        </is>
      </c>
      <c r="J1157" s="5">
        <f>HYPERLINK("https://www.codechef.com/problems/DSAAGP58", "https://www.codechef.com/problems/DSAAGP58")</f>
        <v/>
      </c>
      <c r="K1157" s="4" t="inlineStr"/>
      <c r="L1157" s="4" t="inlineStr"/>
      <c r="M1157" s="4" t="inlineStr"/>
      <c r="N1157" s="4" t="inlineStr">
        <is>
          <t>No</t>
        </is>
      </c>
      <c r="O1157" s="4" t="inlineStr">
        <is>
          <t>Unattempted</t>
        </is>
      </c>
    </row>
    <row r="1158">
      <c r="A1158" s="2" t="inlineStr">
        <is>
          <t>Interview Questions</t>
        </is>
      </c>
      <c r="B1158" s="2" t="inlineStr">
        <is>
          <t>Python Developer Interview Preparation</t>
        </is>
      </c>
      <c r="C1158" s="2" t="inlineStr">
        <is>
          <t>Prepare for freshers interviews for Python developer roles. Practice your responses for commonly asked Interview questions.</t>
        </is>
      </c>
      <c r="D1158" s="2" t="inlineStr">
        <is>
          <t>Data structures and Algorithms (Coding problems) - Data structures and Algorithms (Coding problems)</t>
        </is>
      </c>
      <c r="E1158" s="2" t="n">
        <v>34</v>
      </c>
      <c r="F1158" s="2" t="inlineStr">
        <is>
          <t>Binary Search</t>
        </is>
      </c>
      <c r="G1158" s="2" t="inlineStr">
        <is>
          <t>DSAAGP1093</t>
        </is>
      </c>
      <c r="H1158" s="2" t="inlineStr">
        <is>
          <t>932</t>
        </is>
      </c>
      <c r="I1158" s="2" t="inlineStr">
        <is>
          <t>Easy</t>
        </is>
      </c>
      <c r="J1158" s="3">
        <f>HYPERLINK("https://www.codechef.com/problems/DSAAGP1093", "https://www.codechef.com/problems/DSAAGP1093")</f>
        <v/>
      </c>
      <c r="K1158" s="2" t="inlineStr"/>
      <c r="L1158" s="2" t="inlineStr"/>
      <c r="M1158" s="2" t="inlineStr"/>
      <c r="N1158" s="2" t="inlineStr">
        <is>
          <t>No</t>
        </is>
      </c>
      <c r="O1158" s="2" t="inlineStr">
        <is>
          <t>Unattempted</t>
        </is>
      </c>
    </row>
    <row r="1159">
      <c r="A1159" s="4" t="inlineStr">
        <is>
          <t>Interview Questions</t>
        </is>
      </c>
      <c r="B1159" s="4" t="inlineStr">
        <is>
          <t>Python Developer Interview Preparation</t>
        </is>
      </c>
      <c r="C1159" s="4" t="inlineStr">
        <is>
          <t>Prepare for freshers interviews for Python developer roles. Practice your responses for commonly asked Interview questions.</t>
        </is>
      </c>
      <c r="D1159" s="4" t="inlineStr">
        <is>
          <t>Data structures and Algorithms (Coding problems) - Data structures and Algorithms (Coding problems)</t>
        </is>
      </c>
      <c r="E1159" s="4" t="n">
        <v>35</v>
      </c>
      <c r="F1159" s="4" t="inlineStr">
        <is>
          <t>Valid Parenthesis</t>
        </is>
      </c>
      <c r="G1159" s="4" t="inlineStr">
        <is>
          <t>DSAAGP119A</t>
        </is>
      </c>
      <c r="H1159" s="4" t="inlineStr">
        <is>
          <t>932</t>
        </is>
      </c>
      <c r="I1159" s="4" t="inlineStr">
        <is>
          <t>Easy</t>
        </is>
      </c>
      <c r="J1159" s="5">
        <f>HYPERLINK("https://www.codechef.com/problems/DSAAGP119A", "https://www.codechef.com/problems/DSAAGP119A")</f>
        <v/>
      </c>
      <c r="K1159" s="4" t="inlineStr"/>
      <c r="L1159" s="4" t="inlineStr"/>
      <c r="M1159" s="4" t="inlineStr"/>
      <c r="N1159" s="4" t="inlineStr">
        <is>
          <t>No</t>
        </is>
      </c>
      <c r="O1159" s="4" t="inlineStr">
        <is>
          <t>Unattempted</t>
        </is>
      </c>
    </row>
    <row r="1160">
      <c r="A1160" s="2" t="inlineStr">
        <is>
          <t>Interview Questions</t>
        </is>
      </c>
      <c r="B1160" s="2" t="inlineStr">
        <is>
          <t>Python Developer Interview Preparation</t>
        </is>
      </c>
      <c r="C1160" s="2" t="inlineStr">
        <is>
          <t>Prepare for freshers interviews for Python developer roles. Practice your responses for commonly asked Interview questions.</t>
        </is>
      </c>
      <c r="D1160" s="2" t="inlineStr">
        <is>
          <t>Database and SQL - Database and SQL</t>
        </is>
      </c>
      <c r="E1160" s="2" t="n">
        <v>36</v>
      </c>
      <c r="F1160" s="2" t="inlineStr">
        <is>
          <t>Join Types Explained</t>
        </is>
      </c>
      <c r="G1160" s="2" t="inlineStr">
        <is>
          <t>SHRTPROB120</t>
        </is>
      </c>
      <c r="H1160" s="2" t="inlineStr"/>
      <c r="I1160" s="2" t="inlineStr">
        <is>
          <t>Easy</t>
        </is>
      </c>
      <c r="J1160" s="3">
        <f>HYPERLINK("https://www.codechef.com/problems/SHRTPROB120", "https://www.codechef.com/problems/SHRTPROB120")</f>
        <v/>
      </c>
      <c r="K1160" s="2" t="inlineStr"/>
      <c r="L1160" s="2" t="inlineStr"/>
      <c r="M1160" s="2" t="inlineStr"/>
      <c r="N1160" s="2" t="inlineStr">
        <is>
          <t>No</t>
        </is>
      </c>
      <c r="O1160" s="2" t="inlineStr">
        <is>
          <t>Unattempted</t>
        </is>
      </c>
    </row>
    <row r="1161">
      <c r="A1161" s="4" t="inlineStr">
        <is>
          <t>Interview Questions</t>
        </is>
      </c>
      <c r="B1161" s="4" t="inlineStr">
        <is>
          <t>Python Developer Interview Preparation</t>
        </is>
      </c>
      <c r="C1161" s="4" t="inlineStr">
        <is>
          <t>Prepare for freshers interviews for Python developer roles. Practice your responses for commonly asked Interview questions.</t>
        </is>
      </c>
      <c r="D1161" s="4" t="inlineStr">
        <is>
          <t>Database and SQL - Database and SQL</t>
        </is>
      </c>
      <c r="E1161" s="4" t="n">
        <v>37</v>
      </c>
      <c r="F1161" s="4" t="inlineStr">
        <is>
          <t>Project - Distinct with name pattern</t>
        </is>
      </c>
      <c r="G1161" s="4" t="inlineStr">
        <is>
          <t>GSQ35</t>
        </is>
      </c>
      <c r="H1161" s="4" t="inlineStr"/>
      <c r="I1161" s="4" t="inlineStr">
        <is>
          <t>Easy</t>
        </is>
      </c>
      <c r="J1161" s="5">
        <f>HYPERLINK("https://www.codechef.com/problems/GSQ35", "https://www.codechef.com/problems/GSQ35")</f>
        <v/>
      </c>
      <c r="K1161" s="4" t="inlineStr"/>
      <c r="L1161" s="4" t="inlineStr"/>
      <c r="M1161" s="4" t="inlineStr"/>
      <c r="N1161" s="4" t="inlineStr">
        <is>
          <t>No</t>
        </is>
      </c>
      <c r="O1161" s="4" t="inlineStr">
        <is>
          <t>Unattempted</t>
        </is>
      </c>
    </row>
    <row r="1162">
      <c r="A1162" s="2" t="inlineStr">
        <is>
          <t>Interview Questions</t>
        </is>
      </c>
      <c r="B1162" s="2" t="inlineStr">
        <is>
          <t>Python Developer Interview Preparation</t>
        </is>
      </c>
      <c r="C1162" s="2" t="inlineStr">
        <is>
          <t>Prepare for freshers interviews for Python developer roles. Practice your responses for commonly asked Interview questions.</t>
        </is>
      </c>
      <c r="D1162" s="2" t="inlineStr">
        <is>
          <t>Database and SQL - Database and SQL</t>
        </is>
      </c>
      <c r="E1162" s="2" t="n">
        <v>38</v>
      </c>
      <c r="F1162" s="2" t="inlineStr">
        <is>
          <t>Query Tuning</t>
        </is>
      </c>
      <c r="G1162" s="2" t="inlineStr">
        <is>
          <t>SHRTPROB121</t>
        </is>
      </c>
      <c r="H1162" s="2" t="inlineStr"/>
      <c r="I1162" s="2" t="inlineStr">
        <is>
          <t>Medium</t>
        </is>
      </c>
      <c r="J1162" s="3">
        <f>HYPERLINK("https://www.codechef.com/problems/SHRTPROB121", "https://www.codechef.com/problems/SHRTPROB121")</f>
        <v/>
      </c>
      <c r="K1162" s="2" t="inlineStr"/>
      <c r="L1162" s="2" t="inlineStr"/>
      <c r="M1162" s="2" t="inlineStr"/>
      <c r="N1162" s="2" t="inlineStr">
        <is>
          <t>No</t>
        </is>
      </c>
      <c r="O1162" s="2" t="inlineStr">
        <is>
          <t>Unattempted</t>
        </is>
      </c>
    </row>
    <row r="1163">
      <c r="A1163" s="4" t="inlineStr">
        <is>
          <t>Interview Questions</t>
        </is>
      </c>
      <c r="B1163" s="4" t="inlineStr">
        <is>
          <t>Python Developer Interview Preparation</t>
        </is>
      </c>
      <c r="C1163" s="4" t="inlineStr">
        <is>
          <t>Prepare for freshers interviews for Python developer roles. Practice your responses for commonly asked Interview questions.</t>
        </is>
      </c>
      <c r="D1163" s="4" t="inlineStr">
        <is>
          <t>Database and SQL - Database and SQL</t>
        </is>
      </c>
      <c r="E1163" s="4" t="n">
        <v>39</v>
      </c>
      <c r="F1163" s="4" t="inlineStr">
        <is>
          <t>Task-8  Patients Treated in Multiple Departments</t>
        </is>
      </c>
      <c r="G1163" s="4" t="inlineStr">
        <is>
          <t>ASQLPR109</t>
        </is>
      </c>
      <c r="H1163" s="4" t="inlineStr"/>
      <c r="I1163" s="4" t="inlineStr">
        <is>
          <t>Medium</t>
        </is>
      </c>
      <c r="J1163" s="5">
        <f>HYPERLINK("https://www.codechef.com/problems/ASQLPR109", "https://www.codechef.com/problems/ASQLPR109")</f>
        <v/>
      </c>
      <c r="K1163" s="4" t="inlineStr"/>
      <c r="L1163" s="4" t="inlineStr"/>
      <c r="M1163" s="4" t="inlineStr"/>
      <c r="N1163" s="4" t="inlineStr">
        <is>
          <t>No</t>
        </is>
      </c>
      <c r="O1163" s="4" t="inlineStr">
        <is>
          <t>Unattempted</t>
        </is>
      </c>
    </row>
    <row r="1164">
      <c r="A1164" s="2" t="inlineStr">
        <is>
          <t>Interview Questions</t>
        </is>
      </c>
      <c r="B1164" s="2" t="inlineStr">
        <is>
          <t>Python Developer Interview Preparation</t>
        </is>
      </c>
      <c r="C1164" s="2" t="inlineStr">
        <is>
          <t>Prepare for freshers interviews for Python developer roles. Practice your responses for commonly asked Interview questions.</t>
        </is>
      </c>
      <c r="D1164" s="2" t="inlineStr">
        <is>
          <t>Database and SQL - Database and SQL</t>
        </is>
      </c>
      <c r="E1164" s="2" t="n">
        <v>40</v>
      </c>
      <c r="F1164" s="2" t="inlineStr">
        <is>
          <t>Normalization Types</t>
        </is>
      </c>
      <c r="G1164" s="2" t="inlineStr">
        <is>
          <t>SHRTPROB122</t>
        </is>
      </c>
      <c r="H1164" s="2" t="inlineStr"/>
      <c r="I1164" s="2" t="inlineStr">
        <is>
          <t>Medium</t>
        </is>
      </c>
      <c r="J1164" s="3">
        <f>HYPERLINK("https://www.codechef.com/problems/SHRTPROB122", "https://www.codechef.com/problems/SHRTPROB122")</f>
        <v/>
      </c>
      <c r="K1164" s="2" t="inlineStr"/>
      <c r="L1164" s="2" t="inlineStr"/>
      <c r="M1164" s="2" t="inlineStr"/>
      <c r="N1164" s="2" t="inlineStr">
        <is>
          <t>No</t>
        </is>
      </c>
      <c r="O1164" s="2" t="inlineStr">
        <is>
          <t>Unattempted</t>
        </is>
      </c>
    </row>
    <row r="1165">
      <c r="A1165" s="4" t="inlineStr">
        <is>
          <t>Interview Questions</t>
        </is>
      </c>
      <c r="B1165" s="4" t="inlineStr">
        <is>
          <t>Python Developer Interview Preparation</t>
        </is>
      </c>
      <c r="C1165" s="4" t="inlineStr">
        <is>
          <t>Prepare for freshers interviews for Python developer roles. Practice your responses for commonly asked Interview questions.</t>
        </is>
      </c>
      <c r="D1165" s="4" t="inlineStr">
        <is>
          <t>Database and SQL - Database and SQL</t>
        </is>
      </c>
      <c r="E1165" s="4" t="n">
        <v>41</v>
      </c>
      <c r="F1165" s="4" t="inlineStr">
        <is>
          <t>Task-10  Get Treatment Feedback from Patients</t>
        </is>
      </c>
      <c r="G1165" s="4" t="inlineStr">
        <is>
          <t>ASQLPR111</t>
        </is>
      </c>
      <c r="H1165" s="4" t="inlineStr"/>
      <c r="I1165" s="4" t="inlineStr">
        <is>
          <t>Easy</t>
        </is>
      </c>
      <c r="J1165" s="5">
        <f>HYPERLINK("https://www.codechef.com/problems/ASQLPR111", "https://www.codechef.com/problems/ASQLPR111")</f>
        <v/>
      </c>
      <c r="K1165" s="4" t="inlineStr"/>
      <c r="L1165" s="4" t="inlineStr"/>
      <c r="M1165" s="4" t="inlineStr"/>
      <c r="N1165" s="4" t="inlineStr">
        <is>
          <t>No</t>
        </is>
      </c>
      <c r="O1165" s="4" t="inlineStr">
        <is>
          <t>Unattempted</t>
        </is>
      </c>
    </row>
    <row r="1166">
      <c r="A1166" s="2" t="inlineStr">
        <is>
          <t>Interview Questions</t>
        </is>
      </c>
      <c r="B1166" s="2" t="inlineStr">
        <is>
          <t>Python Developer Interview Preparation</t>
        </is>
      </c>
      <c r="C1166" s="2" t="inlineStr">
        <is>
          <t>Prepare for freshers interviews for Python developer roles. Practice your responses for commonly asked Interview questions.</t>
        </is>
      </c>
      <c r="D1166" s="2" t="inlineStr">
        <is>
          <t>Database and SQL - Database and SQL</t>
        </is>
      </c>
      <c r="E1166" s="2" t="n">
        <v>42</v>
      </c>
      <c r="F1166" s="2" t="inlineStr">
        <is>
          <t>Database Pillars</t>
        </is>
      </c>
      <c r="G1166" s="2" t="inlineStr">
        <is>
          <t>SHRTPROB124</t>
        </is>
      </c>
      <c r="H1166" s="2" t="inlineStr"/>
      <c r="I1166" s="2" t="inlineStr">
        <is>
          <t>Medium</t>
        </is>
      </c>
      <c r="J1166" s="3">
        <f>HYPERLINK("https://www.codechef.com/problems/SHRTPROB124", "https://www.codechef.com/problems/SHRTPROB124")</f>
        <v/>
      </c>
      <c r="K1166" s="2" t="inlineStr"/>
      <c r="L1166" s="2" t="inlineStr"/>
      <c r="M1166" s="2" t="inlineStr"/>
      <c r="N1166" s="2" t="inlineStr">
        <is>
          <t>No</t>
        </is>
      </c>
      <c r="O1166" s="2" t="inlineStr">
        <is>
          <t>Unattempted</t>
        </is>
      </c>
    </row>
    <row r="1167">
      <c r="A1167" s="4" t="inlineStr">
        <is>
          <t>Interview Questions</t>
        </is>
      </c>
      <c r="B1167" s="4" t="inlineStr">
        <is>
          <t>Python Developer Interview Preparation</t>
        </is>
      </c>
      <c r="C1167" s="4" t="inlineStr">
        <is>
          <t>Prepare for freshers interviews for Python developer roles. Practice your responses for commonly asked Interview questions.</t>
        </is>
      </c>
      <c r="D1167" s="4" t="inlineStr">
        <is>
          <t>Database and SQL - Database and SQL</t>
        </is>
      </c>
      <c r="E1167" s="4" t="n">
        <v>43</v>
      </c>
      <c r="F1167" s="4" t="inlineStr">
        <is>
          <t>Task-3C Data Retrieval Using Queries</t>
        </is>
      </c>
      <c r="G1167" s="4" t="inlineStr">
        <is>
          <t>RSMSPR03C</t>
        </is>
      </c>
      <c r="H1167" s="4" t="inlineStr"/>
      <c r="I1167" s="4" t="inlineStr">
        <is>
          <t>Easy</t>
        </is>
      </c>
      <c r="J1167" s="5">
        <f>HYPERLINK("https://www.codechef.com/problems/RSMSPR03C", "https://www.codechef.com/problems/RSMSPR03C")</f>
        <v/>
      </c>
      <c r="K1167" s="4" t="inlineStr"/>
      <c r="L1167" s="4" t="inlineStr"/>
      <c r="M1167" s="4" t="inlineStr"/>
      <c r="N1167" s="4" t="inlineStr">
        <is>
          <t>No</t>
        </is>
      </c>
      <c r="O1167" s="4" t="inlineStr">
        <is>
          <t>Unattempted</t>
        </is>
      </c>
    </row>
    <row r="1168">
      <c r="A1168" s="2" t="inlineStr">
        <is>
          <t>Interview Questions</t>
        </is>
      </c>
      <c r="B1168" s="2" t="inlineStr">
        <is>
          <t>Python Developer Interview Preparation</t>
        </is>
      </c>
      <c r="C1168" s="2" t="inlineStr">
        <is>
          <t>Prepare for freshers interviews for Python developer roles. Practice your responses for commonly asked Interview questions.</t>
        </is>
      </c>
      <c r="D1168" s="2" t="inlineStr">
        <is>
          <t>Database and SQL - Database and SQL</t>
        </is>
      </c>
      <c r="E1168" s="2" t="n">
        <v>44</v>
      </c>
      <c r="F1168" s="2" t="inlineStr">
        <is>
          <t>Filtering Differences</t>
        </is>
      </c>
      <c r="G1168" s="2" t="inlineStr">
        <is>
          <t>SHRTPROB125</t>
        </is>
      </c>
      <c r="H1168" s="2" t="inlineStr"/>
      <c r="I1168" s="2" t="inlineStr">
        <is>
          <t>Medium</t>
        </is>
      </c>
      <c r="J1168" s="3">
        <f>HYPERLINK("https://www.codechef.com/problems/SHRTPROB125", "https://www.codechef.com/problems/SHRTPROB125")</f>
        <v/>
      </c>
      <c r="K1168" s="2" t="inlineStr"/>
      <c r="L1168" s="2" t="inlineStr"/>
      <c r="M1168" s="2" t="inlineStr"/>
      <c r="N1168" s="2" t="inlineStr">
        <is>
          <t>No</t>
        </is>
      </c>
      <c r="O1168" s="2" t="inlineStr">
        <is>
          <t>Unattempted</t>
        </is>
      </c>
    </row>
    <row r="1169">
      <c r="A1169" s="4" t="inlineStr">
        <is>
          <t>Interview Questions</t>
        </is>
      </c>
      <c r="B1169" s="4" t="inlineStr">
        <is>
          <t>Python Developer Interview Preparation</t>
        </is>
      </c>
      <c r="C1169" s="4" t="inlineStr">
        <is>
          <t>Prepare for freshers interviews for Python developer roles. Practice your responses for commonly asked Interview questions.</t>
        </is>
      </c>
      <c r="D1169" s="4" t="inlineStr">
        <is>
          <t>Database and SQL - Database and SQL</t>
        </is>
      </c>
      <c r="E1169" s="4" t="n">
        <v>45</v>
      </c>
      <c r="F1169" s="4" t="inlineStr">
        <is>
          <t>Task-4 Data Modification (Update and Alter)</t>
        </is>
      </c>
      <c r="G1169" s="4" t="inlineStr">
        <is>
          <t>RSMSPR04D</t>
        </is>
      </c>
      <c r="H1169" s="4" t="inlineStr"/>
      <c r="I1169" s="4" t="inlineStr">
        <is>
          <t>Easy</t>
        </is>
      </c>
      <c r="J1169" s="5">
        <f>HYPERLINK("https://www.codechef.com/problems/RSMSPR04D", "https://www.codechef.com/problems/RSMSPR04D")</f>
        <v/>
      </c>
      <c r="K1169" s="4" t="inlineStr"/>
      <c r="L1169" s="4" t="inlineStr"/>
      <c r="M1169" s="4" t="inlineStr"/>
      <c r="N1169" s="4" t="inlineStr">
        <is>
          <t>No</t>
        </is>
      </c>
      <c r="O1169" s="4" t="inlineStr">
        <is>
          <t>Unattempted</t>
        </is>
      </c>
    </row>
    <row r="1170">
      <c r="A1170" s="2" t="inlineStr">
        <is>
          <t>Interview Questions</t>
        </is>
      </c>
      <c r="B1170" s="2" t="inlineStr">
        <is>
          <t>Python Developer Interview Preparation</t>
        </is>
      </c>
      <c r="C1170" s="2" t="inlineStr">
        <is>
          <t>Prepare for freshers interviews for Python developer roles. Practice your responses for commonly asked Interview questions.</t>
        </is>
      </c>
      <c r="D1170" s="2" t="inlineStr">
        <is>
          <t>Database and SQL - Database and SQL</t>
        </is>
      </c>
      <c r="E1170" s="2" t="n">
        <v>46</v>
      </c>
      <c r="F1170" s="2" t="inlineStr">
        <is>
          <t>Database Keys</t>
        </is>
      </c>
      <c r="G1170" s="2" t="inlineStr">
        <is>
          <t>SHRTPROB126</t>
        </is>
      </c>
      <c r="H1170" s="2" t="inlineStr"/>
      <c r="I1170" s="2" t="inlineStr">
        <is>
          <t>Easy</t>
        </is>
      </c>
      <c r="J1170" s="3">
        <f>HYPERLINK("https://www.codechef.com/problems/SHRTPROB126", "https://www.codechef.com/problems/SHRTPROB126")</f>
        <v/>
      </c>
      <c r="K1170" s="2" t="inlineStr"/>
      <c r="L1170" s="2" t="inlineStr"/>
      <c r="M1170" s="2" t="inlineStr"/>
      <c r="N1170" s="2" t="inlineStr">
        <is>
          <t>No</t>
        </is>
      </c>
      <c r="O1170" s="2" t="inlineStr">
        <is>
          <t>Unattempted</t>
        </is>
      </c>
    </row>
    <row r="1171">
      <c r="A1171" s="4" t="inlineStr">
        <is>
          <t>Interview Questions</t>
        </is>
      </c>
      <c r="B1171" s="4" t="inlineStr">
        <is>
          <t>Python Developer Interview Preparation</t>
        </is>
      </c>
      <c r="C1171" s="4" t="inlineStr">
        <is>
          <t>Prepare for freshers interviews for Python developer roles. Practice your responses for commonly asked Interview questions.</t>
        </is>
      </c>
      <c r="D1171" s="4" t="inlineStr">
        <is>
          <t>Database and SQL - Database and SQL</t>
        </is>
      </c>
      <c r="E1171" s="4" t="n">
        <v>47</v>
      </c>
      <c r="F1171" s="4" t="inlineStr">
        <is>
          <t>Atomic Operations</t>
        </is>
      </c>
      <c r="G1171" s="4" t="inlineStr">
        <is>
          <t>SHRTPROB127</t>
        </is>
      </c>
      <c r="H1171" s="4" t="inlineStr"/>
      <c r="I1171" s="4" t="inlineStr">
        <is>
          <t>Medium</t>
        </is>
      </c>
      <c r="J1171" s="5">
        <f>HYPERLINK("https://www.codechef.com/problems/SHRTPROB127", "https://www.codechef.com/problems/SHRTPROB127")</f>
        <v/>
      </c>
      <c r="K1171" s="4" t="inlineStr"/>
      <c r="L1171" s="4" t="inlineStr"/>
      <c r="M1171" s="4" t="inlineStr"/>
      <c r="N1171" s="4" t="inlineStr">
        <is>
          <t>No</t>
        </is>
      </c>
      <c r="O1171" s="4" t="inlineStr">
        <is>
          <t>Unattempted</t>
        </is>
      </c>
    </row>
    <row r="1172">
      <c r="A1172" s="2" t="inlineStr">
        <is>
          <t>Interview Questions</t>
        </is>
      </c>
      <c r="B1172" s="2" t="inlineStr">
        <is>
          <t>Python Developer Interview Preparation</t>
        </is>
      </c>
      <c r="C1172" s="2" t="inlineStr">
        <is>
          <t>Prepare for freshers interviews for Python developer roles. Practice your responses for commonly asked Interview questions.</t>
        </is>
      </c>
      <c r="D1172" s="2" t="inlineStr">
        <is>
          <t>Web development and APIs - Web development and APIs</t>
        </is>
      </c>
      <c r="E1172" s="2" t="n">
        <v>48</v>
      </c>
      <c r="F1172" s="2" t="inlineStr">
        <is>
          <t>REST API Fundamentals</t>
        </is>
      </c>
      <c r="G1172" s="2" t="inlineStr">
        <is>
          <t>SHRTPROB128</t>
        </is>
      </c>
      <c r="H1172" s="2" t="inlineStr"/>
      <c r="I1172" s="2" t="inlineStr">
        <is>
          <t>Easy</t>
        </is>
      </c>
      <c r="J1172" s="3">
        <f>HYPERLINK("https://www.codechef.com/problems/SHRTPROB128", "https://www.codechef.com/problems/SHRTPROB128")</f>
        <v/>
      </c>
      <c r="K1172" s="2" t="inlineStr"/>
      <c r="L1172" s="2" t="inlineStr"/>
      <c r="M1172" s="2" t="inlineStr"/>
      <c r="N1172" s="2" t="inlineStr">
        <is>
          <t>No</t>
        </is>
      </c>
      <c r="O1172" s="2" t="inlineStr">
        <is>
          <t>Unattempted</t>
        </is>
      </c>
    </row>
    <row r="1173">
      <c r="A1173" s="4" t="inlineStr">
        <is>
          <t>Interview Questions</t>
        </is>
      </c>
      <c r="B1173" s="4" t="inlineStr">
        <is>
          <t>Python Developer Interview Preparation</t>
        </is>
      </c>
      <c r="C1173" s="4" t="inlineStr">
        <is>
          <t>Prepare for freshers interviews for Python developer roles. Practice your responses for commonly asked Interview questions.</t>
        </is>
      </c>
      <c r="D1173" s="4" t="inlineStr">
        <is>
          <t>Web development and APIs - Web development and APIs</t>
        </is>
      </c>
      <c r="E1173" s="4" t="n">
        <v>49</v>
      </c>
      <c r="F1173" s="4" t="inlineStr">
        <is>
          <t>CORS Handling</t>
        </is>
      </c>
      <c r="G1173" s="4" t="inlineStr">
        <is>
          <t>SHRTPROB129</t>
        </is>
      </c>
      <c r="H1173" s="4" t="inlineStr"/>
      <c r="I1173" s="4" t="inlineStr">
        <is>
          <t>Medium</t>
        </is>
      </c>
      <c r="J1173" s="5">
        <f>HYPERLINK("https://www.codechef.com/problems/SHRTPROB129", "https://www.codechef.com/problems/SHRTPROB129")</f>
        <v/>
      </c>
      <c r="K1173" s="4" t="inlineStr"/>
      <c r="L1173" s="4" t="inlineStr"/>
      <c r="M1173" s="4" t="inlineStr"/>
      <c r="N1173" s="4" t="inlineStr">
        <is>
          <t>No</t>
        </is>
      </c>
      <c r="O1173" s="4" t="inlineStr">
        <is>
          <t>Unattempted</t>
        </is>
      </c>
    </row>
    <row r="1174">
      <c r="A1174" s="2" t="inlineStr">
        <is>
          <t>Interview Questions</t>
        </is>
      </c>
      <c r="B1174" s="2" t="inlineStr">
        <is>
          <t>Python Developer Interview Preparation</t>
        </is>
      </c>
      <c r="C1174" s="2" t="inlineStr">
        <is>
          <t>Prepare for freshers interviews for Python developer roles. Practice your responses for commonly asked Interview questions.</t>
        </is>
      </c>
      <c r="D1174" s="2" t="inlineStr">
        <is>
          <t>Web development and APIs - Web development and APIs</t>
        </is>
      </c>
      <c r="E1174" s="2" t="n">
        <v>50</v>
      </c>
      <c r="F1174" s="2" t="inlineStr">
        <is>
          <t>GET vs. POST</t>
        </is>
      </c>
      <c r="G1174" s="2" t="inlineStr">
        <is>
          <t>SHRTPROB130</t>
        </is>
      </c>
      <c r="H1174" s="2" t="inlineStr"/>
      <c r="I1174" s="2" t="inlineStr">
        <is>
          <t>Easy</t>
        </is>
      </c>
      <c r="J1174" s="3">
        <f>HYPERLINK("https://www.codechef.com/problems/SHRTPROB130", "https://www.codechef.com/problems/SHRTPROB130")</f>
        <v/>
      </c>
      <c r="K1174" s="2" t="inlineStr"/>
      <c r="L1174" s="2" t="inlineStr"/>
      <c r="M1174" s="2" t="inlineStr"/>
      <c r="N1174" s="2" t="inlineStr">
        <is>
          <t>No</t>
        </is>
      </c>
      <c r="O1174" s="2" t="inlineStr">
        <is>
          <t>Unattempted</t>
        </is>
      </c>
    </row>
    <row r="1175">
      <c r="A1175" s="4" t="inlineStr">
        <is>
          <t>Interview Questions</t>
        </is>
      </c>
      <c r="B1175" s="4" t="inlineStr">
        <is>
          <t>Python Developer Interview Preparation</t>
        </is>
      </c>
      <c r="C1175" s="4" t="inlineStr">
        <is>
          <t>Prepare for freshers interviews for Python developer roles. Practice your responses for commonly asked Interview questions.</t>
        </is>
      </c>
      <c r="D1175" s="4" t="inlineStr">
        <is>
          <t>Web development and APIs - Web development and APIs</t>
        </is>
      </c>
      <c r="E1175" s="4" t="n">
        <v>51</v>
      </c>
      <c r="F1175" s="4" t="inlineStr">
        <is>
          <t>API Versioning Strategies</t>
        </is>
      </c>
      <c r="G1175" s="4" t="inlineStr">
        <is>
          <t>SHRTPROB131</t>
        </is>
      </c>
      <c r="H1175" s="4" t="inlineStr"/>
      <c r="I1175" s="4" t="inlineStr">
        <is>
          <t>Medium</t>
        </is>
      </c>
      <c r="J1175" s="5">
        <f>HYPERLINK("https://www.codechef.com/problems/SHRTPROB131", "https://www.codechef.com/problems/SHRTPROB131")</f>
        <v/>
      </c>
      <c r="K1175" s="4" t="inlineStr"/>
      <c r="L1175" s="4" t="inlineStr"/>
      <c r="M1175" s="4" t="inlineStr"/>
      <c r="N1175" s="4" t="inlineStr">
        <is>
          <t>No</t>
        </is>
      </c>
      <c r="O1175" s="4" t="inlineStr">
        <is>
          <t>Unattempted</t>
        </is>
      </c>
    </row>
    <row r="1176">
      <c r="A1176" s="2" t="inlineStr">
        <is>
          <t>Interview Questions</t>
        </is>
      </c>
      <c r="B1176" s="2" t="inlineStr">
        <is>
          <t>Python Developer Interview Preparation</t>
        </is>
      </c>
      <c r="C1176" s="2" t="inlineStr">
        <is>
          <t>Prepare for freshers interviews for Python developer roles. Practice your responses for commonly asked Interview questions.</t>
        </is>
      </c>
      <c r="D1176" s="2" t="inlineStr">
        <is>
          <t>Web development and APIs - Web development and APIs</t>
        </is>
      </c>
      <c r="E1176" s="2" t="n">
        <v>52</v>
      </c>
      <c r="F1176" s="2" t="inlineStr">
        <is>
          <t>HTTP Status Codes</t>
        </is>
      </c>
      <c r="G1176" s="2" t="inlineStr">
        <is>
          <t>SHRTPROB132</t>
        </is>
      </c>
      <c r="H1176" s="2" t="inlineStr"/>
      <c r="I1176" s="2" t="inlineStr">
        <is>
          <t>Easy</t>
        </is>
      </c>
      <c r="J1176" s="3">
        <f>HYPERLINK("https://www.codechef.com/problems/SHRTPROB132", "https://www.codechef.com/problems/SHRTPROB132")</f>
        <v/>
      </c>
      <c r="K1176" s="2" t="inlineStr"/>
      <c r="L1176" s="2" t="inlineStr"/>
      <c r="M1176" s="2" t="inlineStr"/>
      <c r="N1176" s="2" t="inlineStr">
        <is>
          <t>No</t>
        </is>
      </c>
      <c r="O1176" s="2" t="inlineStr">
        <is>
          <t>Unattempted</t>
        </is>
      </c>
    </row>
    <row r="1177">
      <c r="A1177" s="4" t="inlineStr">
        <is>
          <t>Interview Questions</t>
        </is>
      </c>
      <c r="B1177" s="4" t="inlineStr">
        <is>
          <t>Python Developer Interview Preparation</t>
        </is>
      </c>
      <c r="C1177" s="4" t="inlineStr">
        <is>
          <t>Prepare for freshers interviews for Python developer roles. Practice your responses for commonly asked Interview questions.</t>
        </is>
      </c>
      <c r="D1177" s="4" t="inlineStr">
        <is>
          <t>Web development and APIs - Web development and APIs</t>
        </is>
      </c>
      <c r="E1177" s="4" t="n">
        <v>53</v>
      </c>
      <c r="F1177" s="4" t="inlineStr">
        <is>
          <t>Web File Uploads</t>
        </is>
      </c>
      <c r="G1177" s="4" t="inlineStr">
        <is>
          <t>SHRTPROB133</t>
        </is>
      </c>
      <c r="H1177" s="4" t="inlineStr"/>
      <c r="I1177" s="4" t="inlineStr">
        <is>
          <t>Medium</t>
        </is>
      </c>
      <c r="J1177" s="5">
        <f>HYPERLINK("https://www.codechef.com/problems/SHRTPROB133", "https://www.codechef.com/problems/SHRTPROB133")</f>
        <v/>
      </c>
      <c r="K1177" s="4" t="inlineStr"/>
      <c r="L1177" s="4" t="inlineStr"/>
      <c r="M1177" s="4" t="inlineStr"/>
      <c r="N1177" s="4" t="inlineStr">
        <is>
          <t>No</t>
        </is>
      </c>
      <c r="O1177" s="4" t="inlineStr">
        <is>
          <t>Unattempted</t>
        </is>
      </c>
    </row>
    <row r="1178">
      <c r="A1178" s="2" t="inlineStr">
        <is>
          <t>Interview Questions</t>
        </is>
      </c>
      <c r="B1178" s="2" t="inlineStr">
        <is>
          <t>Python Developer Interview Preparation</t>
        </is>
      </c>
      <c r="C1178" s="2" t="inlineStr">
        <is>
          <t>Prepare for freshers interviews for Python developer roles. Practice your responses for commonly asked Interview questions.</t>
        </is>
      </c>
      <c r="D1178" s="2" t="inlineStr">
        <is>
          <t>Web development and APIs - Web development and APIs</t>
        </is>
      </c>
      <c r="E1178" s="2" t="n">
        <v>54</v>
      </c>
      <c r="F1178" s="2" t="inlineStr">
        <is>
          <t>Web Session Handling</t>
        </is>
      </c>
      <c r="G1178" s="2" t="inlineStr">
        <is>
          <t>SHRTPROB134</t>
        </is>
      </c>
      <c r="H1178" s="2" t="inlineStr"/>
      <c r="I1178" s="2" t="inlineStr">
        <is>
          <t>Medium</t>
        </is>
      </c>
      <c r="J1178" s="3">
        <f>HYPERLINK("https://www.codechef.com/problems/SHRTPROB134", "https://www.codechef.com/problems/SHRTPROB134")</f>
        <v/>
      </c>
      <c r="K1178" s="2" t="inlineStr"/>
      <c r="L1178" s="2" t="inlineStr"/>
      <c r="M1178" s="2" t="inlineStr"/>
      <c r="N1178" s="2" t="inlineStr">
        <is>
          <t>No</t>
        </is>
      </c>
      <c r="O1178" s="2" t="inlineStr">
        <is>
          <t>Unattempted</t>
        </is>
      </c>
    </row>
    <row r="1179">
      <c r="A1179" s="4" t="inlineStr">
        <is>
          <t>Interview Questions</t>
        </is>
      </c>
      <c r="B1179" s="4" t="inlineStr">
        <is>
          <t>Python Developer Interview Preparation</t>
        </is>
      </c>
      <c r="C1179" s="4" t="inlineStr">
        <is>
          <t>Prepare for freshers interviews for Python developer roles. Practice your responses for commonly asked Interview questions.</t>
        </is>
      </c>
      <c r="D1179" s="4" t="inlineStr">
        <is>
          <t>Web development and APIs - Web development and APIs</t>
        </is>
      </c>
      <c r="E1179" s="4" t="n">
        <v>55</v>
      </c>
      <c r="F1179" s="4" t="inlineStr">
        <is>
          <t>API Endpoint Security</t>
        </is>
      </c>
      <c r="G1179" s="4" t="inlineStr">
        <is>
          <t>SHRTPROB135</t>
        </is>
      </c>
      <c r="H1179" s="4" t="inlineStr"/>
      <c r="I1179" s="4" t="inlineStr">
        <is>
          <t>Medium</t>
        </is>
      </c>
      <c r="J1179" s="5">
        <f>HYPERLINK("https://www.codechef.com/problems/SHRTPROB135", "https://www.codechef.com/problems/SHRTPROB135")</f>
        <v/>
      </c>
      <c r="K1179" s="4" t="inlineStr"/>
      <c r="L1179" s="4" t="inlineStr"/>
      <c r="M1179" s="4" t="inlineStr"/>
      <c r="N1179" s="4" t="inlineStr">
        <is>
          <t>No</t>
        </is>
      </c>
      <c r="O1179" s="4" t="inlineStr">
        <is>
          <t>Unattempted</t>
        </is>
      </c>
    </row>
    <row r="1180">
      <c r="A1180" s="2" t="inlineStr">
        <is>
          <t>Interview Questions</t>
        </is>
      </c>
      <c r="B1180" s="2" t="inlineStr">
        <is>
          <t>Python Developer Interview Preparation</t>
        </is>
      </c>
      <c r="C1180" s="2" t="inlineStr">
        <is>
          <t>Prepare for freshers interviews for Python developer roles. Practice your responses for commonly asked Interview questions.</t>
        </is>
      </c>
      <c r="D1180" s="2" t="inlineStr">
        <is>
          <t>Web development and APIs - Web development and APIs</t>
        </is>
      </c>
      <c r="E1180" s="2" t="n">
        <v>56</v>
      </c>
      <c r="F1180" s="2" t="inlineStr">
        <is>
          <t>Real-time Communication</t>
        </is>
      </c>
      <c r="G1180" s="2" t="inlineStr">
        <is>
          <t>SHRTPROB136</t>
        </is>
      </c>
      <c r="H1180" s="2" t="inlineStr"/>
      <c r="I1180" s="2" t="inlineStr">
        <is>
          <t>Medium</t>
        </is>
      </c>
      <c r="J1180" s="3">
        <f>HYPERLINK("https://www.codechef.com/problems/SHRTPROB136", "https://www.codechef.com/problems/SHRTPROB136")</f>
        <v/>
      </c>
      <c r="K1180" s="2" t="inlineStr"/>
      <c r="L1180" s="2" t="inlineStr"/>
      <c r="M1180" s="2" t="inlineStr"/>
      <c r="N1180" s="2" t="inlineStr">
        <is>
          <t>No</t>
        </is>
      </c>
      <c r="O1180" s="2" t="inlineStr">
        <is>
          <t>Unattempted</t>
        </is>
      </c>
    </row>
    <row r="1181">
      <c r="A1181" s="4" t="inlineStr">
        <is>
          <t>Interview Questions</t>
        </is>
      </c>
      <c r="B1181" s="4" t="inlineStr">
        <is>
          <t>Python Developer Interview Preparation</t>
        </is>
      </c>
      <c r="C1181" s="4" t="inlineStr">
        <is>
          <t>Prepare for freshers interviews for Python developer roles. Practice your responses for commonly asked Interview questions.</t>
        </is>
      </c>
      <c r="D1181" s="4" t="inlineStr">
        <is>
          <t>Web development and APIs - Web development and APIs</t>
        </is>
      </c>
      <c r="E1181" s="4" t="n">
        <v>57</v>
      </c>
      <c r="F1181" s="4" t="inlineStr">
        <is>
          <t>Data Access Strategies</t>
        </is>
      </c>
      <c r="G1181" s="4" t="inlineStr">
        <is>
          <t>SHRTPROB137</t>
        </is>
      </c>
      <c r="H1181" s="4" t="inlineStr"/>
      <c r="I1181" s="4" t="inlineStr">
        <is>
          <t>Medium</t>
        </is>
      </c>
      <c r="J1181" s="5">
        <f>HYPERLINK("https://www.codechef.com/problems/SHRTPROB137", "https://www.codechef.com/problems/SHRTPROB137")</f>
        <v/>
      </c>
      <c r="K1181" s="4" t="inlineStr"/>
      <c r="L1181" s="4" t="inlineStr"/>
      <c r="M1181" s="4" t="inlineStr"/>
      <c r="N1181" s="4" t="inlineStr">
        <is>
          <t>No</t>
        </is>
      </c>
      <c r="O1181" s="4" t="inlineStr">
        <is>
          <t>Unattempted</t>
        </is>
      </c>
    </row>
    <row r="1182">
      <c r="A1182" s="2" t="inlineStr">
        <is>
          <t>Interview Questions</t>
        </is>
      </c>
      <c r="B1182" s="2" t="inlineStr">
        <is>
          <t>Python Developer Interview Preparation</t>
        </is>
      </c>
      <c r="C1182" s="2" t="inlineStr">
        <is>
          <t>Prepare for freshers interviews for Python developer roles. Practice your responses for commonly asked Interview questions.</t>
        </is>
      </c>
      <c r="D1182" s="2" t="inlineStr">
        <is>
          <t>Testing and development practices - Testing and development practices</t>
        </is>
      </c>
      <c r="E1182" s="2" t="n">
        <v>58</v>
      </c>
      <c r="F1182" s="2" t="inlineStr">
        <is>
          <t>TDD Explained</t>
        </is>
      </c>
      <c r="G1182" s="2" t="inlineStr">
        <is>
          <t>SHRTPROB138</t>
        </is>
      </c>
      <c r="H1182" s="2" t="inlineStr"/>
      <c r="I1182" s="2" t="inlineStr">
        <is>
          <t>Easy</t>
        </is>
      </c>
      <c r="J1182" s="3">
        <f>HYPERLINK("https://www.codechef.com/problems/SHRTPROB138", "https://www.codechef.com/problems/SHRTPROB138")</f>
        <v/>
      </c>
      <c r="K1182" s="2" t="inlineStr"/>
      <c r="L1182" s="2" t="inlineStr"/>
      <c r="M1182" s="2" t="inlineStr"/>
      <c r="N1182" s="2" t="inlineStr">
        <is>
          <t>No</t>
        </is>
      </c>
      <c r="O1182" s="2" t="inlineStr">
        <is>
          <t>Unattempted</t>
        </is>
      </c>
    </row>
    <row r="1183">
      <c r="A1183" s="4" t="inlineStr">
        <is>
          <t>Interview Questions</t>
        </is>
      </c>
      <c r="B1183" s="4" t="inlineStr">
        <is>
          <t>Python Developer Interview Preparation</t>
        </is>
      </c>
      <c r="C1183" s="4" t="inlineStr">
        <is>
          <t>Prepare for freshers interviews for Python developer roles. Practice your responses for commonly asked Interview questions.</t>
        </is>
      </c>
      <c r="D1183" s="4" t="inlineStr">
        <is>
          <t>Testing and development practices - Testing and development practices</t>
        </is>
      </c>
      <c r="E1183" s="4" t="n">
        <v>59</v>
      </c>
      <c r="F1183" s="4" t="inlineStr">
        <is>
          <t>Dependency Mocking</t>
        </is>
      </c>
      <c r="G1183" s="4" t="inlineStr">
        <is>
          <t>SHRTPROB139</t>
        </is>
      </c>
      <c r="H1183" s="4" t="inlineStr"/>
      <c r="I1183" s="4" t="inlineStr">
        <is>
          <t>Medium</t>
        </is>
      </c>
      <c r="J1183" s="5">
        <f>HYPERLINK("https://www.codechef.com/problems/SHRTPROB139", "https://www.codechef.com/problems/SHRTPROB139")</f>
        <v/>
      </c>
      <c r="K1183" s="4" t="inlineStr"/>
      <c r="L1183" s="4" t="inlineStr"/>
      <c r="M1183" s="4" t="inlineStr"/>
      <c r="N1183" s="4" t="inlineStr">
        <is>
          <t>No</t>
        </is>
      </c>
      <c r="O1183" s="4" t="inlineStr">
        <is>
          <t>Unattempted</t>
        </is>
      </c>
    </row>
    <row r="1184">
      <c r="A1184" s="2" t="inlineStr">
        <is>
          <t>Interview Questions</t>
        </is>
      </c>
      <c r="B1184" s="2" t="inlineStr">
        <is>
          <t>Python Developer Interview Preparation</t>
        </is>
      </c>
      <c r="C1184" s="2" t="inlineStr">
        <is>
          <t>Prepare for freshers interviews for Python developer roles. Practice your responses for commonly asked Interview questions.</t>
        </is>
      </c>
      <c r="D1184" s="2" t="inlineStr">
        <is>
          <t>Testing and development practices - Testing and development practices</t>
        </is>
      </c>
      <c r="E1184" s="2" t="n">
        <v>60</v>
      </c>
      <c r="F1184" s="2" t="inlineStr">
        <is>
          <t>Automated Delivery</t>
        </is>
      </c>
      <c r="G1184" s="2" t="inlineStr">
        <is>
          <t>SHRTPROB140</t>
        </is>
      </c>
      <c r="H1184" s="2" t="inlineStr"/>
      <c r="I1184" s="2" t="inlineStr">
        <is>
          <t>Medium</t>
        </is>
      </c>
      <c r="J1184" s="3">
        <f>HYPERLINK("https://www.codechef.com/problems/SHRTPROB140", "https://www.codechef.com/problems/SHRTPROB140")</f>
        <v/>
      </c>
      <c r="K1184" s="2" t="inlineStr"/>
      <c r="L1184" s="2" t="inlineStr"/>
      <c r="M1184" s="2" t="inlineStr"/>
      <c r="N1184" s="2" t="inlineStr">
        <is>
          <t>No</t>
        </is>
      </c>
      <c r="O1184" s="2" t="inlineStr">
        <is>
          <t>Unattempted</t>
        </is>
      </c>
    </row>
    <row r="1185">
      <c r="A1185" s="4" t="inlineStr">
        <is>
          <t>Interview Questions</t>
        </is>
      </c>
      <c r="B1185" s="4" t="inlineStr">
        <is>
          <t>Python Developer Interview Preparation</t>
        </is>
      </c>
      <c r="C1185" s="4" t="inlineStr">
        <is>
          <t>Prepare for freshers interviews for Python developer roles. Practice your responses for commonly asked Interview questions.</t>
        </is>
      </c>
      <c r="D1185" s="4" t="inlineStr">
        <is>
          <t>Testing and development practices - Testing and development practices</t>
        </is>
      </c>
      <c r="E1185" s="4" t="n">
        <v>61</v>
      </c>
      <c r="F1185" s="4" t="inlineStr">
        <is>
          <t>Test Data Management</t>
        </is>
      </c>
      <c r="G1185" s="4" t="inlineStr">
        <is>
          <t>SHRTPROB141</t>
        </is>
      </c>
      <c r="H1185" s="4" t="inlineStr"/>
      <c r="I1185" s="4" t="inlineStr">
        <is>
          <t>Medium</t>
        </is>
      </c>
      <c r="J1185" s="5">
        <f>HYPERLINK("https://www.codechef.com/problems/SHRTPROB141", "https://www.codechef.com/problems/SHRTPROB141")</f>
        <v/>
      </c>
      <c r="K1185" s="4" t="inlineStr"/>
      <c r="L1185" s="4" t="inlineStr"/>
      <c r="M1185" s="4" t="inlineStr"/>
      <c r="N1185" s="4" t="inlineStr">
        <is>
          <t>No</t>
        </is>
      </c>
      <c r="O1185" s="4" t="inlineStr">
        <is>
          <t>Unattempted</t>
        </is>
      </c>
    </row>
    <row r="1186">
      <c r="A1186" s="2" t="inlineStr">
        <is>
          <t>Interview Questions</t>
        </is>
      </c>
      <c r="B1186" s="2" t="inlineStr">
        <is>
          <t>Python Developer Interview Preparation</t>
        </is>
      </c>
      <c r="C1186" s="2" t="inlineStr">
        <is>
          <t>Prepare for freshers interviews for Python developer roles. Practice your responses for commonly asked Interview questions.</t>
        </is>
      </c>
      <c r="D1186" s="2" t="inlineStr">
        <is>
          <t>Testing and development practices - Testing and development practices</t>
        </is>
      </c>
      <c r="E1186" s="2" t="n">
        <v>62</v>
      </c>
      <c r="F1186" s="2" t="inlineStr">
        <is>
          <t>Test Double Types</t>
        </is>
      </c>
      <c r="G1186" s="2" t="inlineStr">
        <is>
          <t>SHRTPROB142</t>
        </is>
      </c>
      <c r="H1186" s="2" t="inlineStr"/>
      <c r="I1186" s="2" t="inlineStr">
        <is>
          <t>Medium</t>
        </is>
      </c>
      <c r="J1186" s="3">
        <f>HYPERLINK("https://www.codechef.com/problems/SHRTPROB142", "https://www.codechef.com/problems/SHRTPROB142")</f>
        <v/>
      </c>
      <c r="K1186" s="2" t="inlineStr"/>
      <c r="L1186" s="2" t="inlineStr"/>
      <c r="M1186" s="2" t="inlineStr"/>
      <c r="N1186" s="2" t="inlineStr">
        <is>
          <t>No</t>
        </is>
      </c>
      <c r="O1186" s="2" t="inlineStr">
        <is>
          <t>Unattempted</t>
        </is>
      </c>
    </row>
    <row r="1187">
      <c r="A1187" s="4" t="inlineStr">
        <is>
          <t>Interview Questions</t>
        </is>
      </c>
      <c r="B1187" s="4" t="inlineStr">
        <is>
          <t>Python Developer Interview Preparation</t>
        </is>
      </c>
      <c r="C1187" s="4" t="inlineStr">
        <is>
          <t>Prepare for freshers interviews for Python developer roles. Practice your responses for commonly asked Interview questions.</t>
        </is>
      </c>
      <c r="D1187" s="4" t="inlineStr">
        <is>
          <t>Testing and development practices - Testing and development practices</t>
        </is>
      </c>
      <c r="E1187" s="4" t="n">
        <v>63</v>
      </c>
      <c r="F1187" s="4" t="inlineStr">
        <is>
          <t>Coverage Metrics</t>
        </is>
      </c>
      <c r="G1187" s="4" t="inlineStr">
        <is>
          <t>SHRTPROB143</t>
        </is>
      </c>
      <c r="H1187" s="4" t="inlineStr"/>
      <c r="I1187" s="4" t="inlineStr">
        <is>
          <t>Easy</t>
        </is>
      </c>
      <c r="J1187" s="5">
        <f>HYPERLINK("https://www.codechef.com/problems/SHRTPROB143", "https://www.codechef.com/problems/SHRTPROB143")</f>
        <v/>
      </c>
      <c r="K1187" s="4" t="inlineStr"/>
      <c r="L1187" s="4" t="inlineStr"/>
      <c r="M1187" s="4" t="inlineStr"/>
      <c r="N1187" s="4" t="inlineStr">
        <is>
          <t>No</t>
        </is>
      </c>
      <c r="O1187" s="4" t="inlineStr">
        <is>
          <t>Unattempted</t>
        </is>
      </c>
    </row>
    <row r="1188">
      <c r="A1188" s="2" t="inlineStr">
        <is>
          <t>Interview Questions</t>
        </is>
      </c>
      <c r="B1188" s="2" t="inlineStr">
        <is>
          <t>Python Developer Interview Preparation</t>
        </is>
      </c>
      <c r="C1188" s="2" t="inlineStr">
        <is>
          <t>Prepare for freshers interviews for Python developer roles. Practice your responses for commonly asked Interview questions.</t>
        </is>
      </c>
      <c r="D1188" s="2" t="inlineStr">
        <is>
          <t>Testing and development practices - Testing and development practices</t>
        </is>
      </c>
      <c r="E1188" s="2" t="n">
        <v>64</v>
      </c>
      <c r="F1188" s="2" t="inlineStr">
        <is>
          <t>BDD Explained</t>
        </is>
      </c>
      <c r="G1188" s="2" t="inlineStr">
        <is>
          <t>SHRTPROB144</t>
        </is>
      </c>
      <c r="H1188" s="2" t="inlineStr"/>
      <c r="I1188" s="2" t="inlineStr">
        <is>
          <t>Easy</t>
        </is>
      </c>
      <c r="J1188" s="3">
        <f>HYPERLINK("https://www.codechef.com/problems/SHRTPROB144", "https://www.codechef.com/problems/SHRTPROB144")</f>
        <v/>
      </c>
      <c r="K1188" s="2" t="inlineStr"/>
      <c r="L1188" s="2" t="inlineStr"/>
      <c r="M1188" s="2" t="inlineStr"/>
      <c r="N1188" s="2" t="inlineStr">
        <is>
          <t>No</t>
        </is>
      </c>
      <c r="O1188" s="2" t="inlineStr">
        <is>
          <t>Unattempted</t>
        </is>
      </c>
    </row>
    <row r="1189">
      <c r="A1189" s="4" t="inlineStr">
        <is>
          <t>Interview Questions</t>
        </is>
      </c>
      <c r="B1189" s="4" t="inlineStr">
        <is>
          <t>Python Developer Interview Preparation</t>
        </is>
      </c>
      <c r="C1189" s="4" t="inlineStr">
        <is>
          <t>Prepare for freshers interviews for Python developer roles. Practice your responses for commonly asked Interview questions.</t>
        </is>
      </c>
      <c r="D1189" s="4" t="inlineStr">
        <is>
          <t>Testing and development practices - Testing and development practices</t>
        </is>
      </c>
      <c r="E1189" s="4" t="n">
        <v>65</v>
      </c>
      <c r="F1189" s="4" t="inlineStr">
        <is>
          <t>Data Assurance</t>
        </is>
      </c>
      <c r="G1189" s="4" t="inlineStr">
        <is>
          <t>SHRTPROB145</t>
        </is>
      </c>
      <c r="H1189" s="4" t="inlineStr"/>
      <c r="I1189" s="4" t="inlineStr">
        <is>
          <t>Medium</t>
        </is>
      </c>
      <c r="J1189" s="5">
        <f>HYPERLINK("https://www.codechef.com/problems/SHRTPROB145", "https://www.codechef.com/problems/SHRTPROB145")</f>
        <v/>
      </c>
      <c r="K1189" s="4" t="inlineStr"/>
      <c r="L1189" s="4" t="inlineStr"/>
      <c r="M1189" s="4" t="inlineStr"/>
      <c r="N1189" s="4" t="inlineStr">
        <is>
          <t>No</t>
        </is>
      </c>
      <c r="O1189" s="4" t="inlineStr">
        <is>
          <t>Unattempted</t>
        </is>
      </c>
    </row>
    <row r="1190">
      <c r="A1190" s="2" t="inlineStr">
        <is>
          <t>Interview Questions</t>
        </is>
      </c>
      <c r="B1190" s="2" t="inlineStr">
        <is>
          <t>Python Developer Interview Preparation</t>
        </is>
      </c>
      <c r="C1190" s="2" t="inlineStr">
        <is>
          <t>Prepare for freshers interviews for Python developer roles. Practice your responses for commonly asked Interview questions.</t>
        </is>
      </c>
      <c r="D1190" s="2" t="inlineStr">
        <is>
          <t>Testing and development practices - Testing and development practices</t>
        </is>
      </c>
      <c r="E1190" s="2" t="n">
        <v>66</v>
      </c>
      <c r="F1190" s="2" t="inlineStr">
        <is>
          <t>Test Case Organization</t>
        </is>
      </c>
      <c r="G1190" s="2" t="inlineStr">
        <is>
          <t>SHRTPROB147</t>
        </is>
      </c>
      <c r="H1190" s="2" t="inlineStr"/>
      <c r="I1190" s="2" t="inlineStr">
        <is>
          <t>Medium</t>
        </is>
      </c>
      <c r="J1190" s="3">
        <f>HYPERLINK("https://www.codechef.com/problems/SHRTPROB147", "https://www.codechef.com/problems/SHRTPROB147")</f>
        <v/>
      </c>
      <c r="K1190" s="2" t="inlineStr"/>
      <c r="L1190" s="2" t="inlineStr"/>
      <c r="M1190" s="2" t="inlineStr"/>
      <c r="N1190" s="2" t="inlineStr">
        <is>
          <t>No</t>
        </is>
      </c>
      <c r="O1190" s="2" t="inlineStr">
        <is>
          <t>Unattempted</t>
        </is>
      </c>
    </row>
    <row r="1191">
      <c r="A1191" s="4" t="inlineStr">
        <is>
          <t>Interview Questions</t>
        </is>
      </c>
      <c r="B1191" s="4" t="inlineStr">
        <is>
          <t>Python Developer Interview Preparation</t>
        </is>
      </c>
      <c r="C1191" s="4" t="inlineStr">
        <is>
          <t>Prepare for freshers interviews for Python developer roles. Practice your responses for commonly asked Interview questions.</t>
        </is>
      </c>
      <c r="D1191" s="4" t="inlineStr">
        <is>
          <t>Advanced Python concepts - Advanced Python concepts</t>
        </is>
      </c>
      <c r="E1191" s="4" t="n">
        <v>67</v>
      </c>
      <c r="F1191" s="4" t="inlineStr">
        <is>
          <t>Async Context Manager</t>
        </is>
      </c>
      <c r="G1191" s="4" t="inlineStr">
        <is>
          <t>SHRTPROB148</t>
        </is>
      </c>
      <c r="H1191" s="4" t="inlineStr"/>
      <c r="I1191" s="4" t="inlineStr">
        <is>
          <t>Hard</t>
        </is>
      </c>
      <c r="J1191" s="5">
        <f>HYPERLINK("https://www.codechef.com/problems/SHRTPROB148", "https://www.codechef.com/problems/SHRTPROB148")</f>
        <v/>
      </c>
      <c r="K1191" s="4" t="inlineStr"/>
      <c r="L1191" s="4" t="inlineStr"/>
      <c r="M1191" s="4" t="inlineStr"/>
      <c r="N1191" s="4" t="inlineStr">
        <is>
          <t>No</t>
        </is>
      </c>
      <c r="O1191" s="4" t="inlineStr">
        <is>
          <t>Unattempted</t>
        </is>
      </c>
    </row>
    <row r="1192">
      <c r="A1192" s="2" t="inlineStr">
        <is>
          <t>Interview Questions</t>
        </is>
      </c>
      <c r="B1192" s="2" t="inlineStr">
        <is>
          <t>Python Developer Interview Preparation</t>
        </is>
      </c>
      <c r="C1192" s="2" t="inlineStr">
        <is>
          <t>Prepare for freshers interviews for Python developer roles. Practice your responses for commonly asked Interview questions.</t>
        </is>
      </c>
      <c r="D1192" s="2" t="inlineStr">
        <is>
          <t>Advanced Python concepts - Advanced Python concepts</t>
        </is>
      </c>
      <c r="E1192" s="2" t="n">
        <v>68</v>
      </c>
      <c r="F1192" s="2" t="inlineStr">
        <is>
          <t>Async Scraping</t>
        </is>
      </c>
      <c r="G1192" s="2" t="inlineStr">
        <is>
          <t>SHRTPROB149</t>
        </is>
      </c>
      <c r="H1192" s="2" t="inlineStr"/>
      <c r="I1192" s="2" t="inlineStr">
        <is>
          <t>Medium</t>
        </is>
      </c>
      <c r="J1192" s="3">
        <f>HYPERLINK("https://www.codechef.com/problems/SHRTPROB149", "https://www.codechef.com/problems/SHRTPROB149")</f>
        <v/>
      </c>
      <c r="K1192" s="2" t="inlineStr"/>
      <c r="L1192" s="2" t="inlineStr"/>
      <c r="M1192" s="2" t="inlineStr"/>
      <c r="N1192" s="2" t="inlineStr">
        <is>
          <t>No</t>
        </is>
      </c>
      <c r="O1192" s="2" t="inlineStr">
        <is>
          <t>Unattempted</t>
        </is>
      </c>
    </row>
    <row r="1193">
      <c r="A1193" s="4" t="inlineStr">
        <is>
          <t>Interview Questions</t>
        </is>
      </c>
      <c r="B1193" s="4" t="inlineStr">
        <is>
          <t>Python Developer Interview Preparation</t>
        </is>
      </c>
      <c r="C1193" s="4" t="inlineStr">
        <is>
          <t>Prepare for freshers interviews for Python developer roles. Practice your responses for commonly asked Interview questions.</t>
        </is>
      </c>
      <c r="D1193" s="4" t="inlineStr">
        <is>
          <t>Advanced Python concepts - Advanced Python concepts</t>
        </is>
      </c>
      <c r="E1193" s="4" t="n">
        <v>69</v>
      </c>
      <c r="F1193" s="4" t="inlineStr">
        <is>
          <t>Validating Attribute Descriptor</t>
        </is>
      </c>
      <c r="G1193" s="4" t="inlineStr">
        <is>
          <t>SHRTPROB150</t>
        </is>
      </c>
      <c r="H1193" s="4" t="inlineStr"/>
      <c r="I1193" s="4" t="inlineStr">
        <is>
          <t>Hard</t>
        </is>
      </c>
      <c r="J1193" s="5">
        <f>HYPERLINK("https://www.codechef.com/problems/SHRTPROB150", "https://www.codechef.com/problems/SHRTPROB150")</f>
        <v/>
      </c>
      <c r="K1193" s="4" t="inlineStr"/>
      <c r="L1193" s="4" t="inlineStr"/>
      <c r="M1193" s="4" t="inlineStr"/>
      <c r="N1193" s="4" t="inlineStr">
        <is>
          <t>No</t>
        </is>
      </c>
      <c r="O1193" s="4" t="inlineStr">
        <is>
          <t>Unattempted</t>
        </is>
      </c>
    </row>
    <row r="1194">
      <c r="A1194" s="2" t="inlineStr">
        <is>
          <t>Interview Questions</t>
        </is>
      </c>
      <c r="B1194" s="2" t="inlineStr">
        <is>
          <t>Python Developer Interview Preparation</t>
        </is>
      </c>
      <c r="C1194" s="2" t="inlineStr">
        <is>
          <t>Prepare for freshers interviews for Python developer roles. Practice your responses for commonly asked Interview questions.</t>
        </is>
      </c>
      <c r="D1194" s="2" t="inlineStr">
        <is>
          <t>Advanced Python concepts - Advanced Python concepts</t>
        </is>
      </c>
      <c r="E1194" s="2" t="n">
        <v>70</v>
      </c>
      <c r="F1194" s="2" t="inlineStr">
        <is>
          <t>Memory Efficiency</t>
        </is>
      </c>
      <c r="G1194" s="2" t="inlineStr">
        <is>
          <t>SHRTPROB151</t>
        </is>
      </c>
      <c r="H1194" s="2" t="inlineStr"/>
      <c r="I1194" s="2" t="inlineStr">
        <is>
          <t>Medium</t>
        </is>
      </c>
      <c r="J1194" s="3">
        <f>HYPERLINK("https://www.codechef.com/problems/SHRTPROB151", "https://www.codechef.com/problems/SHRTPROB151")</f>
        <v/>
      </c>
      <c r="K1194" s="2" t="inlineStr"/>
      <c r="L1194" s="2" t="inlineStr"/>
      <c r="M1194" s="2" t="inlineStr"/>
      <c r="N1194" s="2" t="inlineStr">
        <is>
          <t>No</t>
        </is>
      </c>
      <c r="O1194" s="2" t="inlineStr">
        <is>
          <t>Unattempted</t>
        </is>
      </c>
    </row>
    <row r="1195">
      <c r="A1195" s="4" t="inlineStr">
        <is>
          <t>Interview Questions</t>
        </is>
      </c>
      <c r="B1195" s="4" t="inlineStr">
        <is>
          <t>Python Developer Interview Preparation</t>
        </is>
      </c>
      <c r="C1195" s="4" t="inlineStr">
        <is>
          <t>Prepare for freshers interviews for Python developer roles. Practice your responses for commonly asked Interview questions.</t>
        </is>
      </c>
      <c r="D1195" s="4" t="inlineStr">
        <is>
          <t>Advanced Python concepts - Advanced Python concepts</t>
        </is>
      </c>
      <c r="E1195" s="4" t="n">
        <v>71</v>
      </c>
      <c r="F1195" s="4" t="inlineStr">
        <is>
          <t>TimedCache</t>
        </is>
      </c>
      <c r="G1195" s="4" t="inlineStr">
        <is>
          <t>SHRTPROB152</t>
        </is>
      </c>
      <c r="H1195" s="4" t="inlineStr"/>
      <c r="I1195" s="4" t="inlineStr">
        <is>
          <t>Hard</t>
        </is>
      </c>
      <c r="J1195" s="5">
        <f>HYPERLINK("https://www.codechef.com/problems/SHRTPROB152", "https://www.codechef.com/problems/SHRTPROB152")</f>
        <v/>
      </c>
      <c r="K1195" s="4" t="inlineStr"/>
      <c r="L1195" s="4" t="inlineStr"/>
      <c r="M1195" s="4" t="inlineStr"/>
      <c r="N1195" s="4" t="inlineStr">
        <is>
          <t>No</t>
        </is>
      </c>
      <c r="O1195" s="4" t="inlineStr">
        <is>
          <t>Unattempted</t>
        </is>
      </c>
    </row>
    <row r="1196">
      <c r="A1196" s="2" t="inlineStr">
        <is>
          <t>Interview Questions</t>
        </is>
      </c>
      <c r="B1196" s="2" t="inlineStr">
        <is>
          <t>Python Developer Interview Preparation</t>
        </is>
      </c>
      <c r="C1196" s="2" t="inlineStr">
        <is>
          <t>Prepare for freshers interviews for Python developer roles. Practice your responses for commonly asked Interview questions.</t>
        </is>
      </c>
      <c r="D1196" s="2" t="inlineStr">
        <is>
          <t>Advanced Python concepts - Advanced Python concepts</t>
        </is>
      </c>
      <c r="E1196" s="2" t="n">
        <v>72</v>
      </c>
      <c r="F1196" s="2" t="inlineStr">
        <is>
          <t>Method Resolution</t>
        </is>
      </c>
      <c r="G1196" s="2" t="inlineStr">
        <is>
          <t>SHRTPROB153</t>
        </is>
      </c>
      <c r="H1196" s="2" t="inlineStr"/>
      <c r="I1196" s="2" t="inlineStr">
        <is>
          <t>Medium</t>
        </is>
      </c>
      <c r="J1196" s="3">
        <f>HYPERLINK("https://www.codechef.com/problems/SHRTPROB153", "https://www.codechef.com/problems/SHRTPROB153")</f>
        <v/>
      </c>
      <c r="K1196" s="2" t="inlineStr"/>
      <c r="L1196" s="2" t="inlineStr"/>
      <c r="M1196" s="2" t="inlineStr"/>
      <c r="N1196" s="2" t="inlineStr">
        <is>
          <t>No</t>
        </is>
      </c>
      <c r="O1196" s="2" t="inlineStr">
        <is>
          <t>Unattempted</t>
        </is>
      </c>
    </row>
    <row r="1197">
      <c r="A1197" s="4" t="inlineStr">
        <is>
          <t>Interview Questions</t>
        </is>
      </c>
      <c r="B1197" s="4" t="inlineStr">
        <is>
          <t>Python Developer Interview Preparation</t>
        </is>
      </c>
      <c r="C1197" s="4" t="inlineStr">
        <is>
          <t>Prepare for freshers interviews for Python developer roles. Practice your responses for commonly asked Interview questions.</t>
        </is>
      </c>
      <c r="D1197" s="4" t="inlineStr">
        <is>
          <t>Advanced Python concepts - Advanced Python concepts</t>
        </is>
      </c>
      <c r="E1197" s="4" t="n">
        <v>73</v>
      </c>
      <c r="F1197" s="4" t="inlineStr">
        <is>
          <t>Custom Serializer</t>
        </is>
      </c>
      <c r="G1197" s="4" t="inlineStr">
        <is>
          <t>SHRTPROB154</t>
        </is>
      </c>
      <c r="H1197" s="4" t="inlineStr"/>
      <c r="I1197" s="4" t="inlineStr">
        <is>
          <t>Hard</t>
        </is>
      </c>
      <c r="J1197" s="5">
        <f>HYPERLINK("https://www.codechef.com/problems/SHRTPROB154", "https://www.codechef.com/problems/SHRTPROB154")</f>
        <v/>
      </c>
      <c r="K1197" s="4" t="inlineStr"/>
      <c r="L1197" s="4" t="inlineStr"/>
      <c r="M1197" s="4" t="inlineStr"/>
      <c r="N1197" s="4" t="inlineStr">
        <is>
          <t>No</t>
        </is>
      </c>
      <c r="O1197" s="4" t="inlineStr">
        <is>
          <t>Unattempted</t>
        </is>
      </c>
    </row>
    <row r="1198">
      <c r="A1198" s="2" t="inlineStr">
        <is>
          <t>Interview Questions</t>
        </is>
      </c>
      <c r="B1198" s="2" t="inlineStr">
        <is>
          <t>Python Developer Interview Preparation</t>
        </is>
      </c>
      <c r="C1198" s="2" t="inlineStr">
        <is>
          <t>Prepare for freshers interviews for Python developer roles. Practice your responses for commonly asked Interview questions.</t>
        </is>
      </c>
      <c r="D1198" s="2" t="inlineStr">
        <is>
          <t>Advanced Python concepts - Advanced Python concepts</t>
        </is>
      </c>
      <c r="E1198" s="2" t="n">
        <v>74</v>
      </c>
      <c r="F1198" s="2" t="inlineStr">
        <is>
          <t>Code to Bytes</t>
        </is>
      </c>
      <c r="G1198" s="2" t="inlineStr">
        <is>
          <t>SHRTPROB155</t>
        </is>
      </c>
      <c r="H1198" s="2" t="inlineStr"/>
      <c r="I1198" s="2" t="inlineStr">
        <is>
          <t>Medium</t>
        </is>
      </c>
      <c r="J1198" s="3">
        <f>HYPERLINK("https://www.codechef.com/problems/SHRTPROB155", "https://www.codechef.com/problems/SHRTPROB155")</f>
        <v/>
      </c>
      <c r="K1198" s="2" t="inlineStr"/>
      <c r="L1198" s="2" t="inlineStr"/>
      <c r="M1198" s="2" t="inlineStr"/>
      <c r="N1198" s="2" t="inlineStr">
        <is>
          <t>No</t>
        </is>
      </c>
      <c r="O1198" s="2" t="inlineStr">
        <is>
          <t>Unattempted</t>
        </is>
      </c>
    </row>
    <row r="1199">
      <c r="A1199" s="4" t="inlineStr">
        <is>
          <t>Interview Questions</t>
        </is>
      </c>
      <c r="B1199" s="4" t="inlineStr">
        <is>
          <t>Python Developer Interview Preparation</t>
        </is>
      </c>
      <c r="C1199" s="4" t="inlineStr">
        <is>
          <t>Prepare for freshers interviews for Python developer roles. Practice your responses for commonly asked Interview questions.</t>
        </is>
      </c>
      <c r="D1199" s="4" t="inlineStr">
        <is>
          <t>Advanced Python concepts - Advanced Python concepts</t>
        </is>
      </c>
      <c r="E1199" s="4" t="n">
        <v>75</v>
      </c>
      <c r="F1199" s="4" t="inlineStr">
        <is>
          <t>LogCraft</t>
        </is>
      </c>
      <c r="G1199" s="4" t="inlineStr">
        <is>
          <t>SHRTPROB156</t>
        </is>
      </c>
      <c r="H1199" s="4" t="inlineStr"/>
      <c r="I1199" s="4" t="inlineStr">
        <is>
          <t>Medium</t>
        </is>
      </c>
      <c r="J1199" s="5">
        <f>HYPERLINK("https://www.codechef.com/problems/SHRTPROB156", "https://www.codechef.com/problems/SHRTPROB156")</f>
        <v/>
      </c>
      <c r="K1199" s="4" t="inlineStr"/>
      <c r="L1199" s="4" t="inlineStr"/>
      <c r="M1199" s="4" t="inlineStr"/>
      <c r="N1199" s="4" t="inlineStr">
        <is>
          <t>No</t>
        </is>
      </c>
      <c r="O1199" s="4" t="inlineStr">
        <is>
          <t>Unattempted</t>
        </is>
      </c>
    </row>
    <row r="1200">
      <c r="A1200" s="2" t="inlineStr">
        <is>
          <t>Interview Questions</t>
        </is>
      </c>
      <c r="B1200" s="2" t="inlineStr">
        <is>
          <t>Python Developer Interview Preparation</t>
        </is>
      </c>
      <c r="C1200" s="2" t="inlineStr">
        <is>
          <t>Prepare for freshers interviews for Python developer roles. Practice your responses for commonly asked Interview questions.</t>
        </is>
      </c>
      <c r="D1200" s="2" t="inlineStr">
        <is>
          <t>Advanced Python concepts - Advanced Python concepts</t>
        </is>
      </c>
      <c r="E1200" s="2" t="n">
        <v>76</v>
      </c>
      <c r="F1200" s="2" t="inlineStr">
        <is>
          <t>Module Loading Deep Dive</t>
        </is>
      </c>
      <c r="G1200" s="2" t="inlineStr">
        <is>
          <t>SHRTPROB157</t>
        </is>
      </c>
      <c r="H1200" s="2" t="inlineStr"/>
      <c r="I1200" s="2" t="inlineStr">
        <is>
          <t>Hard</t>
        </is>
      </c>
      <c r="J1200" s="3">
        <f>HYPERLINK("https://www.codechef.com/problems/SHRTPROB157", "https://www.codechef.com/problems/SHRTPROB157")</f>
        <v/>
      </c>
      <c r="K1200" s="2" t="inlineStr"/>
      <c r="L1200" s="2" t="inlineStr"/>
      <c r="M1200" s="2" t="inlineStr"/>
      <c r="N1200" s="2" t="inlineStr">
        <is>
          <t>No</t>
        </is>
      </c>
      <c r="O1200" s="2" t="inlineStr">
        <is>
          <t>Unattempted</t>
        </is>
      </c>
    </row>
    <row r="1201">
      <c r="A1201" s="4" t="inlineStr">
        <is>
          <t>Interview Questions</t>
        </is>
      </c>
      <c r="B1201" s="4" t="inlineStr">
        <is>
          <t>Python Developer Interview Preparation</t>
        </is>
      </c>
      <c r="C1201" s="4" t="inlineStr">
        <is>
          <t>Prepare for freshers interviews for Python developer roles. Practice your responses for commonly asked Interview questions.</t>
        </is>
      </c>
      <c r="D1201" s="4" t="inlineStr">
        <is>
          <t>Advanced Python concepts - Advanced Python concepts</t>
        </is>
      </c>
      <c r="E1201" s="4" t="n">
        <v>77</v>
      </c>
      <c r="F1201" s="4" t="inlineStr">
        <is>
          <t>Custom Type Verification</t>
        </is>
      </c>
      <c r="G1201" s="4" t="inlineStr">
        <is>
          <t>SHRTPROB158</t>
        </is>
      </c>
      <c r="H1201" s="4" t="inlineStr"/>
      <c r="I1201" s="4" t="inlineStr">
        <is>
          <t>Medium</t>
        </is>
      </c>
      <c r="J1201" s="5">
        <f>HYPERLINK("https://www.codechef.com/problems/SHRTPROB158", "https://www.codechef.com/problems/SHRTPROB158")</f>
        <v/>
      </c>
      <c r="K1201" s="4" t="inlineStr"/>
      <c r="L1201" s="4" t="inlineStr"/>
      <c r="M1201" s="4" t="inlineStr"/>
      <c r="N1201" s="4" t="inlineStr">
        <is>
          <t>No</t>
        </is>
      </c>
      <c r="O1201" s="4" t="inlineStr">
        <is>
          <t>Unattempted</t>
        </is>
      </c>
    </row>
    <row r="1202">
      <c r="A1202" s="2" t="inlineStr">
        <is>
          <t>Interview Questions</t>
        </is>
      </c>
      <c r="B1202" s="2" t="inlineStr">
        <is>
          <t>Python Developer Interview Preparation</t>
        </is>
      </c>
      <c r="C1202" s="2" t="inlineStr">
        <is>
          <t>Prepare for freshers interviews for Python developer roles. Practice your responses for commonly asked Interview questions.</t>
        </is>
      </c>
      <c r="D1202" s="2" t="inlineStr">
        <is>
          <t>Advanced Python concepts - Advanced Python concepts</t>
        </is>
      </c>
      <c r="E1202" s="2" t="n">
        <v>78</v>
      </c>
      <c r="F1202" s="2" t="inlineStr">
        <is>
          <t>Attribute Delegation</t>
        </is>
      </c>
      <c r="G1202" s="2" t="inlineStr">
        <is>
          <t>SHRTPROB159</t>
        </is>
      </c>
      <c r="H1202" s="2" t="inlineStr"/>
      <c r="I1202" s="2" t="inlineStr">
        <is>
          <t>Medium</t>
        </is>
      </c>
      <c r="J1202" s="3">
        <f>HYPERLINK("https://www.codechef.com/problems/SHRTPROB159", "https://www.codechef.com/problems/SHRTPROB159")</f>
        <v/>
      </c>
      <c r="K1202" s="2" t="inlineStr"/>
      <c r="L1202" s="2" t="inlineStr"/>
      <c r="M1202" s="2" t="inlineStr"/>
      <c r="N1202" s="2" t="inlineStr">
        <is>
          <t>No</t>
        </is>
      </c>
      <c r="O1202" s="2" t="inlineStr">
        <is>
          <t>Unattempted</t>
        </is>
      </c>
    </row>
    <row r="1203">
      <c r="A1203" s="4" t="inlineStr">
        <is>
          <t>Interview Questions</t>
        </is>
      </c>
      <c r="B1203" s="4" t="inlineStr">
        <is>
          <t>Python Developer Interview Preparation</t>
        </is>
      </c>
      <c r="C1203" s="4" t="inlineStr">
        <is>
          <t>Prepare for freshers interviews for Python developer roles. Practice your responses for commonly asked Interview questions.</t>
        </is>
      </c>
      <c r="D1203" s="4" t="inlineStr">
        <is>
          <t>Advanced Python concepts - Advanced Python concepts</t>
        </is>
      </c>
      <c r="E1203" s="4" t="n">
        <v>79</v>
      </c>
      <c r="F1203" s="4" t="inlineStr">
        <is>
          <t>Event System Design</t>
        </is>
      </c>
      <c r="G1203" s="4" t="inlineStr">
        <is>
          <t>SHRTPROB160</t>
        </is>
      </c>
      <c r="H1203" s="4" t="inlineStr"/>
      <c r="I1203" s="4" t="inlineStr">
        <is>
          <t>Hard</t>
        </is>
      </c>
      <c r="J1203" s="5">
        <f>HYPERLINK("https://www.codechef.com/problems/SHRTPROB160", "https://www.codechef.com/problems/SHRTPROB160")</f>
        <v/>
      </c>
      <c r="K1203" s="4" t="inlineStr"/>
      <c r="L1203" s="4" t="inlineStr"/>
      <c r="M1203" s="4" t="inlineStr"/>
      <c r="N1203" s="4" t="inlineStr">
        <is>
          <t>No</t>
        </is>
      </c>
      <c r="O1203" s="4" t="inlineStr">
        <is>
          <t>Unattempted</t>
        </is>
      </c>
    </row>
    <row r="1204">
      <c r="A1204" s="2" t="inlineStr">
        <is>
          <t>Interview Questions</t>
        </is>
      </c>
      <c r="B1204" s="2" t="inlineStr">
        <is>
          <t>Python Developer Interview Preparation</t>
        </is>
      </c>
      <c r="C1204" s="2" t="inlineStr">
        <is>
          <t>Prepare for freshers interviews for Python developer roles. Practice your responses for commonly asked Interview questions.</t>
        </is>
      </c>
      <c r="D1204" s="2" t="inlineStr">
        <is>
          <t>Advanced Python concepts - Advanced Python concepts</t>
        </is>
      </c>
      <c r="E1204" s="2" t="n">
        <v>80</v>
      </c>
      <c r="F1204" s="2" t="inlineStr">
        <is>
          <t>Object Memory Optimization</t>
        </is>
      </c>
      <c r="G1204" s="2" t="inlineStr">
        <is>
          <t>SHRTPROB161</t>
        </is>
      </c>
      <c r="H1204" s="2" t="inlineStr"/>
      <c r="I1204" s="2" t="inlineStr">
        <is>
          <t>Medium</t>
        </is>
      </c>
      <c r="J1204" s="3">
        <f>HYPERLINK("https://www.codechef.com/problems/SHRTPROB161", "https://www.codechef.com/problems/SHRTPROB161")</f>
        <v/>
      </c>
      <c r="K1204" s="2" t="inlineStr"/>
      <c r="L1204" s="2" t="inlineStr"/>
      <c r="M1204" s="2" t="inlineStr"/>
      <c r="N1204" s="2" t="inlineStr">
        <is>
          <t>No</t>
        </is>
      </c>
      <c r="O1204" s="2" t="inlineStr">
        <is>
          <t>Unattempted</t>
        </is>
      </c>
    </row>
    <row r="1205">
      <c r="A1205" s="4" t="inlineStr">
        <is>
          <t>Interview Questions</t>
        </is>
      </c>
      <c r="B1205" s="4" t="inlineStr">
        <is>
          <t>Python Developer Interview Preparation</t>
        </is>
      </c>
      <c r="C1205" s="4" t="inlineStr">
        <is>
          <t>Prepare for freshers interviews for Python developer roles. Practice your responses for commonly asked Interview questions.</t>
        </is>
      </c>
      <c r="D1205" s="4" t="inlineStr">
        <is>
          <t>System design and Architecture - System design and Architecture</t>
        </is>
      </c>
      <c r="E1205" s="4" t="n">
        <v>81</v>
      </c>
      <c r="F1205" s="4" t="inlineStr">
        <is>
          <t>TaskFlow</t>
        </is>
      </c>
      <c r="G1205" s="4" t="inlineStr">
        <is>
          <t>SHRTPROB162</t>
        </is>
      </c>
      <c r="H1205" s="4" t="inlineStr"/>
      <c r="I1205" s="4" t="inlineStr">
        <is>
          <t>Medium</t>
        </is>
      </c>
      <c r="J1205" s="5">
        <f>HYPERLINK("https://www.codechef.com/problems/SHRTPROB162", "https://www.codechef.com/problems/SHRTPROB162")</f>
        <v/>
      </c>
      <c r="K1205" s="4" t="inlineStr"/>
      <c r="L1205" s="4" t="inlineStr"/>
      <c r="M1205" s="4" t="inlineStr"/>
      <c r="N1205" s="4" t="inlineStr">
        <is>
          <t>No</t>
        </is>
      </c>
      <c r="O1205" s="4" t="inlineStr">
        <is>
          <t>Unattempted</t>
        </is>
      </c>
    </row>
    <row r="1206">
      <c r="A1206" s="2" t="inlineStr">
        <is>
          <t>Interview Questions</t>
        </is>
      </c>
      <c r="B1206" s="2" t="inlineStr">
        <is>
          <t>Python Developer Interview Preparation</t>
        </is>
      </c>
      <c r="C1206" s="2" t="inlineStr">
        <is>
          <t>Prepare for freshers interviews for Python developer roles. Practice your responses for commonly asked Interview questions.</t>
        </is>
      </c>
      <c r="D1206" s="2" t="inlineStr">
        <is>
          <t>System design and Architecture - System design and Architecture</t>
        </is>
      </c>
      <c r="E1206" s="2" t="n">
        <v>82</v>
      </c>
      <c r="F1206" s="2" t="inlineStr">
        <is>
          <t>Notification system</t>
        </is>
      </c>
      <c r="G1206" s="2" t="inlineStr">
        <is>
          <t>SHRTPROB163</t>
        </is>
      </c>
      <c r="H1206" s="2" t="inlineStr"/>
      <c r="I1206" s="2" t="inlineStr">
        <is>
          <t>Medium</t>
        </is>
      </c>
      <c r="J1206" s="3">
        <f>HYPERLINK("https://www.codechef.com/problems/SHRTPROB163", "https://www.codechef.com/problems/SHRTPROB163")</f>
        <v/>
      </c>
      <c r="K1206" s="2" t="inlineStr"/>
      <c r="L1206" s="2" t="inlineStr"/>
      <c r="M1206" s="2" t="inlineStr"/>
      <c r="N1206" s="2" t="inlineStr">
        <is>
          <t>No</t>
        </is>
      </c>
      <c r="O1206" s="2" t="inlineStr">
        <is>
          <t>Unattempted</t>
        </is>
      </c>
    </row>
    <row r="1207">
      <c r="A1207" s="4" t="inlineStr">
        <is>
          <t>Interview Questions</t>
        </is>
      </c>
      <c r="B1207" s="4" t="inlineStr">
        <is>
          <t>Python Developer Interview Preparation</t>
        </is>
      </c>
      <c r="C1207" s="4" t="inlineStr">
        <is>
          <t>Prepare for freshers interviews for Python developer roles. Practice your responses for commonly asked Interview questions.</t>
        </is>
      </c>
      <c r="D1207" s="4" t="inlineStr">
        <is>
          <t>System design and Architecture - System design and Architecture</t>
        </is>
      </c>
      <c r="E1207" s="4" t="n">
        <v>83</v>
      </c>
      <c r="F1207" s="4" t="inlineStr">
        <is>
          <t>URL shorterner</t>
        </is>
      </c>
      <c r="G1207" s="4" t="inlineStr">
        <is>
          <t>SHRTPROB164</t>
        </is>
      </c>
      <c r="H1207" s="4" t="inlineStr"/>
      <c r="I1207" s="4" t="inlineStr">
        <is>
          <t>Medium</t>
        </is>
      </c>
      <c r="J1207" s="5">
        <f>HYPERLINK("https://www.codechef.com/problems/SHRTPROB164", "https://www.codechef.com/problems/SHRTPROB164")</f>
        <v/>
      </c>
      <c r="K1207" s="4" t="inlineStr"/>
      <c r="L1207" s="4" t="inlineStr"/>
      <c r="M1207" s="4" t="inlineStr"/>
      <c r="N1207" s="4" t="inlineStr">
        <is>
          <t>No</t>
        </is>
      </c>
      <c r="O1207" s="4" t="inlineStr">
        <is>
          <t>Unattempted</t>
        </is>
      </c>
    </row>
    <row r="1208">
      <c r="A1208" s="2" t="inlineStr">
        <is>
          <t>Interview Questions</t>
        </is>
      </c>
      <c r="B1208" s="2" t="inlineStr">
        <is>
          <t>Python Developer Interview Preparation</t>
        </is>
      </c>
      <c r="C1208" s="2" t="inlineStr">
        <is>
          <t>Prepare for freshers interviews for Python developer roles. Practice your responses for commonly asked Interview questions.</t>
        </is>
      </c>
      <c r="D1208" s="2" t="inlineStr">
        <is>
          <t>System design and Architecture - System design and Architecture</t>
        </is>
      </c>
      <c r="E1208" s="2" t="n">
        <v>84</v>
      </c>
      <c r="F1208" s="2" t="inlineStr">
        <is>
          <t>Rate limiting</t>
        </is>
      </c>
      <c r="G1208" s="2" t="inlineStr">
        <is>
          <t>SHRTPROB165</t>
        </is>
      </c>
      <c r="H1208" s="2" t="inlineStr"/>
      <c r="I1208" s="2" t="inlineStr">
        <is>
          <t>Medium</t>
        </is>
      </c>
      <c r="J1208" s="3">
        <f>HYPERLINK("https://www.codechef.com/problems/SHRTPROB165", "https://www.codechef.com/problems/SHRTPROB165")</f>
        <v/>
      </c>
      <c r="K1208" s="2" t="inlineStr"/>
      <c r="L1208" s="2" t="inlineStr"/>
      <c r="M1208" s="2" t="inlineStr"/>
      <c r="N1208" s="2" t="inlineStr">
        <is>
          <t>No</t>
        </is>
      </c>
      <c r="O1208" s="2" t="inlineStr">
        <is>
          <t>Unattempted</t>
        </is>
      </c>
    </row>
    <row r="1209">
      <c r="A1209" s="4" t="inlineStr">
        <is>
          <t>Interview Questions</t>
        </is>
      </c>
      <c r="B1209" s="4" t="inlineStr">
        <is>
          <t>Python Developer Interview Preparation</t>
        </is>
      </c>
      <c r="C1209" s="4" t="inlineStr">
        <is>
          <t>Prepare for freshers interviews for Python developer roles. Practice your responses for commonly asked Interview questions.</t>
        </is>
      </c>
      <c r="D1209" s="4" t="inlineStr">
        <is>
          <t>System design and Architecture - System design and Architecture</t>
        </is>
      </c>
      <c r="E1209" s="4" t="n">
        <v>85</v>
      </c>
      <c r="F1209" s="4" t="inlineStr">
        <is>
          <t>Basic search engine</t>
        </is>
      </c>
      <c r="G1209" s="4" t="inlineStr">
        <is>
          <t>SHRTPROB166</t>
        </is>
      </c>
      <c r="H1209" s="4" t="inlineStr"/>
      <c r="I1209" s="4" t="inlineStr">
        <is>
          <t>Easy</t>
        </is>
      </c>
      <c r="J1209" s="5">
        <f>HYPERLINK("https://www.codechef.com/problems/SHRTPROB166", "https://www.codechef.com/problems/SHRTPROB166")</f>
        <v/>
      </c>
      <c r="K1209" s="4" t="inlineStr"/>
      <c r="L1209" s="4" t="inlineStr"/>
      <c r="M1209" s="4" t="inlineStr"/>
      <c r="N1209" s="4" t="inlineStr">
        <is>
          <t>No</t>
        </is>
      </c>
      <c r="O1209" s="4" t="inlineStr">
        <is>
          <t>Unattempted</t>
        </is>
      </c>
    </row>
    <row r="1210">
      <c r="A1210" s="2" t="inlineStr">
        <is>
          <t>Interview Questions</t>
        </is>
      </c>
      <c r="B1210" s="2" t="inlineStr">
        <is>
          <t>Python Developer Interview Preparation</t>
        </is>
      </c>
      <c r="C1210" s="2" t="inlineStr">
        <is>
          <t>Prepare for freshers interviews for Python developer roles. Practice your responses for commonly asked Interview questions.</t>
        </is>
      </c>
      <c r="D1210" s="2" t="inlineStr">
        <is>
          <t>System design and Architecture - System design and Architecture</t>
        </is>
      </c>
      <c r="E1210" s="2" t="n">
        <v>86</v>
      </c>
      <c r="F1210" s="2" t="inlineStr">
        <is>
          <t>Caching system</t>
        </is>
      </c>
      <c r="G1210" s="2" t="inlineStr">
        <is>
          <t>SHRTPROB167</t>
        </is>
      </c>
      <c r="H1210" s="2" t="inlineStr"/>
      <c r="I1210" s="2" t="inlineStr">
        <is>
          <t>Medium</t>
        </is>
      </c>
      <c r="J1210" s="3">
        <f>HYPERLINK("https://www.codechef.com/problems/SHRTPROB167", "https://www.codechef.com/problems/SHRTPROB167")</f>
        <v/>
      </c>
      <c r="K1210" s="2" t="inlineStr"/>
      <c r="L1210" s="2" t="inlineStr"/>
      <c r="M1210" s="2" t="inlineStr"/>
      <c r="N1210" s="2" t="inlineStr">
        <is>
          <t>No</t>
        </is>
      </c>
      <c r="O1210" s="2" t="inlineStr">
        <is>
          <t>Unattempted</t>
        </is>
      </c>
    </row>
    <row r="1211">
      <c r="A1211" s="4" t="inlineStr">
        <is>
          <t>Interview Questions</t>
        </is>
      </c>
      <c r="B1211" s="4" t="inlineStr">
        <is>
          <t>Python Developer Interview Preparation</t>
        </is>
      </c>
      <c r="C1211" s="4" t="inlineStr">
        <is>
          <t>Prepare for freshers interviews for Python developer roles. Practice your responses for commonly asked Interview questions.</t>
        </is>
      </c>
      <c r="D1211" s="4" t="inlineStr">
        <is>
          <t>System design and Architecture - System design and Architecture</t>
        </is>
      </c>
      <c r="E1211" s="4" t="n">
        <v>87</v>
      </c>
      <c r="F1211" s="4" t="inlineStr">
        <is>
          <t>Social media feed</t>
        </is>
      </c>
      <c r="G1211" s="4" t="inlineStr">
        <is>
          <t>SHRTPROB168</t>
        </is>
      </c>
      <c r="H1211" s="4" t="inlineStr"/>
      <c r="I1211" s="4" t="inlineStr">
        <is>
          <t>Medium</t>
        </is>
      </c>
      <c r="J1211" s="5">
        <f>HYPERLINK("https://www.codechef.com/problems/SHRTPROB168", "https://www.codechef.com/problems/SHRTPROB168")</f>
        <v/>
      </c>
      <c r="K1211" s="4" t="inlineStr"/>
      <c r="L1211" s="4" t="inlineStr"/>
      <c r="M1211" s="4" t="inlineStr"/>
      <c r="N1211" s="4" t="inlineStr">
        <is>
          <t>No</t>
        </is>
      </c>
      <c r="O1211" s="4" t="inlineStr">
        <is>
          <t>Unattempted</t>
        </is>
      </c>
    </row>
    <row r="1212">
      <c r="A1212" s="2" t="inlineStr">
        <is>
          <t>Interview Questions</t>
        </is>
      </c>
      <c r="B1212" s="2" t="inlineStr">
        <is>
          <t>Python Developer Interview Preparation</t>
        </is>
      </c>
      <c r="C1212" s="2" t="inlineStr">
        <is>
          <t>Prepare for freshers interviews for Python developer roles. Practice your responses for commonly asked Interview questions.</t>
        </is>
      </c>
      <c r="D1212" s="2" t="inlineStr">
        <is>
          <t>System design and Architecture - System design and Architecture</t>
        </is>
      </c>
      <c r="E1212" s="2" t="n">
        <v>88</v>
      </c>
      <c r="F1212" s="2" t="inlineStr">
        <is>
          <t>Recommendation system</t>
        </is>
      </c>
      <c r="G1212" s="2" t="inlineStr">
        <is>
          <t>SHRTPROB169</t>
        </is>
      </c>
      <c r="H1212" s="2" t="inlineStr"/>
      <c r="I1212" s="2" t="inlineStr">
        <is>
          <t>Medium</t>
        </is>
      </c>
      <c r="J1212" s="3">
        <f>HYPERLINK("https://www.codechef.com/problems/SHRTPROB169", "https://www.codechef.com/problems/SHRTPROB169")</f>
        <v/>
      </c>
      <c r="K1212" s="2" t="inlineStr"/>
      <c r="L1212" s="2" t="inlineStr"/>
      <c r="M1212" s="2" t="inlineStr"/>
      <c r="N1212" s="2" t="inlineStr">
        <is>
          <t>No</t>
        </is>
      </c>
      <c r="O1212" s="2" t="inlineStr">
        <is>
          <t>Unattempted</t>
        </is>
      </c>
    </row>
    <row r="1213">
      <c r="A1213" s="4" t="inlineStr">
        <is>
          <t>Interview Questions</t>
        </is>
      </c>
      <c r="B1213" s="4" t="inlineStr">
        <is>
          <t>Python Developer Interview Preparation</t>
        </is>
      </c>
      <c r="C1213" s="4" t="inlineStr">
        <is>
          <t>Prepare for freshers interviews for Python developer roles. Practice your responses for commonly asked Interview questions.</t>
        </is>
      </c>
      <c r="D1213" s="4" t="inlineStr">
        <is>
          <t>System design and Architecture - System design and Architecture</t>
        </is>
      </c>
      <c r="E1213" s="4" t="n">
        <v>89</v>
      </c>
      <c r="F1213" s="4" t="inlineStr">
        <is>
          <t>File storage system</t>
        </is>
      </c>
      <c r="G1213" s="4" t="inlineStr">
        <is>
          <t>SHRTPROB170</t>
        </is>
      </c>
      <c r="H1213" s="4" t="inlineStr"/>
      <c r="I1213" s="4" t="inlineStr">
        <is>
          <t>Medium</t>
        </is>
      </c>
      <c r="J1213" s="5">
        <f>HYPERLINK("https://www.codechef.com/problems/SHRTPROB170", "https://www.codechef.com/problems/SHRTPROB170")</f>
        <v/>
      </c>
      <c r="K1213" s="4" t="inlineStr"/>
      <c r="L1213" s="4" t="inlineStr"/>
      <c r="M1213" s="4" t="inlineStr"/>
      <c r="N1213" s="4" t="inlineStr">
        <is>
          <t>No</t>
        </is>
      </c>
      <c r="O1213" s="4" t="inlineStr">
        <is>
          <t>Unattempted</t>
        </is>
      </c>
    </row>
    <row r="1214">
      <c r="A1214" s="2" t="inlineStr">
        <is>
          <t>Interview Questions</t>
        </is>
      </c>
      <c r="B1214" s="2" t="inlineStr">
        <is>
          <t>Python Developer Interview Preparation</t>
        </is>
      </c>
      <c r="C1214" s="2" t="inlineStr">
        <is>
          <t>Prepare for freshers interviews for Python developer roles. Practice your responses for commonly asked Interview questions.</t>
        </is>
      </c>
      <c r="D1214" s="2" t="inlineStr">
        <is>
          <t>System design and Architecture - System design and Architecture</t>
        </is>
      </c>
      <c r="E1214" s="2" t="n">
        <v>90</v>
      </c>
      <c r="F1214" s="2" t="inlineStr">
        <is>
          <t>Payment processing system</t>
        </is>
      </c>
      <c r="G1214" s="2" t="inlineStr">
        <is>
          <t>SHRTPROB171</t>
        </is>
      </c>
      <c r="H1214" s="2" t="inlineStr"/>
      <c r="I1214" s="2" t="inlineStr">
        <is>
          <t>Hard</t>
        </is>
      </c>
      <c r="J1214" s="3">
        <f>HYPERLINK("https://www.codechef.com/problems/SHRTPROB171", "https://www.codechef.com/problems/SHRTPROB171")</f>
        <v/>
      </c>
      <c r="K1214" s="2" t="inlineStr"/>
      <c r="L1214" s="2" t="inlineStr"/>
      <c r="M1214" s="2" t="inlineStr"/>
      <c r="N1214" s="2" t="inlineStr">
        <is>
          <t>No</t>
        </is>
      </c>
      <c r="O1214" s="2" t="inlineStr">
        <is>
          <t>Unattempted</t>
        </is>
      </c>
    </row>
    <row r="1215">
      <c r="A1215" s="4" t="inlineStr">
        <is>
          <t>Interview Questions</t>
        </is>
      </c>
      <c r="B1215" s="4" t="inlineStr">
        <is>
          <t>Python Developer Interview Preparation</t>
        </is>
      </c>
      <c r="C1215" s="4" t="inlineStr">
        <is>
          <t>Prepare for freshers interviews for Python developer roles. Practice your responses for commonly asked Interview questions.</t>
        </is>
      </c>
      <c r="D1215" s="4" t="inlineStr">
        <is>
          <t>System design and Architecture - System design and Architecture</t>
        </is>
      </c>
      <c r="E1215" s="4" t="n">
        <v>91</v>
      </c>
      <c r="F1215" s="4" t="inlineStr">
        <is>
          <t>StreamVerse</t>
        </is>
      </c>
      <c r="G1215" s="4" t="inlineStr">
        <is>
          <t>SHRTPROB172</t>
        </is>
      </c>
      <c r="H1215" s="4" t="inlineStr"/>
      <c r="I1215" s="4" t="inlineStr">
        <is>
          <t>Hard</t>
        </is>
      </c>
      <c r="J1215" s="5">
        <f>HYPERLINK("https://www.codechef.com/problems/SHRTPROB172", "https://www.codechef.com/problems/SHRTPROB172")</f>
        <v/>
      </c>
      <c r="K1215" s="4" t="inlineStr"/>
      <c r="L1215" s="4" t="inlineStr"/>
      <c r="M1215" s="4" t="inlineStr"/>
      <c r="N1215" s="4" t="inlineStr">
        <is>
          <t>No</t>
        </is>
      </c>
      <c r="O1215" s="4" t="inlineStr">
        <is>
          <t>Unattempted</t>
        </is>
      </c>
    </row>
    <row r="1216">
      <c r="A1216" s="2" t="inlineStr">
        <is>
          <t>Interview Questions</t>
        </is>
      </c>
      <c r="B1216" s="2" t="inlineStr">
        <is>
          <t>Python Developer Interview Preparation</t>
        </is>
      </c>
      <c r="C1216" s="2" t="inlineStr">
        <is>
          <t>Prepare for freshers interviews for Python developer roles. Practice your responses for commonly asked Interview questions.</t>
        </is>
      </c>
      <c r="D1216" s="2" t="inlineStr">
        <is>
          <t>System design and Architecture - System design and Architecture</t>
        </is>
      </c>
      <c r="E1216" s="2" t="n">
        <v>92</v>
      </c>
      <c r="F1216" s="2" t="inlineStr">
        <is>
          <t>Simple Logger</t>
        </is>
      </c>
      <c r="G1216" s="2" t="inlineStr">
        <is>
          <t>SHRTPROB173</t>
        </is>
      </c>
      <c r="H1216" s="2" t="inlineStr"/>
      <c r="I1216" s="2" t="inlineStr">
        <is>
          <t>Easy</t>
        </is>
      </c>
      <c r="J1216" s="3">
        <f>HYPERLINK("https://www.codechef.com/problems/SHRTPROB173", "https://www.codechef.com/problems/SHRTPROB173")</f>
        <v/>
      </c>
      <c r="K1216" s="2" t="inlineStr"/>
      <c r="L1216" s="2" t="inlineStr"/>
      <c r="M1216" s="2" t="inlineStr"/>
      <c r="N1216" s="2" t="inlineStr">
        <is>
          <t>No</t>
        </is>
      </c>
      <c r="O1216" s="2" t="inlineStr">
        <is>
          <t>Unattempted</t>
        </is>
      </c>
    </row>
    <row r="1217">
      <c r="A1217" s="4" t="inlineStr">
        <is>
          <t>Interview Questions</t>
        </is>
      </c>
      <c r="B1217" s="4" t="inlineStr">
        <is>
          <t>Python Developer Interview Preparation</t>
        </is>
      </c>
      <c r="C1217" s="4" t="inlineStr">
        <is>
          <t>Prepare for freshers interviews for Python developer roles. Practice your responses for commonly asked Interview questions.</t>
        </is>
      </c>
      <c r="D1217" s="4" t="inlineStr">
        <is>
          <t>System design and Architecture - System design and Architecture</t>
        </is>
      </c>
      <c r="E1217" s="4" t="n">
        <v>93</v>
      </c>
      <c r="F1217" s="4" t="inlineStr">
        <is>
          <t>User authentication</t>
        </is>
      </c>
      <c r="G1217" s="4" t="inlineStr">
        <is>
          <t>SHRTPROB174</t>
        </is>
      </c>
      <c r="H1217" s="4" t="inlineStr"/>
      <c r="I1217" s="4" t="inlineStr">
        <is>
          <t>Medium</t>
        </is>
      </c>
      <c r="J1217" s="5">
        <f>HYPERLINK("https://www.codechef.com/problems/SHRTPROB174", "https://www.codechef.com/problems/SHRTPROB174")</f>
        <v/>
      </c>
      <c r="K1217" s="4" t="inlineStr"/>
      <c r="L1217" s="4" t="inlineStr"/>
      <c r="M1217" s="4" t="inlineStr"/>
      <c r="N1217" s="4" t="inlineStr">
        <is>
          <t>No</t>
        </is>
      </c>
      <c r="O1217" s="4" t="inlineStr">
        <is>
          <t>Unattempted</t>
        </is>
      </c>
    </row>
    <row r="1218">
      <c r="A1218" s="2" t="inlineStr">
        <is>
          <t>Interview Questions</t>
        </is>
      </c>
      <c r="B1218" s="2" t="inlineStr">
        <is>
          <t>Python Developer Interview Preparation</t>
        </is>
      </c>
      <c r="C1218" s="2" t="inlineStr">
        <is>
          <t>Prepare for freshers interviews for Python developer roles. Practice your responses for commonly asked Interview questions.</t>
        </is>
      </c>
      <c r="D1218" s="2" t="inlineStr">
        <is>
          <t>System design and Architecture - System design and Architecture</t>
        </is>
      </c>
      <c r="E1218" s="2" t="n">
        <v>94</v>
      </c>
      <c r="F1218" s="2" t="inlineStr">
        <is>
          <t>Messaging system</t>
        </is>
      </c>
      <c r="G1218" s="2" t="inlineStr">
        <is>
          <t>SHRTPROB175</t>
        </is>
      </c>
      <c r="H1218" s="2" t="inlineStr"/>
      <c r="I1218" s="2" t="inlineStr">
        <is>
          <t>Hard</t>
        </is>
      </c>
      <c r="J1218" s="3">
        <f>HYPERLINK("https://www.codechef.com/problems/SHRTPROB175", "https://www.codechef.com/problems/SHRTPROB175")</f>
        <v/>
      </c>
      <c r="K1218" s="2" t="inlineStr"/>
      <c r="L1218" s="2" t="inlineStr"/>
      <c r="M1218" s="2" t="inlineStr"/>
      <c r="N1218" s="2" t="inlineStr">
        <is>
          <t>No</t>
        </is>
      </c>
      <c r="O1218" s="2" t="inlineStr">
        <is>
          <t>Unattempted</t>
        </is>
      </c>
    </row>
    <row r="1219">
      <c r="A1219" s="4" t="inlineStr">
        <is>
          <t>Interview Questions</t>
        </is>
      </c>
      <c r="B1219" s="4" t="inlineStr">
        <is>
          <t>Python Developer Interview Preparation</t>
        </is>
      </c>
      <c r="C1219" s="4" t="inlineStr">
        <is>
          <t>Prepare for freshers interviews for Python developer roles. Practice your responses for commonly asked Interview questions.</t>
        </is>
      </c>
      <c r="D1219" s="4" t="inlineStr">
        <is>
          <t>System design and Architecture - System design and Architecture</t>
        </is>
      </c>
      <c r="E1219" s="4" t="n">
        <v>95</v>
      </c>
      <c r="F1219" s="4" t="inlineStr">
        <is>
          <t>Content moderation system</t>
        </is>
      </c>
      <c r="G1219" s="4" t="inlineStr">
        <is>
          <t>SHRTPROB176</t>
        </is>
      </c>
      <c r="H1219" s="4" t="inlineStr"/>
      <c r="I1219" s="4" t="inlineStr">
        <is>
          <t>Medium</t>
        </is>
      </c>
      <c r="J1219" s="5">
        <f>HYPERLINK("https://www.codechef.com/problems/SHRTPROB176", "https://www.codechef.com/problems/SHRTPROB176")</f>
        <v/>
      </c>
      <c r="K1219" s="4" t="inlineStr"/>
      <c r="L1219" s="4" t="inlineStr"/>
      <c r="M1219" s="4" t="inlineStr"/>
      <c r="N1219" s="4" t="inlineStr">
        <is>
          <t>No</t>
        </is>
      </c>
      <c r="O1219" s="4" t="inlineStr">
        <is>
          <t>Unattempted</t>
        </is>
      </c>
    </row>
    <row r="1220">
      <c r="A1220" s="2" t="inlineStr">
        <is>
          <t>Interview Questions</t>
        </is>
      </c>
      <c r="B1220" s="2" t="inlineStr">
        <is>
          <t>Python Developer Interview Preparation</t>
        </is>
      </c>
      <c r="C1220" s="2" t="inlineStr">
        <is>
          <t>Prepare for freshers interviews for Python developer roles. Practice your responses for commonly asked Interview questions.</t>
        </is>
      </c>
      <c r="D1220" s="2" t="inlineStr">
        <is>
          <t>System design and Architecture - System design and Architecture</t>
        </is>
      </c>
      <c r="E1220" s="2" t="n">
        <v>96</v>
      </c>
      <c r="F1220" s="2" t="inlineStr">
        <is>
          <t>Analytics system</t>
        </is>
      </c>
      <c r="G1220" s="2" t="inlineStr">
        <is>
          <t>SHRTPROB177</t>
        </is>
      </c>
      <c r="H1220" s="2" t="inlineStr"/>
      <c r="I1220" s="2" t="inlineStr">
        <is>
          <t>Hard</t>
        </is>
      </c>
      <c r="J1220" s="3">
        <f>HYPERLINK("https://www.codechef.com/problems/SHRTPROB177", "https://www.codechef.com/problems/SHRTPROB177")</f>
        <v/>
      </c>
      <c r="K1220" s="2" t="inlineStr"/>
      <c r="L1220" s="2" t="inlineStr"/>
      <c r="M1220" s="2" t="inlineStr"/>
      <c r="N1220" s="2" t="inlineStr">
        <is>
          <t>No</t>
        </is>
      </c>
      <c r="O1220" s="2" t="inlineStr">
        <is>
          <t>Unattempted</t>
        </is>
      </c>
    </row>
    <row r="1221">
      <c r="A1221" s="4" t="inlineStr">
        <is>
          <t>Interview Questions</t>
        </is>
      </c>
      <c r="B1221" s="4" t="inlineStr">
        <is>
          <t>Python Developer Interview Preparation</t>
        </is>
      </c>
      <c r="C1221" s="4" t="inlineStr">
        <is>
          <t>Prepare for freshers interviews for Python developer roles. Practice your responses for commonly asked Interview questions.</t>
        </is>
      </c>
      <c r="D1221" s="4" t="inlineStr">
        <is>
          <t>System design and Architecture - System design and Architecture</t>
        </is>
      </c>
      <c r="E1221" s="4" t="n">
        <v>97</v>
      </c>
      <c r="F1221" s="4" t="inlineStr">
        <is>
          <t>Distributed locking</t>
        </is>
      </c>
      <c r="G1221" s="4" t="inlineStr">
        <is>
          <t>SHRTPROB178</t>
        </is>
      </c>
      <c r="H1221" s="4" t="inlineStr"/>
      <c r="I1221" s="4" t="inlineStr">
        <is>
          <t>Hard</t>
        </is>
      </c>
      <c r="J1221" s="5">
        <f>HYPERLINK("https://www.codechef.com/problems/SHRTPROB178", "https://www.codechef.com/problems/SHRTPROB178")</f>
        <v/>
      </c>
      <c r="K1221" s="4" t="inlineStr"/>
      <c r="L1221" s="4" t="inlineStr"/>
      <c r="M1221" s="4" t="inlineStr"/>
      <c r="N1221" s="4" t="inlineStr">
        <is>
          <t>No</t>
        </is>
      </c>
      <c r="O1221" s="4" t="inlineStr">
        <is>
          <t>Unattempted</t>
        </is>
      </c>
    </row>
    <row r="1222">
      <c r="A1222" s="2" t="inlineStr">
        <is>
          <t>Interview Questions</t>
        </is>
      </c>
      <c r="B1222" s="2" t="inlineStr">
        <is>
          <t>Python Developer Interview Preparation</t>
        </is>
      </c>
      <c r="C1222" s="2" t="inlineStr">
        <is>
          <t>Prepare for freshers interviews for Python developer roles. Practice your responses for commonly asked Interview questions.</t>
        </is>
      </c>
      <c r="D1222" s="2" t="inlineStr">
        <is>
          <t>System design and Architecture - System design and Architecture</t>
        </is>
      </c>
      <c r="E1222" s="2" t="n">
        <v>98</v>
      </c>
      <c r="F1222" s="2" t="inlineStr">
        <is>
          <t>Job scheduling</t>
        </is>
      </c>
      <c r="G1222" s="2" t="inlineStr">
        <is>
          <t>SHRTPROB179</t>
        </is>
      </c>
      <c r="H1222" s="2" t="inlineStr"/>
      <c r="I1222" s="2" t="inlineStr">
        <is>
          <t>Hard</t>
        </is>
      </c>
      <c r="J1222" s="3">
        <f>HYPERLINK("https://www.codechef.com/problems/SHRTPROB179", "https://www.codechef.com/problems/SHRTPROB179")</f>
        <v/>
      </c>
      <c r="K1222" s="2" t="inlineStr"/>
      <c r="L1222" s="2" t="inlineStr"/>
      <c r="M1222" s="2" t="inlineStr"/>
      <c r="N1222" s="2" t="inlineStr">
        <is>
          <t>No</t>
        </is>
      </c>
      <c r="O1222" s="2" t="inlineStr">
        <is>
          <t>Unattempted</t>
        </is>
      </c>
    </row>
    <row r="1223">
      <c r="A1223" s="4" t="inlineStr">
        <is>
          <t>Interview Questions</t>
        </is>
      </c>
      <c r="B1223" s="4" t="inlineStr">
        <is>
          <t>Python Developer Interview Preparation</t>
        </is>
      </c>
      <c r="C1223" s="4" t="inlineStr">
        <is>
          <t>Prepare for freshers interviews for Python developer roles. Practice your responses for commonly asked Interview questions.</t>
        </is>
      </c>
      <c r="D1223" s="4" t="inlineStr">
        <is>
          <t>System design and Architecture - System design and Architecture</t>
        </is>
      </c>
      <c r="E1223" s="4" t="n">
        <v>99</v>
      </c>
      <c r="F1223" s="4" t="inlineStr">
        <is>
          <t>Configuration management system</t>
        </is>
      </c>
      <c r="G1223" s="4" t="inlineStr">
        <is>
          <t>SHRTPROB180</t>
        </is>
      </c>
      <c r="H1223" s="4" t="inlineStr"/>
      <c r="I1223" s="4" t="inlineStr">
        <is>
          <t>Easy</t>
        </is>
      </c>
      <c r="J1223" s="5">
        <f>HYPERLINK("https://www.codechef.com/problems/SHRTPROB180", "https://www.codechef.com/problems/SHRTPROB180")</f>
        <v/>
      </c>
      <c r="K1223" s="4" t="inlineStr"/>
      <c r="L1223" s="4" t="inlineStr"/>
      <c r="M1223" s="4" t="inlineStr"/>
      <c r="N1223" s="4" t="inlineStr">
        <is>
          <t>No</t>
        </is>
      </c>
      <c r="O1223" s="4" t="inlineStr">
        <is>
          <t>Unattempted</t>
        </is>
      </c>
    </row>
    <row r="1224">
      <c r="A1224" s="2" t="inlineStr">
        <is>
          <t>Interview Questions</t>
        </is>
      </c>
      <c r="B1224" s="2" t="inlineStr">
        <is>
          <t>Python Developer Interview Preparation</t>
        </is>
      </c>
      <c r="C1224" s="2" t="inlineStr">
        <is>
          <t>Prepare for freshers interviews for Python developer roles. Practice your responses for commonly asked Interview questions.</t>
        </is>
      </c>
      <c r="D1224" s="2" t="inlineStr">
        <is>
          <t>System design and Architecture - System design and Architecture</t>
        </is>
      </c>
      <c r="E1224" s="2" t="n">
        <v>100</v>
      </c>
      <c r="F1224" s="2" t="inlineStr">
        <is>
          <t>Microservices architecture</t>
        </is>
      </c>
      <c r="G1224" s="2" t="inlineStr">
        <is>
          <t>SHRTPROB181</t>
        </is>
      </c>
      <c r="H1224" s="2" t="inlineStr"/>
      <c r="I1224" s="2" t="inlineStr">
        <is>
          <t>Hard</t>
        </is>
      </c>
      <c r="J1224" s="3">
        <f>HYPERLINK("https://www.codechef.com/problems/SHRTPROB181", "https://www.codechef.com/problems/SHRTPROB181")</f>
        <v/>
      </c>
      <c r="K1224" s="2" t="inlineStr"/>
      <c r="L1224" s="2" t="inlineStr"/>
      <c r="M1224" s="2" t="inlineStr"/>
      <c r="N1224" s="2" t="inlineStr">
        <is>
          <t>No</t>
        </is>
      </c>
      <c r="O1224" s="2" t="inlineStr">
        <is>
          <t>Unattempted</t>
        </is>
      </c>
    </row>
    <row r="1225">
      <c r="A1225" s="4" t="inlineStr">
        <is>
          <t>Interview Questions</t>
        </is>
      </c>
      <c r="B1225" s="4" t="inlineStr">
        <is>
          <t>Python Developer Interview Preparation</t>
        </is>
      </c>
      <c r="C1225" s="4" t="inlineStr">
        <is>
          <t>Prepare for freshers interviews for Python developer roles. Practice your responses for commonly asked Interview questions.</t>
        </is>
      </c>
      <c r="D1225" s="4" t="inlineStr">
        <is>
          <t>Project implementation - Project implementation</t>
        </is>
      </c>
      <c r="E1225" s="4" t="n">
        <v>101</v>
      </c>
      <c r="F1225" s="4" t="inlineStr">
        <is>
          <t>Async Crawlers</t>
        </is>
      </c>
      <c r="G1225" s="4" t="inlineStr">
        <is>
          <t>SHRTPROB182</t>
        </is>
      </c>
      <c r="H1225" s="4" t="inlineStr"/>
      <c r="I1225" s="4" t="inlineStr">
        <is>
          <t>Medium</t>
        </is>
      </c>
      <c r="J1225" s="5">
        <f>HYPERLINK("https://www.codechef.com/problems/SHRTPROB182", "https://www.codechef.com/problems/SHRTPROB182")</f>
        <v/>
      </c>
      <c r="K1225" s="4" t="inlineStr"/>
      <c r="L1225" s="4" t="inlineStr"/>
      <c r="M1225" s="4" t="inlineStr"/>
      <c r="N1225" s="4" t="inlineStr">
        <is>
          <t>No</t>
        </is>
      </c>
      <c r="O1225" s="4" t="inlineStr">
        <is>
          <t>Unattempted</t>
        </is>
      </c>
    </row>
    <row r="1226">
      <c r="A1226" s="2" t="inlineStr">
        <is>
          <t>Interview Questions</t>
        </is>
      </c>
      <c r="B1226" s="2" t="inlineStr">
        <is>
          <t>Python Developer Interview Preparation</t>
        </is>
      </c>
      <c r="C1226" s="2" t="inlineStr">
        <is>
          <t>Prepare for freshers interviews for Python developer roles. Practice your responses for commonly asked Interview questions.</t>
        </is>
      </c>
      <c r="D1226" s="2" t="inlineStr">
        <is>
          <t>Project implementation - Project implementation</t>
        </is>
      </c>
      <c r="E1226" s="2" t="n">
        <v>102</v>
      </c>
      <c r="F1226" s="2" t="inlineStr">
        <is>
          <t>Real-Time Chat App with WebSockets</t>
        </is>
      </c>
      <c r="G1226" s="2" t="inlineStr">
        <is>
          <t>SHRTPROB183</t>
        </is>
      </c>
      <c r="H1226" s="2" t="inlineStr"/>
      <c r="I1226" s="2" t="inlineStr">
        <is>
          <t>Hard</t>
        </is>
      </c>
      <c r="J1226" s="3">
        <f>HYPERLINK("https://www.codechef.com/problems/SHRTPROB183", "https://www.codechef.com/problems/SHRTPROB183")</f>
        <v/>
      </c>
      <c r="K1226" s="2" t="inlineStr"/>
      <c r="L1226" s="2" t="inlineStr"/>
      <c r="M1226" s="2" t="inlineStr"/>
      <c r="N1226" s="2" t="inlineStr">
        <is>
          <t>No</t>
        </is>
      </c>
      <c r="O1226" s="2" t="inlineStr">
        <is>
          <t>Unattempted</t>
        </is>
      </c>
    </row>
    <row r="1227">
      <c r="A1227" s="4" t="inlineStr">
        <is>
          <t>Interview Questions</t>
        </is>
      </c>
      <c r="B1227" s="4" t="inlineStr">
        <is>
          <t>Python Developer Interview Preparation</t>
        </is>
      </c>
      <c r="C1227" s="4" t="inlineStr">
        <is>
          <t>Prepare for freshers interviews for Python developer roles. Practice your responses for commonly asked Interview questions.</t>
        </is>
      </c>
      <c r="D1227" s="4" t="inlineStr">
        <is>
          <t>Project implementation - Project implementation</t>
        </is>
      </c>
      <c r="E1227" s="4" t="n">
        <v>103</v>
      </c>
      <c r="F1227" s="4" t="inlineStr">
        <is>
          <t>Secured API</t>
        </is>
      </c>
      <c r="G1227" s="4" t="inlineStr">
        <is>
          <t>SHRTPROB184</t>
        </is>
      </c>
      <c r="H1227" s="4" t="inlineStr"/>
      <c r="I1227" s="4" t="inlineStr">
        <is>
          <t>Hard</t>
        </is>
      </c>
      <c r="J1227" s="5">
        <f>HYPERLINK("https://www.codechef.com/problems/SHRTPROB184", "https://www.codechef.com/problems/SHRTPROB184")</f>
        <v/>
      </c>
      <c r="K1227" s="4" t="inlineStr"/>
      <c r="L1227" s="4" t="inlineStr"/>
      <c r="M1227" s="4" t="inlineStr"/>
      <c r="N1227" s="4" t="inlineStr">
        <is>
          <t>No</t>
        </is>
      </c>
      <c r="O1227" s="4" t="inlineStr">
        <is>
          <t>Unattempted</t>
        </is>
      </c>
    </row>
    <row r="1228">
      <c r="A1228" s="2" t="inlineStr">
        <is>
          <t>Interview Questions</t>
        </is>
      </c>
      <c r="B1228" s="2" t="inlineStr">
        <is>
          <t>Python Developer Interview Preparation</t>
        </is>
      </c>
      <c r="C1228" s="2" t="inlineStr">
        <is>
          <t>Prepare for freshers interviews for Python developer roles. Practice your responses for commonly asked Interview questions.</t>
        </is>
      </c>
      <c r="D1228" s="2" t="inlineStr">
        <is>
          <t>Project implementation - Project implementation</t>
        </is>
      </c>
      <c r="E1228" s="2" t="n">
        <v>104</v>
      </c>
      <c r="F1228" s="2" t="inlineStr">
        <is>
          <t>Recommender Lite</t>
        </is>
      </c>
      <c r="G1228" s="2" t="inlineStr">
        <is>
          <t>SHRTPROB185</t>
        </is>
      </c>
      <c r="H1228" s="2" t="inlineStr"/>
      <c r="I1228" s="2" t="inlineStr">
        <is>
          <t>Hard</t>
        </is>
      </c>
      <c r="J1228" s="3">
        <f>HYPERLINK("https://www.codechef.com/problems/SHRTPROB185", "https://www.codechef.com/problems/SHRTPROB185")</f>
        <v/>
      </c>
      <c r="K1228" s="2" t="inlineStr"/>
      <c r="L1228" s="2" t="inlineStr"/>
      <c r="M1228" s="2" t="inlineStr"/>
      <c r="N1228" s="2" t="inlineStr">
        <is>
          <t>No</t>
        </is>
      </c>
      <c r="O1228" s="2" t="inlineStr">
        <is>
          <t>Unattempted</t>
        </is>
      </c>
    </row>
    <row r="1229">
      <c r="A1229" s="4" t="inlineStr">
        <is>
          <t>Interview Questions</t>
        </is>
      </c>
      <c r="B1229" s="4" t="inlineStr">
        <is>
          <t>Python Developer Interview Preparation</t>
        </is>
      </c>
      <c r="C1229" s="4" t="inlineStr">
        <is>
          <t>Prepare for freshers interviews for Python developer roles. Practice your responses for commonly asked Interview questions.</t>
        </is>
      </c>
      <c r="D1229" s="4" t="inlineStr">
        <is>
          <t>Project implementation - Project implementation</t>
        </is>
      </c>
      <c r="E1229" s="4" t="n">
        <v>105</v>
      </c>
      <c r="F1229" s="4" t="inlineStr">
        <is>
          <t>Resilient Task Scheduler</t>
        </is>
      </c>
      <c r="G1229" s="4" t="inlineStr">
        <is>
          <t>SHRTPROB186</t>
        </is>
      </c>
      <c r="H1229" s="4" t="inlineStr"/>
      <c r="I1229" s="4" t="inlineStr">
        <is>
          <t>Hard</t>
        </is>
      </c>
      <c r="J1229" s="5">
        <f>HYPERLINK("https://www.codechef.com/problems/SHRTPROB186", "https://www.codechef.com/problems/SHRTPROB186")</f>
        <v/>
      </c>
      <c r="K1229" s="4" t="inlineStr"/>
      <c r="L1229" s="4" t="inlineStr"/>
      <c r="M1229" s="4" t="inlineStr"/>
      <c r="N1229" s="4" t="inlineStr">
        <is>
          <t>No</t>
        </is>
      </c>
      <c r="O1229" s="4" t="inlineStr">
        <is>
          <t>Unattempted</t>
        </is>
      </c>
    </row>
    <row r="1230">
      <c r="A1230" s="2" t="inlineStr">
        <is>
          <t>Interview Questions</t>
        </is>
      </c>
      <c r="B1230" s="2" t="inlineStr">
        <is>
          <t>Python Developer Interview Preparation</t>
        </is>
      </c>
      <c r="C1230" s="2" t="inlineStr">
        <is>
          <t>Prepare for freshers interviews for Python developer roles. Practice your responses for commonly asked Interview questions.</t>
        </is>
      </c>
      <c r="D1230" s="2" t="inlineStr">
        <is>
          <t>Project implementation - Project implementation</t>
        </is>
      </c>
      <c r="E1230" s="2" t="n">
        <v>106</v>
      </c>
      <c r="F1230" s="2" t="inlineStr">
        <is>
          <t>Web Application Cache Implementation</t>
        </is>
      </c>
      <c r="G1230" s="2" t="inlineStr">
        <is>
          <t>SHRTPROB187</t>
        </is>
      </c>
      <c r="H1230" s="2" t="inlineStr"/>
      <c r="I1230" s="2" t="inlineStr">
        <is>
          <t>Hard</t>
        </is>
      </c>
      <c r="J1230" s="3">
        <f>HYPERLINK("https://www.codechef.com/problems/SHRTPROB187", "https://www.codechef.com/problems/SHRTPROB187")</f>
        <v/>
      </c>
      <c r="K1230" s="2" t="inlineStr"/>
      <c r="L1230" s="2" t="inlineStr"/>
      <c r="M1230" s="2" t="inlineStr"/>
      <c r="N1230" s="2" t="inlineStr">
        <is>
          <t>No</t>
        </is>
      </c>
      <c r="O1230" s="2" t="inlineStr">
        <is>
          <t>Unattempted</t>
        </is>
      </c>
    </row>
    <row r="1231">
      <c r="A1231" s="4" t="inlineStr">
        <is>
          <t>Interview Questions</t>
        </is>
      </c>
      <c r="B1231" s="4" t="inlineStr">
        <is>
          <t>Python Developer Interview Preparation</t>
        </is>
      </c>
      <c r="C1231" s="4" t="inlineStr">
        <is>
          <t>Prepare for freshers interviews for Python developer roles. Practice your responses for commonly asked Interview questions.</t>
        </is>
      </c>
      <c r="D1231" s="4" t="inlineStr">
        <is>
          <t>Project implementation - Project implementation</t>
        </is>
      </c>
      <c r="E1231" s="4" t="n">
        <v>107</v>
      </c>
      <c r="F1231" s="4" t="inlineStr">
        <is>
          <t>Simple Search Index</t>
        </is>
      </c>
      <c r="G1231" s="4" t="inlineStr">
        <is>
          <t>SHRTPROB188</t>
        </is>
      </c>
      <c r="H1231" s="4" t="inlineStr"/>
      <c r="I1231" s="4" t="inlineStr">
        <is>
          <t>Hard</t>
        </is>
      </c>
      <c r="J1231" s="5">
        <f>HYPERLINK("https://www.codechef.com/problems/SHRTPROB188", "https://www.codechef.com/problems/SHRTPROB188")</f>
        <v/>
      </c>
      <c r="K1231" s="4" t="inlineStr"/>
      <c r="L1231" s="4" t="inlineStr"/>
      <c r="M1231" s="4" t="inlineStr"/>
      <c r="N1231" s="4" t="inlineStr">
        <is>
          <t>No</t>
        </is>
      </c>
      <c r="O1231" s="4" t="inlineStr">
        <is>
          <t>Unattempted</t>
        </is>
      </c>
    </row>
    <row r="1232">
      <c r="A1232" s="2" t="inlineStr">
        <is>
          <t>Interview Questions</t>
        </is>
      </c>
      <c r="B1232" s="2" t="inlineStr">
        <is>
          <t>Python Developer Interview Preparation</t>
        </is>
      </c>
      <c r="C1232" s="2" t="inlineStr">
        <is>
          <t>Prepare for freshers interviews for Python developer roles. Practice your responses for commonly asked Interview questions.</t>
        </is>
      </c>
      <c r="D1232" s="2" t="inlineStr">
        <is>
          <t>Project implementation - Project implementation</t>
        </is>
      </c>
      <c r="E1232" s="2" t="n">
        <v>108</v>
      </c>
      <c r="F1232" s="2" t="inlineStr">
        <is>
          <t>Throttle</t>
        </is>
      </c>
      <c r="G1232" s="2" t="inlineStr">
        <is>
          <t>SHRTPROB189</t>
        </is>
      </c>
      <c r="H1232" s="2" t="inlineStr"/>
      <c r="I1232" s="2" t="inlineStr">
        <is>
          <t>Hard</t>
        </is>
      </c>
      <c r="J1232" s="3">
        <f>HYPERLINK("https://www.codechef.com/problems/SHRTPROB189", "https://www.codechef.com/problems/SHRTPROB189")</f>
        <v/>
      </c>
      <c r="K1232" s="2" t="inlineStr"/>
      <c r="L1232" s="2" t="inlineStr"/>
      <c r="M1232" s="2" t="inlineStr"/>
      <c r="N1232" s="2" t="inlineStr">
        <is>
          <t>No</t>
        </is>
      </c>
      <c r="O1232" s="2" t="inlineStr">
        <is>
          <t>Unattempted</t>
        </is>
      </c>
    </row>
    <row r="1233">
      <c r="A1233" s="4" t="inlineStr">
        <is>
          <t>Interview Questions</t>
        </is>
      </c>
      <c r="B1233" s="4" t="inlineStr">
        <is>
          <t>Python Developer Interview Preparation</t>
        </is>
      </c>
      <c r="C1233" s="4" t="inlineStr">
        <is>
          <t>Prepare for freshers interviews for Python developer roles. Practice your responses for commonly asked Interview questions.</t>
        </is>
      </c>
      <c r="D1233" s="4" t="inlineStr">
        <is>
          <t>Project implementation - Project implementation</t>
        </is>
      </c>
      <c r="E1233" s="4" t="n">
        <v>109</v>
      </c>
      <c r="F1233" s="4" t="inlineStr">
        <is>
          <t>SimpleQ</t>
        </is>
      </c>
      <c r="G1233" s="4" t="inlineStr">
        <is>
          <t>SHRTPROB190</t>
        </is>
      </c>
      <c r="H1233" s="4" t="inlineStr"/>
      <c r="I1233" s="4" t="inlineStr">
        <is>
          <t>Medium</t>
        </is>
      </c>
      <c r="J1233" s="5">
        <f>HYPERLINK("https://www.codechef.com/problems/SHRTPROB190", "https://www.codechef.com/problems/SHRTPROB190")</f>
        <v/>
      </c>
      <c r="K1233" s="4" t="inlineStr"/>
      <c r="L1233" s="4" t="inlineStr"/>
      <c r="M1233" s="4" t="inlineStr"/>
      <c r="N1233" s="4" t="inlineStr">
        <is>
          <t>No</t>
        </is>
      </c>
      <c r="O1233" s="4" t="inlineStr">
        <is>
          <t>Unattempted</t>
        </is>
      </c>
    </row>
    <row r="1234">
      <c r="A1234" s="2" t="inlineStr">
        <is>
          <t>Interview Questions</t>
        </is>
      </c>
      <c r="B1234" s="2" t="inlineStr">
        <is>
          <t>Python Developer Interview Preparation</t>
        </is>
      </c>
      <c r="C1234" s="2" t="inlineStr">
        <is>
          <t>Prepare for freshers interviews for Python developer roles. Practice your responses for commonly asked Interview questions.</t>
        </is>
      </c>
      <c r="D1234" s="2" t="inlineStr">
        <is>
          <t>Project implementation - Project implementation</t>
        </is>
      </c>
      <c r="E1234" s="2" t="n">
        <v>110</v>
      </c>
      <c r="F1234" s="2" t="inlineStr">
        <is>
          <t>SimpleBalancer</t>
        </is>
      </c>
      <c r="G1234" s="2" t="inlineStr">
        <is>
          <t>SHRTPROB191</t>
        </is>
      </c>
      <c r="H1234" s="2" t="inlineStr"/>
      <c r="I1234" s="2" t="inlineStr">
        <is>
          <t>Hard</t>
        </is>
      </c>
      <c r="J1234" s="3">
        <f>HYPERLINK("https://www.codechef.com/problems/SHRTPROB191", "https://www.codechef.com/problems/SHRTPROB191")</f>
        <v/>
      </c>
      <c r="K1234" s="2" t="inlineStr"/>
      <c r="L1234" s="2" t="inlineStr"/>
      <c r="M1234" s="2" t="inlineStr"/>
      <c r="N1234" s="2" t="inlineStr">
        <is>
          <t>No</t>
        </is>
      </c>
      <c r="O1234" s="2" t="inlineStr">
        <is>
          <t>Unattempted</t>
        </is>
      </c>
    </row>
    <row r="1235">
      <c r="A1235" s="4" t="inlineStr">
        <is>
          <t>Interview Questions</t>
        </is>
      </c>
      <c r="B1235" s="4" t="inlineStr">
        <is>
          <t>Python Developer Interview Preparation</t>
        </is>
      </c>
      <c r="C1235" s="4" t="inlineStr">
        <is>
          <t>Prepare for freshers interviews for Python developer roles. Practice your responses for commonly asked Interview questions.</t>
        </is>
      </c>
      <c r="D1235" s="4" t="inlineStr">
        <is>
          <t>Project implementation - Project implementation</t>
        </is>
      </c>
      <c r="E1235" s="4" t="n">
        <v>111</v>
      </c>
      <c r="F1235" s="4" t="inlineStr">
        <is>
          <t>Watchdog</t>
        </is>
      </c>
      <c r="G1235" s="4" t="inlineStr">
        <is>
          <t>SHRTPROB192</t>
        </is>
      </c>
      <c r="H1235" s="4" t="inlineStr"/>
      <c r="I1235" s="4" t="inlineStr">
        <is>
          <t>Hard</t>
        </is>
      </c>
      <c r="J1235" s="5">
        <f>HYPERLINK("https://www.codechef.com/problems/SHRTPROB192", "https://www.codechef.com/problems/SHRTPROB192")</f>
        <v/>
      </c>
      <c r="K1235" s="4" t="inlineStr"/>
      <c r="L1235" s="4" t="inlineStr"/>
      <c r="M1235" s="4" t="inlineStr"/>
      <c r="N1235" s="4" t="inlineStr">
        <is>
          <t>No</t>
        </is>
      </c>
      <c r="O1235" s="4" t="inlineStr">
        <is>
          <t>Unattempted</t>
        </is>
      </c>
    </row>
    <row r="1236">
      <c r="A1236" s="2" t="inlineStr">
        <is>
          <t>Interview Questions</t>
        </is>
      </c>
      <c r="B1236" s="2" t="inlineStr">
        <is>
          <t>Python Developer Interview Preparation</t>
        </is>
      </c>
      <c r="C1236" s="2" t="inlineStr">
        <is>
          <t>Prepare for freshers interviews for Python developer roles. Practice your responses for commonly asked Interview questions.</t>
        </is>
      </c>
      <c r="D1236" s="2" t="inlineStr">
        <is>
          <t>Project implementation - Project implementation</t>
        </is>
      </c>
      <c r="E1236" s="2" t="n">
        <v>112</v>
      </c>
      <c r="F1236" s="2" t="inlineStr">
        <is>
          <t>Orchestrator</t>
        </is>
      </c>
      <c r="G1236" s="2" t="inlineStr">
        <is>
          <t>SHRTPROB193</t>
        </is>
      </c>
      <c r="H1236" s="2" t="inlineStr"/>
      <c r="I1236" s="2" t="inlineStr">
        <is>
          <t>Hard</t>
        </is>
      </c>
      <c r="J1236" s="3">
        <f>HYPERLINK("https://www.codechef.com/problems/SHRTPROB193", "https://www.codechef.com/problems/SHRTPROB193")</f>
        <v/>
      </c>
      <c r="K1236" s="2" t="inlineStr"/>
      <c r="L1236" s="2" t="inlineStr"/>
      <c r="M1236" s="2" t="inlineStr"/>
      <c r="N1236" s="2" t="inlineStr">
        <is>
          <t>No</t>
        </is>
      </c>
      <c r="O1236" s="2" t="inlineStr">
        <is>
          <t>Unattempted</t>
        </is>
      </c>
    </row>
    <row r="1237">
      <c r="A1237" s="4" t="inlineStr">
        <is>
          <t>Interview Questions</t>
        </is>
      </c>
      <c r="B1237" s="4" t="inlineStr">
        <is>
          <t>Python Developer Interview Preparation</t>
        </is>
      </c>
      <c r="C1237" s="4" t="inlineStr">
        <is>
          <t>Prepare for freshers interviews for Python developer roles. Practice your responses for commonly asked Interview questions.</t>
        </is>
      </c>
      <c r="D1237" s="4" t="inlineStr">
        <is>
          <t>Project implementation - Project implementation</t>
        </is>
      </c>
      <c r="E1237" s="4" t="n">
        <v>113</v>
      </c>
      <c r="F1237" s="4" t="inlineStr">
        <is>
          <t>Automated Deployment Flow</t>
        </is>
      </c>
      <c r="G1237" s="4" t="inlineStr">
        <is>
          <t>SHRTPROB194</t>
        </is>
      </c>
      <c r="H1237" s="4" t="inlineStr"/>
      <c r="I1237" s="4" t="inlineStr">
        <is>
          <t>Hard</t>
        </is>
      </c>
      <c r="J1237" s="5">
        <f>HYPERLINK("https://www.codechef.com/problems/SHRTPROB194", "https://www.codechef.com/problems/SHRTPROB194")</f>
        <v/>
      </c>
      <c r="K1237" s="4" t="inlineStr"/>
      <c r="L1237" s="4" t="inlineStr"/>
      <c r="M1237" s="4" t="inlineStr"/>
      <c r="N1237" s="4" t="inlineStr">
        <is>
          <t>No</t>
        </is>
      </c>
      <c r="O1237" s="4" t="inlineStr">
        <is>
          <t>Unattempted</t>
        </is>
      </c>
    </row>
    <row r="1238">
      <c r="A1238" s="2" t="inlineStr">
        <is>
          <t>Interview Questions</t>
        </is>
      </c>
      <c r="B1238" s="2" t="inlineStr">
        <is>
          <t>Python Developer Interview Preparation</t>
        </is>
      </c>
      <c r="C1238" s="2" t="inlineStr">
        <is>
          <t>Prepare for freshers interviews for Python developer roles. Practice your responses for commonly asked Interview questions.</t>
        </is>
      </c>
      <c r="D1238" s="2" t="inlineStr">
        <is>
          <t>Project implementation - Project implementation</t>
        </is>
      </c>
      <c r="E1238" s="2" t="n">
        <v>114</v>
      </c>
      <c r="F1238" s="2" t="inlineStr">
        <is>
          <t>Orchestrator</t>
        </is>
      </c>
      <c r="G1238" s="2" t="inlineStr">
        <is>
          <t>SHRTPROB195</t>
        </is>
      </c>
      <c r="H1238" s="2" t="inlineStr"/>
      <c r="I1238" s="2" t="inlineStr">
        <is>
          <t>Hard</t>
        </is>
      </c>
      <c r="J1238" s="3">
        <f>HYPERLINK("https://www.codechef.com/problems/SHRTPROB195", "https://www.codechef.com/problems/SHRTPROB195")</f>
        <v/>
      </c>
      <c r="K1238" s="2" t="inlineStr"/>
      <c r="L1238" s="2" t="inlineStr"/>
      <c r="M1238" s="2" t="inlineStr"/>
      <c r="N1238" s="2" t="inlineStr">
        <is>
          <t>No</t>
        </is>
      </c>
      <c r="O1238" s="2" t="inlineStr">
        <is>
          <t>Unattempted</t>
        </is>
      </c>
    </row>
    <row r="1239">
      <c r="A1239" s="4" t="inlineStr">
        <is>
          <t>Interview Questions</t>
        </is>
      </c>
      <c r="B1239" s="4" t="inlineStr">
        <is>
          <t>Python Developer Interview Preparation</t>
        </is>
      </c>
      <c r="C1239" s="4" t="inlineStr">
        <is>
          <t>Prepare for freshers interviews for Python developer roles. Practice your responses for commonly asked Interview questions.</t>
        </is>
      </c>
      <c r="D1239" s="4" t="inlineStr">
        <is>
          <t>Project implementation - Project implementation</t>
        </is>
      </c>
      <c r="E1239" s="4" t="n">
        <v>115</v>
      </c>
      <c r="F1239" s="4" t="inlineStr">
        <is>
          <t>ServiceBeacon</t>
        </is>
      </c>
      <c r="G1239" s="4" t="inlineStr">
        <is>
          <t>SHRTPROB196</t>
        </is>
      </c>
      <c r="H1239" s="4" t="inlineStr"/>
      <c r="I1239" s="4" t="inlineStr">
        <is>
          <t>Hard</t>
        </is>
      </c>
      <c r="J1239" s="5">
        <f>HYPERLINK("https://www.codechef.com/problems/SHRTPROB196", "https://www.codechef.com/problems/SHRTPROB196")</f>
        <v/>
      </c>
      <c r="K1239" s="4" t="inlineStr"/>
      <c r="L1239" s="4" t="inlineStr"/>
      <c r="M1239" s="4" t="inlineStr"/>
      <c r="N1239" s="4" t="inlineStr">
        <is>
          <t>No</t>
        </is>
      </c>
      <c r="O1239" s="4" t="inlineStr">
        <is>
          <t>Unattempted</t>
        </is>
      </c>
    </row>
    <row r="1240">
      <c r="A1240" s="2" t="inlineStr">
        <is>
          <t>Interview Questions</t>
        </is>
      </c>
      <c r="B1240" s="2" t="inlineStr">
        <is>
          <t>Python Developer Interview Preparation</t>
        </is>
      </c>
      <c r="C1240" s="2" t="inlineStr">
        <is>
          <t>Prepare for freshers interviews for Python developer roles. Practice your responses for commonly asked Interview questions.</t>
        </is>
      </c>
      <c r="D1240" s="2" t="inlineStr">
        <is>
          <t>Project implementation - Project implementation</t>
        </is>
      </c>
      <c r="E1240" s="2" t="n">
        <v>116</v>
      </c>
      <c r="F1240" s="2" t="inlineStr">
        <is>
          <t>API Conduit</t>
        </is>
      </c>
      <c r="G1240" s="2" t="inlineStr">
        <is>
          <t>SHRTPROB197</t>
        </is>
      </c>
      <c r="H1240" s="2" t="inlineStr"/>
      <c r="I1240" s="2" t="inlineStr">
        <is>
          <t>Hard</t>
        </is>
      </c>
      <c r="J1240" s="3">
        <f>HYPERLINK("https://www.codechef.com/problems/SHRTPROB197", "https://www.codechef.com/problems/SHRTPROB197")</f>
        <v/>
      </c>
      <c r="K1240" s="2" t="inlineStr"/>
      <c r="L1240" s="2" t="inlineStr"/>
      <c r="M1240" s="2" t="inlineStr"/>
      <c r="N1240" s="2" t="inlineStr">
        <is>
          <t>No</t>
        </is>
      </c>
      <c r="O1240" s="2" t="inlineStr">
        <is>
          <t>Unattempted</t>
        </is>
      </c>
    </row>
    <row r="1241">
      <c r="A1241" s="4" t="inlineStr">
        <is>
          <t>Interview Questions</t>
        </is>
      </c>
      <c r="B1241" s="4" t="inlineStr">
        <is>
          <t>Python Developer Interview Preparation</t>
        </is>
      </c>
      <c r="C1241" s="4" t="inlineStr">
        <is>
          <t>Prepare for freshers interviews for Python developer roles. Practice your responses for commonly asked Interview questions.</t>
        </is>
      </c>
      <c r="D1241" s="4" t="inlineStr">
        <is>
          <t>Project implementation - Project implementation</t>
        </is>
      </c>
      <c r="E1241" s="4" t="n">
        <v>117</v>
      </c>
      <c r="F1241" s="4" t="inlineStr">
        <is>
          <t>Data Flow Blueprint</t>
        </is>
      </c>
      <c r="G1241" s="4" t="inlineStr">
        <is>
          <t>SHRTPROB198</t>
        </is>
      </c>
      <c r="H1241" s="4" t="inlineStr"/>
      <c r="I1241" s="4" t="inlineStr">
        <is>
          <t>Medium</t>
        </is>
      </c>
      <c r="J1241" s="5">
        <f>HYPERLINK("https://www.codechef.com/problems/SHRTPROB198", "https://www.codechef.com/problems/SHRTPROB198")</f>
        <v/>
      </c>
      <c r="K1241" s="4" t="inlineStr"/>
      <c r="L1241" s="4" t="inlineStr"/>
      <c r="M1241" s="4" t="inlineStr"/>
      <c r="N1241" s="4" t="inlineStr">
        <is>
          <t>No</t>
        </is>
      </c>
      <c r="O1241" s="4" t="inlineStr">
        <is>
          <t>Unattempted</t>
        </is>
      </c>
    </row>
    <row r="1242">
      <c r="A1242" s="2" t="inlineStr">
        <is>
          <t>Interview Questions</t>
        </is>
      </c>
      <c r="B1242" s="2" t="inlineStr">
        <is>
          <t>Python Developer Interview Preparation</t>
        </is>
      </c>
      <c r="C1242" s="2" t="inlineStr">
        <is>
          <t>Prepare for freshers interviews for Python developer roles. Practice your responses for commonly asked Interview questions.</t>
        </is>
      </c>
      <c r="D1242" s="2" t="inlineStr">
        <is>
          <t>Project implementation - Project implementation</t>
        </is>
      </c>
      <c r="E1242" s="2" t="n">
        <v>118</v>
      </c>
      <c r="F1242" s="2" t="inlineStr">
        <is>
          <t>AuthCore</t>
        </is>
      </c>
      <c r="G1242" s="2" t="inlineStr">
        <is>
          <t>SHRTPROB199</t>
        </is>
      </c>
      <c r="H1242" s="2" t="inlineStr"/>
      <c r="I1242" s="2" t="inlineStr">
        <is>
          <t>Hard</t>
        </is>
      </c>
      <c r="J1242" s="3">
        <f>HYPERLINK("https://www.codechef.com/problems/SHRTPROB199", "https://www.codechef.com/problems/SHRTPROB199")</f>
        <v/>
      </c>
      <c r="K1242" s="2" t="inlineStr"/>
      <c r="L1242" s="2" t="inlineStr"/>
      <c r="M1242" s="2" t="inlineStr"/>
      <c r="N1242" s="2" t="inlineStr">
        <is>
          <t>No</t>
        </is>
      </c>
      <c r="O1242" s="2" t="inlineStr">
        <is>
          <t>Unattempted</t>
        </is>
      </c>
    </row>
    <row r="1243">
      <c r="A1243" s="4" t="inlineStr">
        <is>
          <t>Interview Questions</t>
        </is>
      </c>
      <c r="B1243" s="4" t="inlineStr">
        <is>
          <t>Python Developer Interview Preparation</t>
        </is>
      </c>
      <c r="C1243" s="4" t="inlineStr">
        <is>
          <t>Prepare for freshers interviews for Python developer roles. Practice your responses for commonly asked Interview questions.</t>
        </is>
      </c>
      <c r="D1243" s="4" t="inlineStr">
        <is>
          <t>Project implementation - Project implementation</t>
        </is>
      </c>
      <c r="E1243" s="4" t="n">
        <v>119</v>
      </c>
      <c r="F1243" s="4" t="inlineStr">
        <is>
          <t>CacheLite</t>
        </is>
      </c>
      <c r="G1243" s="4" t="inlineStr">
        <is>
          <t>SHRTPROB200</t>
        </is>
      </c>
      <c r="H1243" s="4" t="inlineStr"/>
      <c r="I1243" s="4" t="inlineStr">
        <is>
          <t>Medium</t>
        </is>
      </c>
      <c r="J1243" s="5">
        <f>HYPERLINK("https://www.codechef.com/problems/SHRTPROB200", "https://www.codechef.com/problems/SHRTPROB200")</f>
        <v/>
      </c>
      <c r="K1243" s="4" t="inlineStr"/>
      <c r="L1243" s="4" t="inlineStr"/>
      <c r="M1243" s="4" t="inlineStr"/>
      <c r="N1243" s="4" t="inlineStr">
        <is>
          <t>No</t>
        </is>
      </c>
      <c r="O1243" s="4" t="inlineStr">
        <is>
          <t>Unattempted</t>
        </is>
      </c>
    </row>
    <row r="1244">
      <c r="A1244" s="2" t="inlineStr">
        <is>
          <t>Interview Questions</t>
        </is>
      </c>
      <c r="B1244" s="2" t="inlineStr">
        <is>
          <t>Python Developer Interview Preparation</t>
        </is>
      </c>
      <c r="C1244" s="2" t="inlineStr">
        <is>
          <t>Prepare for freshers interviews for Python developer roles. Practice your responses for commonly asked Interview questions.</t>
        </is>
      </c>
      <c r="D1244" s="2" t="inlineStr">
        <is>
          <t>Project implementation - Project implementation</t>
        </is>
      </c>
      <c r="E1244" s="2" t="n">
        <v>120</v>
      </c>
      <c r="F1244" s="2" t="inlineStr">
        <is>
          <t>LogSimple</t>
        </is>
      </c>
      <c r="G1244" s="2" t="inlineStr">
        <is>
          <t>SHRTPROB201</t>
        </is>
      </c>
      <c r="H1244" s="2" t="inlineStr"/>
      <c r="I1244" s="2" t="inlineStr">
        <is>
          <t>Medium</t>
        </is>
      </c>
      <c r="J1244" s="3">
        <f>HYPERLINK("https://www.codechef.com/problems/SHRTPROB201", "https://www.codechef.com/problems/SHRTPROB201")</f>
        <v/>
      </c>
      <c r="K1244" s="2" t="inlineStr"/>
      <c r="L1244" s="2" t="inlineStr"/>
      <c r="M1244" s="2" t="inlineStr"/>
      <c r="N1244" s="2" t="inlineStr">
        <is>
          <t>No</t>
        </is>
      </c>
      <c r="O1244" s="2" t="inlineStr">
        <is>
          <t>Unattempted</t>
        </is>
      </c>
    </row>
    <row r="1245">
      <c r="A1245" s="4" t="inlineStr">
        <is>
          <t>Interview Questions</t>
        </is>
      </c>
      <c r="B1245" s="4" t="inlineStr">
        <is>
          <t>Python Developer Interview Preparation</t>
        </is>
      </c>
      <c r="C1245" s="4" t="inlineStr">
        <is>
          <t>Prepare for freshers interviews for Python developer roles. Practice your responses for commonly asked Interview questions.</t>
        </is>
      </c>
      <c r="D1245" s="4" t="inlineStr">
        <is>
          <t>Performance and Optimization - Performance and Optimization</t>
        </is>
      </c>
      <c r="E1245" s="4" t="n">
        <v>121</v>
      </c>
      <c r="F1245" s="4" t="inlineStr">
        <is>
          <t>Performance Bottleneck Buster</t>
        </is>
      </c>
      <c r="G1245" s="4" t="inlineStr">
        <is>
          <t>SHRTPROB202</t>
        </is>
      </c>
      <c r="H1245" s="4" t="inlineStr"/>
      <c r="I1245" s="4" t="inlineStr">
        <is>
          <t>Hard</t>
        </is>
      </c>
      <c r="J1245" s="5">
        <f>HYPERLINK("https://www.codechef.com/problems/SHRTPROB202", "https://www.codechef.com/problems/SHRTPROB202")</f>
        <v/>
      </c>
      <c r="K1245" s="4" t="inlineStr"/>
      <c r="L1245" s="4" t="inlineStr"/>
      <c r="M1245" s="4" t="inlineStr"/>
      <c r="N1245" s="4" t="inlineStr">
        <is>
          <t>No</t>
        </is>
      </c>
      <c r="O1245" s="4" t="inlineStr">
        <is>
          <t>Unattempted</t>
        </is>
      </c>
    </row>
    <row r="1246">
      <c r="A1246" s="2" t="inlineStr">
        <is>
          <t>Interview Questions</t>
        </is>
      </c>
      <c r="B1246" s="2" t="inlineStr">
        <is>
          <t>Python Developer Interview Preparation</t>
        </is>
      </c>
      <c r="C1246" s="2" t="inlineStr">
        <is>
          <t>Prepare for freshers interviews for Python developer roles. Practice your responses for commonly asked Interview questions.</t>
        </is>
      </c>
      <c r="D1246" s="2" t="inlineStr">
        <is>
          <t>Performance and Optimization - Performance and Optimization</t>
        </is>
      </c>
      <c r="E1246" s="2" t="n">
        <v>122</v>
      </c>
      <c r="F1246" s="2" t="inlineStr">
        <is>
          <t>Query Optimizer</t>
        </is>
      </c>
      <c r="G1246" s="2" t="inlineStr">
        <is>
          <t>SHRTPROB203</t>
        </is>
      </c>
      <c r="H1246" s="2" t="inlineStr"/>
      <c r="I1246" s="2" t="inlineStr">
        <is>
          <t>Hard</t>
        </is>
      </c>
      <c r="J1246" s="3">
        <f>HYPERLINK("https://www.codechef.com/problems/SHRTPROB203", "https://www.codechef.com/problems/SHRTPROB203")</f>
        <v/>
      </c>
      <c r="K1246" s="2" t="inlineStr"/>
      <c r="L1246" s="2" t="inlineStr"/>
      <c r="M1246" s="2" t="inlineStr"/>
      <c r="N1246" s="2" t="inlineStr">
        <is>
          <t>No</t>
        </is>
      </c>
      <c r="O1246" s="2" t="inlineStr">
        <is>
          <t>Unattempted</t>
        </is>
      </c>
    </row>
    <row r="1247">
      <c r="A1247" s="4" t="inlineStr">
        <is>
          <t>Interview Questions</t>
        </is>
      </c>
      <c r="B1247" s="4" t="inlineStr">
        <is>
          <t>Python Developer Interview Preparation</t>
        </is>
      </c>
      <c r="C1247" s="4" t="inlineStr">
        <is>
          <t>Prepare for freshers interviews for Python developer roles. Practice your responses for commonly asked Interview questions.</t>
        </is>
      </c>
      <c r="D1247" s="4" t="inlineStr">
        <is>
          <t>Performance and Optimization - Performance and Optimization</t>
        </is>
      </c>
      <c r="E1247" s="4" t="n">
        <v>123</v>
      </c>
      <c r="F1247" s="4" t="inlineStr">
        <is>
          <t>Memory Efficiency Maximization</t>
        </is>
      </c>
      <c r="G1247" s="4" t="inlineStr">
        <is>
          <t>SHRTPROB204</t>
        </is>
      </c>
      <c r="H1247" s="4" t="inlineStr"/>
      <c r="I1247" s="4" t="inlineStr">
        <is>
          <t>Hard</t>
        </is>
      </c>
      <c r="J1247" s="5">
        <f>HYPERLINK("https://www.codechef.com/problems/SHRTPROB204", "https://www.codechef.com/problems/SHRTPROB204")</f>
        <v/>
      </c>
      <c r="K1247" s="4" t="inlineStr"/>
      <c r="L1247" s="4" t="inlineStr"/>
      <c r="M1247" s="4" t="inlineStr"/>
      <c r="N1247" s="4" t="inlineStr">
        <is>
          <t>No</t>
        </is>
      </c>
      <c r="O1247" s="4" t="inlineStr">
        <is>
          <t>Unattempted</t>
        </is>
      </c>
    </row>
    <row r="1248">
      <c r="A1248" s="2" t="inlineStr">
        <is>
          <t>Interview Questions</t>
        </is>
      </c>
      <c r="B1248" s="2" t="inlineStr">
        <is>
          <t>Python Developer Interview Preparation</t>
        </is>
      </c>
      <c r="C1248" s="2" t="inlineStr">
        <is>
          <t>Prepare for freshers interviews for Python developer roles. Practice your responses for commonly asked Interview questions.</t>
        </is>
      </c>
      <c r="D1248" s="2" t="inlineStr">
        <is>
          <t>Performance and Optimization - Performance and Optimization</t>
        </is>
      </c>
      <c r="E1248" s="2" t="n">
        <v>124</v>
      </c>
      <c r="F1248" s="2" t="inlineStr">
        <is>
          <t>Smart Caching</t>
        </is>
      </c>
      <c r="G1248" s="2" t="inlineStr">
        <is>
          <t>SHRTPROB205</t>
        </is>
      </c>
      <c r="H1248" s="2" t="inlineStr"/>
      <c r="I1248" s="2" t="inlineStr">
        <is>
          <t>Hard</t>
        </is>
      </c>
      <c r="J1248" s="3">
        <f>HYPERLINK("https://www.codechef.com/problems/SHRTPROB205", "https://www.codechef.com/problems/SHRTPROB205")</f>
        <v/>
      </c>
      <c r="K1248" s="2" t="inlineStr"/>
      <c r="L1248" s="2" t="inlineStr"/>
      <c r="M1248" s="2" t="inlineStr"/>
      <c r="N1248" s="2" t="inlineStr">
        <is>
          <t>No</t>
        </is>
      </c>
      <c r="O1248" s="2" t="inlineStr">
        <is>
          <t>Unattempted</t>
        </is>
      </c>
    </row>
    <row r="1249">
      <c r="A1249" s="4" t="inlineStr">
        <is>
          <t>Interview Questions</t>
        </is>
      </c>
      <c r="B1249" s="4" t="inlineStr">
        <is>
          <t>Python Developer Interview Preparation</t>
        </is>
      </c>
      <c r="C1249" s="4" t="inlineStr">
        <is>
          <t>Prepare for freshers interviews for Python developer roles. Practice your responses for commonly asked Interview questions.</t>
        </is>
      </c>
      <c r="D1249" s="4" t="inlineStr">
        <is>
          <t>Performance and Optimization - Performance and Optimization</t>
        </is>
      </c>
      <c r="E1249" s="4" t="n">
        <v>125</v>
      </c>
      <c r="F1249" s="4" t="inlineStr">
        <is>
          <t>API Speed Boost</t>
        </is>
      </c>
      <c r="G1249" s="4" t="inlineStr">
        <is>
          <t>SHRTPROB206</t>
        </is>
      </c>
      <c r="H1249" s="4" t="inlineStr"/>
      <c r="I1249" s="4" t="inlineStr">
        <is>
          <t>Hard</t>
        </is>
      </c>
      <c r="J1249" s="5">
        <f>HYPERLINK("https://www.codechef.com/problems/SHRTPROB206", "https://www.codechef.com/problems/SHRTPROB206")</f>
        <v/>
      </c>
      <c r="K1249" s="4" t="inlineStr"/>
      <c r="L1249" s="4" t="inlineStr"/>
      <c r="M1249" s="4" t="inlineStr"/>
      <c r="N1249" s="4" t="inlineStr">
        <is>
          <t>No</t>
        </is>
      </c>
      <c r="O1249" s="4" t="inlineStr">
        <is>
          <t>Unattempted</t>
        </is>
      </c>
    </row>
    <row r="1250">
      <c r="A1250" s="2" t="inlineStr">
        <is>
          <t>Interview Questions</t>
        </is>
      </c>
      <c r="B1250" s="2" t="inlineStr">
        <is>
          <t>Python Developer Interview Preparation</t>
        </is>
      </c>
      <c r="C1250" s="2" t="inlineStr">
        <is>
          <t>Prepare for freshers interviews for Python developer roles. Practice your responses for commonly asked Interview questions.</t>
        </is>
      </c>
      <c r="D1250" s="2" t="inlineStr">
        <is>
          <t>Performance and Optimization - Performance and Optimization</t>
        </is>
      </c>
      <c r="E1250" s="2" t="n">
        <v>126</v>
      </c>
      <c r="F1250" s="2" t="inlineStr">
        <is>
          <t>PooledDB</t>
        </is>
      </c>
      <c r="G1250" s="2" t="inlineStr">
        <is>
          <t>SHRTPROB207</t>
        </is>
      </c>
      <c r="H1250" s="2" t="inlineStr"/>
      <c r="I1250" s="2" t="inlineStr">
        <is>
          <t>Hard</t>
        </is>
      </c>
      <c r="J1250" s="3">
        <f>HYPERLINK("https://www.codechef.com/problems/SHRTPROB207", "https://www.codechef.com/problems/SHRTPROB207")</f>
        <v/>
      </c>
      <c r="K1250" s="2" t="inlineStr"/>
      <c r="L1250" s="2" t="inlineStr"/>
      <c r="M1250" s="2" t="inlineStr"/>
      <c r="N1250" s="2" t="inlineStr">
        <is>
          <t>No</t>
        </is>
      </c>
      <c r="O1250" s="2" t="inlineStr">
        <is>
          <t>Unattempted</t>
        </is>
      </c>
    </row>
    <row r="1251">
      <c r="A1251" s="4" t="inlineStr">
        <is>
          <t>Interview Questions</t>
        </is>
      </c>
      <c r="B1251" s="4" t="inlineStr">
        <is>
          <t>Python Developer Interview Preparation</t>
        </is>
      </c>
      <c r="C1251" s="4" t="inlineStr">
        <is>
          <t>Prepare for freshers interviews for Python developer roles. Practice your responses for commonly asked Interview questions.</t>
        </is>
      </c>
      <c r="D1251" s="4" t="inlineStr">
        <is>
          <t>Performance and Optimization - Performance and Optimization</t>
        </is>
      </c>
      <c r="E1251" s="4" t="n">
        <v>127</v>
      </c>
      <c r="F1251" s="4" t="inlineStr">
        <is>
          <t>Efficient Data Handling</t>
        </is>
      </c>
      <c r="G1251" s="4" t="inlineStr">
        <is>
          <t>SHRTPROB208</t>
        </is>
      </c>
      <c r="H1251" s="4" t="inlineStr"/>
      <c r="I1251" s="4" t="inlineStr">
        <is>
          <t>Medium</t>
        </is>
      </c>
      <c r="J1251" s="5">
        <f>HYPERLINK("https://www.codechef.com/problems/SHRTPROB208", "https://www.codechef.com/problems/SHRTPROB208")</f>
        <v/>
      </c>
      <c r="K1251" s="4" t="inlineStr"/>
      <c r="L1251" s="4" t="inlineStr"/>
      <c r="M1251" s="4" t="inlineStr"/>
      <c r="N1251" s="4" t="inlineStr">
        <is>
          <t>No</t>
        </is>
      </c>
      <c r="O1251" s="4" t="inlineStr">
        <is>
          <t>Unattempted</t>
        </is>
      </c>
    </row>
    <row r="1252">
      <c r="A1252" s="2" t="inlineStr">
        <is>
          <t>Interview Questions</t>
        </is>
      </c>
      <c r="B1252" s="2" t="inlineStr">
        <is>
          <t>Python Developer Interview Preparation</t>
        </is>
      </c>
      <c r="C1252" s="2" t="inlineStr">
        <is>
          <t>Prepare for freshers interviews for Python developer roles. Practice your responses for commonly asked Interview questions.</t>
        </is>
      </c>
      <c r="D1252" s="2" t="inlineStr">
        <is>
          <t>Performance and Optimization - Performance and Optimization</t>
        </is>
      </c>
      <c r="E1252" s="2" t="n">
        <v>128</v>
      </c>
      <c r="F1252" s="2" t="inlineStr">
        <is>
          <t>Performance Tuning</t>
        </is>
      </c>
      <c r="G1252" s="2" t="inlineStr">
        <is>
          <t>SHRTPROB209</t>
        </is>
      </c>
      <c r="H1252" s="2" t="inlineStr"/>
      <c r="I1252" s="2" t="inlineStr">
        <is>
          <t>Hard</t>
        </is>
      </c>
      <c r="J1252" s="3">
        <f>HYPERLINK("https://www.codechef.com/problems/SHRTPROB209", "https://www.codechef.com/problems/SHRTPROB209")</f>
        <v/>
      </c>
      <c r="K1252" s="2" t="inlineStr"/>
      <c r="L1252" s="2" t="inlineStr"/>
      <c r="M1252" s="2" t="inlineStr"/>
      <c r="N1252" s="2" t="inlineStr">
        <is>
          <t>No</t>
        </is>
      </c>
      <c r="O1252" s="2" t="inlineStr">
        <is>
          <t>Unattempted</t>
        </is>
      </c>
    </row>
    <row r="1253">
      <c r="A1253" s="4" t="inlineStr">
        <is>
          <t>Interview Questions</t>
        </is>
      </c>
      <c r="B1253" s="4" t="inlineStr">
        <is>
          <t>Python Developer Interview Preparation</t>
        </is>
      </c>
      <c r="C1253" s="4" t="inlineStr">
        <is>
          <t>Prepare for freshers interviews for Python developer roles. Practice your responses for commonly asked Interview questions.</t>
        </is>
      </c>
      <c r="D1253" s="4" t="inlineStr">
        <is>
          <t>Performance and Optimization - Performance and Optimization</t>
        </is>
      </c>
      <c r="E1253" s="4" t="n">
        <v>129</v>
      </c>
      <c r="F1253" s="4" t="inlineStr">
        <is>
          <t>Efficient Data Fetching</t>
        </is>
      </c>
      <c r="G1253" s="4" t="inlineStr">
        <is>
          <t>SHRTPROB210</t>
        </is>
      </c>
      <c r="H1253" s="4" t="inlineStr"/>
      <c r="I1253" s="4" t="inlineStr">
        <is>
          <t>Medium</t>
        </is>
      </c>
      <c r="J1253" s="5">
        <f>HYPERLINK("https://www.codechef.com/problems/SHRTPROB210", "https://www.codechef.com/problems/SHRTPROB210")</f>
        <v/>
      </c>
      <c r="K1253" s="4" t="inlineStr"/>
      <c r="L1253" s="4" t="inlineStr"/>
      <c r="M1253" s="4" t="inlineStr"/>
      <c r="N1253" s="4" t="inlineStr">
        <is>
          <t>No</t>
        </is>
      </c>
      <c r="O1253" s="4" t="inlineStr">
        <is>
          <t>Unattempted</t>
        </is>
      </c>
    </row>
    <row r="1254">
      <c r="A1254" s="2" t="inlineStr">
        <is>
          <t>Interview Questions</t>
        </is>
      </c>
      <c r="B1254" s="2" t="inlineStr">
        <is>
          <t>Python Developer Interview Preparation</t>
        </is>
      </c>
      <c r="C1254" s="2" t="inlineStr">
        <is>
          <t>Prepare for freshers interviews for Python developer roles. Practice your responses for commonly asked Interview questions.</t>
        </is>
      </c>
      <c r="D1254" s="2" t="inlineStr">
        <is>
          <t>Performance and Optimization - Performance and Optimization</t>
        </is>
      </c>
      <c r="E1254" s="2" t="n">
        <v>130</v>
      </c>
      <c r="F1254" s="2" t="inlineStr">
        <is>
          <t>Memory Efficiency</t>
        </is>
      </c>
      <c r="G1254" s="2" t="inlineStr">
        <is>
          <t>SHRTPROB211</t>
        </is>
      </c>
      <c r="H1254" s="2" t="inlineStr"/>
      <c r="I1254" s="2" t="inlineStr">
        <is>
          <t>Hard</t>
        </is>
      </c>
      <c r="J1254" s="3">
        <f>HYPERLINK("https://www.codechef.com/problems/SHRTPROB211", "https://www.codechef.com/problems/SHRTPROB211")</f>
        <v/>
      </c>
      <c r="K1254" s="2" t="inlineStr"/>
      <c r="L1254" s="2" t="inlineStr"/>
      <c r="M1254" s="2" t="inlineStr"/>
      <c r="N1254" s="2" t="inlineStr">
        <is>
          <t>No</t>
        </is>
      </c>
      <c r="O1254" s="2" t="inlineStr">
        <is>
          <t>Unattempted</t>
        </is>
      </c>
    </row>
    <row r="1255">
      <c r="A1255" s="4" t="inlineStr">
        <is>
          <t>Interview Questions</t>
        </is>
      </c>
      <c r="B1255" s="4" t="inlineStr">
        <is>
          <t>Python Developer Interview Preparation</t>
        </is>
      </c>
      <c r="C1255" s="4" t="inlineStr">
        <is>
          <t>Prepare for freshers interviews for Python developer roles. Practice your responses for commonly asked Interview questions.</t>
        </is>
      </c>
      <c r="D1255" s="4" t="inlineStr">
        <is>
          <t>Performance and Optimization - Performance and Optimization</t>
        </is>
      </c>
      <c r="E1255" s="4" t="n">
        <v>131</v>
      </c>
      <c r="F1255" s="4" t="inlineStr">
        <is>
          <t>Indexing Optimization</t>
        </is>
      </c>
      <c r="G1255" s="4" t="inlineStr">
        <is>
          <t>SHRTPROB212</t>
        </is>
      </c>
      <c r="H1255" s="4" t="inlineStr"/>
      <c r="I1255" s="4" t="inlineStr">
        <is>
          <t>Hard</t>
        </is>
      </c>
      <c r="J1255" s="5">
        <f>HYPERLINK("https://www.codechef.com/problems/SHRTPROB212", "https://www.codechef.com/problems/SHRTPROB212")</f>
        <v/>
      </c>
      <c r="K1255" s="4" t="inlineStr"/>
      <c r="L1255" s="4" t="inlineStr"/>
      <c r="M1255" s="4" t="inlineStr"/>
      <c r="N1255" s="4" t="inlineStr">
        <is>
          <t>No</t>
        </is>
      </c>
      <c r="O1255" s="4" t="inlineStr">
        <is>
          <t>Unattempted</t>
        </is>
      </c>
    </row>
    <row r="1256">
      <c r="A1256" s="2" t="inlineStr">
        <is>
          <t>Interview Questions</t>
        </is>
      </c>
      <c r="B1256" s="2" t="inlineStr">
        <is>
          <t>Python Developer Interview Preparation</t>
        </is>
      </c>
      <c r="C1256" s="2" t="inlineStr">
        <is>
          <t>Prepare for freshers interviews for Python developer roles. Practice your responses for commonly asked Interview questions.</t>
        </is>
      </c>
      <c r="D1256" s="2" t="inlineStr">
        <is>
          <t>Performance and Optimization - Performance and Optimization</t>
        </is>
      </c>
      <c r="E1256" s="2" t="n">
        <v>132</v>
      </c>
      <c r="F1256" s="2" t="inlineStr">
        <is>
          <t>Memoized Queries</t>
        </is>
      </c>
      <c r="G1256" s="2" t="inlineStr">
        <is>
          <t>SHRTPROB213</t>
        </is>
      </c>
      <c r="H1256" s="2" t="inlineStr"/>
      <c r="I1256" s="2" t="inlineStr">
        <is>
          <t>Medium</t>
        </is>
      </c>
      <c r="J1256" s="3">
        <f>HYPERLINK("https://www.codechef.com/problems/SHRTPROB213", "https://www.codechef.com/problems/SHRTPROB213")</f>
        <v/>
      </c>
      <c r="K1256" s="2" t="inlineStr"/>
      <c r="L1256" s="2" t="inlineStr"/>
      <c r="M1256" s="2" t="inlineStr"/>
      <c r="N1256" s="2" t="inlineStr">
        <is>
          <t>No</t>
        </is>
      </c>
      <c r="O1256" s="2" t="inlineStr">
        <is>
          <t>Unattempted</t>
        </is>
      </c>
    </row>
    <row r="1257">
      <c r="A1257" s="4" t="inlineStr">
        <is>
          <t>Interview Questions</t>
        </is>
      </c>
      <c r="B1257" s="4" t="inlineStr">
        <is>
          <t>Python Developer Interview Preparation</t>
        </is>
      </c>
      <c r="C1257" s="4" t="inlineStr">
        <is>
          <t>Prepare for freshers interviews for Python developer roles. Practice your responses for commonly asked Interview questions.</t>
        </is>
      </c>
      <c r="D1257" s="4" t="inlineStr">
        <is>
          <t>Performance and Optimization - Performance and Optimization</t>
        </is>
      </c>
      <c r="E1257" s="4" t="n">
        <v>133</v>
      </c>
      <c r="F1257" s="4" t="inlineStr">
        <is>
          <t>BatchBoost</t>
        </is>
      </c>
      <c r="G1257" s="4" t="inlineStr">
        <is>
          <t>SHRTPROB214</t>
        </is>
      </c>
      <c r="H1257" s="4" t="inlineStr"/>
      <c r="I1257" s="4" t="inlineStr">
        <is>
          <t>Hard</t>
        </is>
      </c>
      <c r="J1257" s="5">
        <f>HYPERLINK("https://www.codechef.com/problems/SHRTPROB214", "https://www.codechef.com/problems/SHRTPROB214")</f>
        <v/>
      </c>
      <c r="K1257" s="4" t="inlineStr"/>
      <c r="L1257" s="4" t="inlineStr"/>
      <c r="M1257" s="4" t="inlineStr"/>
      <c r="N1257" s="4" t="inlineStr">
        <is>
          <t>No</t>
        </is>
      </c>
      <c r="O1257" s="4" t="inlineStr">
        <is>
          <t>Unattempted</t>
        </is>
      </c>
    </row>
    <row r="1258">
      <c r="A1258" s="2" t="inlineStr">
        <is>
          <t>Interview Questions</t>
        </is>
      </c>
      <c r="B1258" s="2" t="inlineStr">
        <is>
          <t>Python Developer Interview Preparation</t>
        </is>
      </c>
      <c r="C1258" s="2" t="inlineStr">
        <is>
          <t>Prepare for freshers interviews for Python developer roles. Practice your responses for commonly asked Interview questions.</t>
        </is>
      </c>
      <c r="D1258" s="2" t="inlineStr">
        <is>
          <t>Performance and Optimization - Performance and Optimization</t>
        </is>
      </c>
      <c r="E1258" s="2" t="n">
        <v>134</v>
      </c>
      <c r="F1258" s="2" t="inlineStr">
        <is>
          <t>Async Boost</t>
        </is>
      </c>
      <c r="G1258" s="2" t="inlineStr">
        <is>
          <t>SHRTPROB215</t>
        </is>
      </c>
      <c r="H1258" s="2" t="inlineStr"/>
      <c r="I1258" s="2" t="inlineStr">
        <is>
          <t>Medium</t>
        </is>
      </c>
      <c r="J1258" s="3">
        <f>HYPERLINK("https://www.codechef.com/problems/SHRTPROB215", "https://www.codechef.com/problems/SHRTPROB215")</f>
        <v/>
      </c>
      <c r="K1258" s="2" t="inlineStr"/>
      <c r="L1258" s="2" t="inlineStr"/>
      <c r="M1258" s="2" t="inlineStr"/>
      <c r="N1258" s="2" t="inlineStr">
        <is>
          <t>No</t>
        </is>
      </c>
      <c r="O1258" s="2" t="inlineStr">
        <is>
          <t>Unattempted</t>
        </is>
      </c>
    </row>
    <row r="1259">
      <c r="A1259" s="4" t="inlineStr">
        <is>
          <t>Interview Questions</t>
        </is>
      </c>
      <c r="B1259" s="4" t="inlineStr">
        <is>
          <t>Python Developer Interview Preparation</t>
        </is>
      </c>
      <c r="C1259" s="4" t="inlineStr">
        <is>
          <t>Prepare for freshers interviews for Python developer roles. Practice your responses for commonly asked Interview questions.</t>
        </is>
      </c>
      <c r="D1259" s="4" t="inlineStr">
        <is>
          <t>Performance and Optimization - Performance and Optimization</t>
        </is>
      </c>
      <c r="E1259" s="4" t="n">
        <v>135</v>
      </c>
      <c r="F1259" s="4" t="inlineStr">
        <is>
          <t>Image Processing Optimization</t>
        </is>
      </c>
      <c r="G1259" s="4" t="inlineStr">
        <is>
          <t>SHRTPROB216</t>
        </is>
      </c>
      <c r="H1259" s="4" t="inlineStr"/>
      <c r="I1259" s="4" t="inlineStr">
        <is>
          <t>Hard</t>
        </is>
      </c>
      <c r="J1259" s="5">
        <f>HYPERLINK("https://www.codechef.com/problems/SHRTPROB216", "https://www.codechef.com/problems/SHRTPROB216")</f>
        <v/>
      </c>
      <c r="K1259" s="4" t="inlineStr"/>
      <c r="L1259" s="4" t="inlineStr"/>
      <c r="M1259" s="4" t="inlineStr"/>
      <c r="N1259" s="4" t="inlineStr">
        <is>
          <t>No</t>
        </is>
      </c>
      <c r="O1259" s="4" t="inlineStr">
        <is>
          <t>Unattempted</t>
        </is>
      </c>
    </row>
    <row r="1260">
      <c r="A1260" s="2" t="inlineStr">
        <is>
          <t>Interview Questions</t>
        </is>
      </c>
      <c r="B1260" s="2" t="inlineStr">
        <is>
          <t>Python Developer Interview Preparation</t>
        </is>
      </c>
      <c r="C1260" s="2" t="inlineStr">
        <is>
          <t>Prepare for freshers interviews for Python developer roles. Practice your responses for commonly asked Interview questions.</t>
        </is>
      </c>
      <c r="D1260" s="2" t="inlineStr">
        <is>
          <t>Performance and Optimization - Performance and Optimization</t>
        </is>
      </c>
      <c r="E1260" s="2" t="n">
        <v>136</v>
      </c>
      <c r="F1260" s="2" t="inlineStr">
        <is>
          <t>Data Partitioning</t>
        </is>
      </c>
      <c r="G1260" s="2" t="inlineStr">
        <is>
          <t>SHRTPROB217</t>
        </is>
      </c>
      <c r="H1260" s="2" t="inlineStr"/>
      <c r="I1260" s="2" t="inlineStr">
        <is>
          <t>Hard</t>
        </is>
      </c>
      <c r="J1260" s="3">
        <f>HYPERLINK("https://www.codechef.com/problems/SHRTPROB217", "https://www.codechef.com/problems/SHRTPROB217")</f>
        <v/>
      </c>
      <c r="K1260" s="2" t="inlineStr"/>
      <c r="L1260" s="2" t="inlineStr"/>
      <c r="M1260" s="2" t="inlineStr"/>
      <c r="N1260" s="2" t="inlineStr">
        <is>
          <t>No</t>
        </is>
      </c>
      <c r="O1260" s="2" t="inlineStr">
        <is>
          <t>Unattempted</t>
        </is>
      </c>
    </row>
    <row r="1261">
      <c r="A1261" s="4" t="inlineStr">
        <is>
          <t>Interview Questions</t>
        </is>
      </c>
      <c r="B1261" s="4" t="inlineStr">
        <is>
          <t>Python Developer Interview Preparation</t>
        </is>
      </c>
      <c r="C1261" s="4" t="inlineStr">
        <is>
          <t>Prepare for freshers interviews for Python developer roles. Practice your responses for commonly asked Interview questions.</t>
        </is>
      </c>
      <c r="D1261" s="4" t="inlineStr">
        <is>
          <t>Performance and Optimization - Performance and Optimization</t>
        </is>
      </c>
      <c r="E1261" s="4" t="n">
        <v>137</v>
      </c>
      <c r="F1261" s="4" t="inlineStr">
        <is>
          <t>Cache Invalidation Optimization</t>
        </is>
      </c>
      <c r="G1261" s="4" t="inlineStr">
        <is>
          <t>SHRTPROB218</t>
        </is>
      </c>
      <c r="H1261" s="4" t="inlineStr"/>
      <c r="I1261" s="4" t="inlineStr">
        <is>
          <t>Hard</t>
        </is>
      </c>
      <c r="J1261" s="5">
        <f>HYPERLINK("https://www.codechef.com/problems/SHRTPROB218", "https://www.codechef.com/problems/SHRTPROB218")</f>
        <v/>
      </c>
      <c r="K1261" s="4" t="inlineStr"/>
      <c r="L1261" s="4" t="inlineStr"/>
      <c r="M1261" s="4" t="inlineStr"/>
      <c r="N1261" s="4" t="inlineStr">
        <is>
          <t>No</t>
        </is>
      </c>
      <c r="O1261" s="4" t="inlineStr">
        <is>
          <t>Unattempted</t>
        </is>
      </c>
    </row>
    <row r="1262">
      <c r="A1262" s="2" t="inlineStr">
        <is>
          <t>Interview Questions</t>
        </is>
      </c>
      <c r="B1262" s="2" t="inlineStr">
        <is>
          <t>Python Developer Interview Preparation</t>
        </is>
      </c>
      <c r="C1262" s="2" t="inlineStr">
        <is>
          <t>Prepare for freshers interviews for Python developer roles. Practice your responses for commonly asked Interview questions.</t>
        </is>
      </c>
      <c r="D1262" s="2" t="inlineStr">
        <is>
          <t>Performance and Optimization - Performance and Optimization</t>
        </is>
      </c>
      <c r="E1262" s="2" t="n">
        <v>138</v>
      </c>
      <c r="F1262" s="2" t="inlineStr">
        <is>
          <t>Lazy Load Implementation</t>
        </is>
      </c>
      <c r="G1262" s="2" t="inlineStr">
        <is>
          <t>SHRTPROB219</t>
        </is>
      </c>
      <c r="H1262" s="2" t="inlineStr"/>
      <c r="I1262" s="2" t="inlineStr">
        <is>
          <t>Medium</t>
        </is>
      </c>
      <c r="J1262" s="3">
        <f>HYPERLINK("https://www.codechef.com/problems/SHRTPROB219", "https://www.codechef.com/problems/SHRTPROB219")</f>
        <v/>
      </c>
      <c r="K1262" s="2" t="inlineStr"/>
      <c r="L1262" s="2" t="inlineStr"/>
      <c r="M1262" s="2" t="inlineStr"/>
      <c r="N1262" s="2" t="inlineStr">
        <is>
          <t>No</t>
        </is>
      </c>
      <c r="O1262" s="2" t="inlineStr">
        <is>
          <t>Unattempted</t>
        </is>
      </c>
    </row>
    <row r="1263">
      <c r="A1263" s="4" t="inlineStr">
        <is>
          <t>Interview Questions</t>
        </is>
      </c>
      <c r="B1263" s="4" t="inlineStr">
        <is>
          <t>Python Developer Interview Preparation</t>
        </is>
      </c>
      <c r="C1263" s="4" t="inlineStr">
        <is>
          <t>Prepare for freshers interviews for Python developer roles. Practice your responses for commonly asked Interview questions.</t>
        </is>
      </c>
      <c r="D1263" s="4" t="inlineStr">
        <is>
          <t>Performance and Optimization - Performance and Optimization</t>
        </is>
      </c>
      <c r="E1263" s="4" t="n">
        <v>139</v>
      </c>
      <c r="F1263" s="4" t="inlineStr">
        <is>
          <t>Background Task Optimization</t>
        </is>
      </c>
      <c r="G1263" s="4" t="inlineStr">
        <is>
          <t>SHRTPROB220</t>
        </is>
      </c>
      <c r="H1263" s="4" t="inlineStr"/>
      <c r="I1263" s="4" t="inlineStr">
        <is>
          <t>Hard</t>
        </is>
      </c>
      <c r="J1263" s="5">
        <f>HYPERLINK("https://www.codechef.com/problems/SHRTPROB220", "https://www.codechef.com/problems/SHRTPROB220")</f>
        <v/>
      </c>
      <c r="K1263" s="4" t="inlineStr"/>
      <c r="L1263" s="4" t="inlineStr"/>
      <c r="M1263" s="4" t="inlineStr"/>
      <c r="N1263" s="4" t="inlineStr">
        <is>
          <t>No</t>
        </is>
      </c>
      <c r="O1263" s="4" t="inlineStr">
        <is>
          <t>Unattempted</t>
        </is>
      </c>
    </row>
    <row r="1264">
      <c r="A1264" s="2" t="inlineStr">
        <is>
          <t>Interview Questions</t>
        </is>
      </c>
      <c r="B1264" s="2" t="inlineStr">
        <is>
          <t>Python Developer Interview Preparation</t>
        </is>
      </c>
      <c r="C1264" s="2" t="inlineStr">
        <is>
          <t>Prepare for freshers interviews for Python developer roles. Practice your responses for commonly asked Interview questions.</t>
        </is>
      </c>
      <c r="D1264" s="2" t="inlineStr">
        <is>
          <t>Performance and Optimization - Performance and Optimization</t>
        </is>
      </c>
      <c r="E1264" s="2" t="n">
        <v>140</v>
      </c>
      <c r="F1264" s="2" t="inlineStr">
        <is>
          <t>QueryCache</t>
        </is>
      </c>
      <c r="G1264" s="2" t="inlineStr">
        <is>
          <t>SHRTPROB221</t>
        </is>
      </c>
      <c r="H1264" s="2" t="inlineStr"/>
      <c r="I1264" s="2" t="inlineStr">
        <is>
          <t>Hard</t>
        </is>
      </c>
      <c r="J1264" s="3">
        <f>HYPERLINK("https://www.codechef.com/problems/SHRTPROB221", "https://www.codechef.com/problems/SHRTPROB221")</f>
        <v/>
      </c>
      <c r="K1264" s="2" t="inlineStr"/>
      <c r="L1264" s="2" t="inlineStr"/>
      <c r="M1264" s="2" t="inlineStr"/>
      <c r="N1264" s="2" t="inlineStr">
        <is>
          <t>No</t>
        </is>
      </c>
      <c r="O1264" s="2" t="inlineStr">
        <is>
          <t>Unattempted</t>
        </is>
      </c>
    </row>
    <row r="1265">
      <c r="A1265" s="4" t="inlineStr">
        <is>
          <t>Interview Questions</t>
        </is>
      </c>
      <c r="B1265" s="4" t="inlineStr">
        <is>
          <t>Python Developer Interview Preparation</t>
        </is>
      </c>
      <c r="C1265" s="4" t="inlineStr">
        <is>
          <t>Prepare for freshers interviews for Python developer roles. Practice your responses for commonly asked Interview questions.</t>
        </is>
      </c>
      <c r="D1265" s="4" t="inlineStr">
        <is>
          <t>Project Review and Architecture - Project review and Architecture</t>
        </is>
      </c>
      <c r="E1265" s="4" t="n">
        <v>141</v>
      </c>
      <c r="F1265" s="4" t="inlineStr">
        <is>
          <t>Code Hardening Review</t>
        </is>
      </c>
      <c r="G1265" s="4" t="inlineStr">
        <is>
          <t>SHRTPROB222</t>
        </is>
      </c>
      <c r="H1265" s="4" t="inlineStr"/>
      <c r="I1265" s="4" t="inlineStr">
        <is>
          <t>Hard</t>
        </is>
      </c>
      <c r="J1265" s="5">
        <f>HYPERLINK("https://www.codechef.com/problems/SHRTPROB222", "https://www.codechef.com/problems/SHRTPROB222")</f>
        <v/>
      </c>
      <c r="K1265" s="4" t="inlineStr"/>
      <c r="L1265" s="4" t="inlineStr"/>
      <c r="M1265" s="4" t="inlineStr"/>
      <c r="N1265" s="4" t="inlineStr">
        <is>
          <t>No</t>
        </is>
      </c>
      <c r="O1265" s="4" t="inlineStr">
        <is>
          <t>Unattempted</t>
        </is>
      </c>
    </row>
    <row r="1266">
      <c r="A1266" s="2" t="inlineStr">
        <is>
          <t>Interview Questions</t>
        </is>
      </c>
      <c r="B1266" s="2" t="inlineStr">
        <is>
          <t>Python Developer Interview Preparation</t>
        </is>
      </c>
      <c r="C1266" s="2" t="inlineStr">
        <is>
          <t>Prepare for freshers interviews for Python developer roles. Practice your responses for commonly asked Interview questions.</t>
        </is>
      </c>
      <c r="D1266" s="2" t="inlineStr">
        <is>
          <t>Project Review and Architecture - Project review and Architecture</t>
        </is>
      </c>
      <c r="E1266" s="2" t="n">
        <v>142</v>
      </c>
      <c r="F1266" s="2" t="inlineStr">
        <is>
          <t>Architecture Refinement</t>
        </is>
      </c>
      <c r="G1266" s="2" t="inlineStr">
        <is>
          <t>SHRTPROB223</t>
        </is>
      </c>
      <c r="H1266" s="2" t="inlineStr"/>
      <c r="I1266" s="2" t="inlineStr">
        <is>
          <t>Hard</t>
        </is>
      </c>
      <c r="J1266" s="3">
        <f>HYPERLINK("https://www.codechef.com/problems/SHRTPROB223", "https://www.codechef.com/problems/SHRTPROB223")</f>
        <v/>
      </c>
      <c r="K1266" s="2" t="inlineStr"/>
      <c r="L1266" s="2" t="inlineStr"/>
      <c r="M1266" s="2" t="inlineStr"/>
      <c r="N1266" s="2" t="inlineStr">
        <is>
          <t>No</t>
        </is>
      </c>
      <c r="O1266" s="2" t="inlineStr">
        <is>
          <t>Unattempted</t>
        </is>
      </c>
    </row>
    <row r="1267">
      <c r="A1267" s="4" t="inlineStr">
        <is>
          <t>Interview Questions</t>
        </is>
      </c>
      <c r="B1267" s="4" t="inlineStr">
        <is>
          <t>Python Developer Interview Preparation</t>
        </is>
      </c>
      <c r="C1267" s="4" t="inlineStr">
        <is>
          <t>Prepare for freshers interviews for Python developer roles. Practice your responses for commonly asked Interview questions.</t>
        </is>
      </c>
      <c r="D1267" s="4" t="inlineStr">
        <is>
          <t>Project Review and Architecture - Project review and Architecture</t>
        </is>
      </c>
      <c r="E1267" s="4" t="n">
        <v>143</v>
      </c>
      <c r="F1267" s="4" t="inlineStr">
        <is>
          <t>Performance Code Review</t>
        </is>
      </c>
      <c r="G1267" s="4" t="inlineStr">
        <is>
          <t>SHRTPROB224</t>
        </is>
      </c>
      <c r="H1267" s="4" t="inlineStr"/>
      <c r="I1267" s="4" t="inlineStr">
        <is>
          <t>Hard</t>
        </is>
      </c>
      <c r="J1267" s="5">
        <f>HYPERLINK("https://www.codechef.com/problems/SHRTPROB224", "https://www.codechef.com/problems/SHRTPROB224")</f>
        <v/>
      </c>
      <c r="K1267" s="4" t="inlineStr"/>
      <c r="L1267" s="4" t="inlineStr"/>
      <c r="M1267" s="4" t="inlineStr"/>
      <c r="N1267" s="4" t="inlineStr">
        <is>
          <t>No</t>
        </is>
      </c>
      <c r="O1267" s="4" t="inlineStr">
        <is>
          <t>Unattempted</t>
        </is>
      </c>
    </row>
    <row r="1268">
      <c r="A1268" s="2" t="inlineStr">
        <is>
          <t>Interview Questions</t>
        </is>
      </c>
      <c r="B1268" s="2" t="inlineStr">
        <is>
          <t>Python Developer Interview Preparation</t>
        </is>
      </c>
      <c r="C1268" s="2" t="inlineStr">
        <is>
          <t>Prepare for freshers interviews for Python developer roles. Practice your responses for commonly asked Interview questions.</t>
        </is>
      </c>
      <c r="D1268" s="2" t="inlineStr">
        <is>
          <t>Project Review and Architecture - Project review and Architecture</t>
        </is>
      </c>
      <c r="E1268" s="2" t="n">
        <v>144</v>
      </c>
      <c r="F1268" s="2" t="inlineStr">
        <is>
          <t>Schema Refinement</t>
        </is>
      </c>
      <c r="G1268" s="2" t="inlineStr">
        <is>
          <t>SHRTPROB225</t>
        </is>
      </c>
      <c r="H1268" s="2" t="inlineStr"/>
      <c r="I1268" s="2" t="inlineStr">
        <is>
          <t>Hard</t>
        </is>
      </c>
      <c r="J1268" s="3">
        <f>HYPERLINK("https://www.codechef.com/problems/SHRTPROB225", "https://www.codechef.com/problems/SHRTPROB225")</f>
        <v/>
      </c>
      <c r="K1268" s="2" t="inlineStr"/>
      <c r="L1268" s="2" t="inlineStr"/>
      <c r="M1268" s="2" t="inlineStr"/>
      <c r="N1268" s="2" t="inlineStr">
        <is>
          <t>No</t>
        </is>
      </c>
      <c r="O1268" s="2" t="inlineStr">
        <is>
          <t>Unattempted</t>
        </is>
      </c>
    </row>
    <row r="1269">
      <c r="A1269" s="4" t="inlineStr">
        <is>
          <t>Interview Questions</t>
        </is>
      </c>
      <c r="B1269" s="4" t="inlineStr">
        <is>
          <t>Python Developer Interview Preparation</t>
        </is>
      </c>
      <c r="C1269" s="4" t="inlineStr">
        <is>
          <t>Prepare for freshers interviews for Python developer roles. Practice your responses for commonly asked Interview questions.</t>
        </is>
      </c>
      <c r="D1269" s="4" t="inlineStr">
        <is>
          <t>Project Review and Architecture - Project review and Architecture</t>
        </is>
      </c>
      <c r="E1269" s="4" t="n">
        <v>145</v>
      </c>
      <c r="F1269" s="4" t="inlineStr">
        <is>
          <t>API Refinement</t>
        </is>
      </c>
      <c r="G1269" s="4" t="inlineStr">
        <is>
          <t>SHRTPROB226</t>
        </is>
      </c>
      <c r="H1269" s="4" t="inlineStr"/>
      <c r="I1269" s="4" t="inlineStr">
        <is>
          <t>Medium</t>
        </is>
      </c>
      <c r="J1269" s="5">
        <f>HYPERLINK("https://www.codechef.com/problems/SHRTPROB226", "https://www.codechef.com/problems/SHRTPROB226")</f>
        <v/>
      </c>
      <c r="K1269" s="4" t="inlineStr"/>
      <c r="L1269" s="4" t="inlineStr"/>
      <c r="M1269" s="4" t="inlineStr"/>
      <c r="N1269" s="4" t="inlineStr">
        <is>
          <t>No</t>
        </is>
      </c>
      <c r="O1269" s="4" t="inlineStr">
        <is>
          <t>Unattempted</t>
        </is>
      </c>
    </row>
    <row r="1270">
      <c r="A1270" s="2" t="inlineStr">
        <is>
          <t>Interview Questions</t>
        </is>
      </c>
      <c r="B1270" s="2" t="inlineStr">
        <is>
          <t>Python Developer Interview Preparation</t>
        </is>
      </c>
      <c r="C1270" s="2" t="inlineStr">
        <is>
          <t>Prepare for freshers interviews for Python developer roles. Practice your responses for commonly asked Interview questions.</t>
        </is>
      </c>
      <c r="D1270" s="2" t="inlineStr">
        <is>
          <t>Project Review and Architecture - Project review and Architecture</t>
        </is>
      </c>
      <c r="E1270" s="2" t="n">
        <v>146</v>
      </c>
      <c r="F1270" s="2" t="inlineStr">
        <is>
          <t>Robustness Refinement</t>
        </is>
      </c>
      <c r="G1270" s="2" t="inlineStr">
        <is>
          <t>SHRTPROB227</t>
        </is>
      </c>
      <c r="H1270" s="2" t="inlineStr"/>
      <c r="I1270" s="2" t="inlineStr">
        <is>
          <t>Hard</t>
        </is>
      </c>
      <c r="J1270" s="3">
        <f>HYPERLINK("https://www.codechef.com/problems/SHRTPROB227", "https://www.codechef.com/problems/SHRTPROB227")</f>
        <v/>
      </c>
      <c r="K1270" s="2" t="inlineStr"/>
      <c r="L1270" s="2" t="inlineStr"/>
      <c r="M1270" s="2" t="inlineStr"/>
      <c r="N1270" s="2" t="inlineStr">
        <is>
          <t>No</t>
        </is>
      </c>
      <c r="O1270" s="2" t="inlineStr">
        <is>
          <t>Unattempted</t>
        </is>
      </c>
    </row>
    <row r="1271">
      <c r="A1271" s="4" t="inlineStr">
        <is>
          <t>Interview Questions</t>
        </is>
      </c>
      <c r="B1271" s="4" t="inlineStr">
        <is>
          <t>Python Developer Interview Preparation</t>
        </is>
      </c>
      <c r="C1271" s="4" t="inlineStr">
        <is>
          <t>Prepare for freshers interviews for Python developer roles. Practice your responses for commonly asked Interview questions.</t>
        </is>
      </c>
      <c r="D1271" s="4" t="inlineStr">
        <is>
          <t>Project Review and Architecture - Project review and Architecture</t>
        </is>
      </c>
      <c r="E1271" s="4" t="n">
        <v>147</v>
      </c>
      <c r="F1271" s="4" t="inlineStr">
        <is>
          <t>Observability Audit</t>
        </is>
      </c>
      <c r="G1271" s="4" t="inlineStr">
        <is>
          <t>SHRTPROB228</t>
        </is>
      </c>
      <c r="H1271" s="4" t="inlineStr"/>
      <c r="I1271" s="4" t="inlineStr">
        <is>
          <t>Hard</t>
        </is>
      </c>
      <c r="J1271" s="5">
        <f>HYPERLINK("https://www.codechef.com/problems/SHRTPROB228", "https://www.codechef.com/problems/SHRTPROB228")</f>
        <v/>
      </c>
      <c r="K1271" s="4" t="inlineStr"/>
      <c r="L1271" s="4" t="inlineStr"/>
      <c r="M1271" s="4" t="inlineStr"/>
      <c r="N1271" s="4" t="inlineStr">
        <is>
          <t>No</t>
        </is>
      </c>
      <c r="O1271" s="4" t="inlineStr">
        <is>
          <t>Unattempted</t>
        </is>
      </c>
    </row>
    <row r="1272">
      <c r="A1272" s="2" t="inlineStr">
        <is>
          <t>Interview Questions</t>
        </is>
      </c>
      <c r="B1272" s="2" t="inlineStr">
        <is>
          <t>Python Developer Interview Preparation</t>
        </is>
      </c>
      <c r="C1272" s="2" t="inlineStr">
        <is>
          <t>Prepare for freshers interviews for Python developer roles. Practice your responses for commonly asked Interview questions.</t>
        </is>
      </c>
      <c r="D1272" s="2" t="inlineStr">
        <is>
          <t>Project Review and Architecture - Project review and Architecture</t>
        </is>
      </c>
      <c r="E1272" s="2" t="n">
        <v>148</v>
      </c>
      <c r="F1272" s="2" t="inlineStr">
        <is>
          <t>Test Optimization</t>
        </is>
      </c>
      <c r="G1272" s="2" t="inlineStr">
        <is>
          <t>SHRTPROB229</t>
        </is>
      </c>
      <c r="H1272" s="2" t="inlineStr"/>
      <c r="I1272" s="2" t="inlineStr">
        <is>
          <t>Hard</t>
        </is>
      </c>
      <c r="J1272" s="3">
        <f>HYPERLINK("https://www.codechef.com/problems/SHRTPROB229", "https://www.codechef.com/problems/SHRTPROB229")</f>
        <v/>
      </c>
      <c r="K1272" s="2" t="inlineStr"/>
      <c r="L1272" s="2" t="inlineStr"/>
      <c r="M1272" s="2" t="inlineStr"/>
      <c r="N1272" s="2" t="inlineStr">
        <is>
          <t>No</t>
        </is>
      </c>
      <c r="O1272" s="2" t="inlineStr">
        <is>
          <t>Unattempted</t>
        </is>
      </c>
    </row>
    <row r="1273">
      <c r="A1273" s="4" t="inlineStr">
        <is>
          <t>Interview Questions</t>
        </is>
      </c>
      <c r="B1273" s="4" t="inlineStr">
        <is>
          <t>Python Developer Interview Preparation</t>
        </is>
      </c>
      <c r="C1273" s="4" t="inlineStr">
        <is>
          <t>Prepare for freshers interviews for Python developer roles. Practice your responses for commonly asked Interview questions.</t>
        </is>
      </c>
      <c r="D1273" s="4" t="inlineStr">
        <is>
          <t>Project Review and Architecture - Project review and Architecture</t>
        </is>
      </c>
      <c r="E1273" s="4" t="n">
        <v>149</v>
      </c>
      <c r="F1273" s="4" t="inlineStr">
        <is>
          <t>Deployment Architecture Review</t>
        </is>
      </c>
      <c r="G1273" s="4" t="inlineStr">
        <is>
          <t>SHRTPROB230</t>
        </is>
      </c>
      <c r="H1273" s="4" t="inlineStr"/>
      <c r="I1273" s="4" t="inlineStr">
        <is>
          <t>Hard</t>
        </is>
      </c>
      <c r="J1273" s="5">
        <f>HYPERLINK("https://www.codechef.com/problems/SHRTPROB230", "https://www.codechef.com/problems/SHRTPROB230")</f>
        <v/>
      </c>
      <c r="K1273" s="4" t="inlineStr"/>
      <c r="L1273" s="4" t="inlineStr"/>
      <c r="M1273" s="4" t="inlineStr"/>
      <c r="N1273" s="4" t="inlineStr">
        <is>
          <t>No</t>
        </is>
      </c>
      <c r="O1273" s="4" t="inlineStr">
        <is>
          <t>Unattempted</t>
        </is>
      </c>
    </row>
    <row r="1274">
      <c r="A1274" s="2" t="inlineStr">
        <is>
          <t>Interview Questions</t>
        </is>
      </c>
      <c r="B1274" s="2" t="inlineStr">
        <is>
          <t>Python Developer Interview Preparation</t>
        </is>
      </c>
      <c r="C1274" s="2" t="inlineStr">
        <is>
          <t>Prepare for freshers interviews for Python developer roles. Practice your responses for commonly asked Interview questions.</t>
        </is>
      </c>
      <c r="D1274" s="2" t="inlineStr">
        <is>
          <t>Project Review and Architecture - Project review and Architecture</t>
        </is>
      </c>
      <c r="E1274" s="2" t="n">
        <v>150</v>
      </c>
      <c r="F1274" s="2" t="inlineStr">
        <is>
          <t>Scalability Bottleneck Analysis</t>
        </is>
      </c>
      <c r="G1274" s="2" t="inlineStr">
        <is>
          <t>SHRTPROB231</t>
        </is>
      </c>
      <c r="H1274" s="2" t="inlineStr"/>
      <c r="I1274" s="2" t="inlineStr">
        <is>
          <t>Hard</t>
        </is>
      </c>
      <c r="J1274" s="3">
        <f>HYPERLINK("https://www.codechef.com/problems/SHRTPROB231", "https://www.codechef.com/problems/SHRTPROB231")</f>
        <v/>
      </c>
      <c r="K1274" s="2" t="inlineStr"/>
      <c r="L1274" s="2" t="inlineStr"/>
      <c r="M1274" s="2" t="inlineStr"/>
      <c r="N1274" s="2" t="inlineStr">
        <is>
          <t>No</t>
        </is>
      </c>
      <c r="O1274" s="2" t="inlineStr">
        <is>
          <t>Unattempted</t>
        </is>
      </c>
    </row>
    <row r="1275">
      <c r="A1275" s="4" t="inlineStr">
        <is>
          <t>Interview Questions</t>
        </is>
      </c>
      <c r="B1275" s="4" t="inlineStr">
        <is>
          <t>Python Developer Interview Preparation</t>
        </is>
      </c>
      <c r="C1275" s="4" t="inlineStr">
        <is>
          <t>Prepare for freshers interviews for Python developer roles. Practice your responses for commonly asked Interview questions.</t>
        </is>
      </c>
      <c r="D1275" s="4" t="inlineStr">
        <is>
          <t>Project Review and Architecture - Project review and Architecture</t>
        </is>
      </c>
      <c r="E1275" s="4" t="n">
        <v>151</v>
      </c>
      <c r="F1275" s="4" t="inlineStr">
        <is>
          <t>Cache Audit</t>
        </is>
      </c>
      <c r="G1275" s="4" t="inlineStr">
        <is>
          <t>SHRTPROB232</t>
        </is>
      </c>
      <c r="H1275" s="4" t="inlineStr"/>
      <c r="I1275" s="4" t="inlineStr">
        <is>
          <t>Medium</t>
        </is>
      </c>
      <c r="J1275" s="5">
        <f>HYPERLINK("https://www.codechef.com/problems/SHRTPROB232", "https://www.codechef.com/problems/SHRTPROB232")</f>
        <v/>
      </c>
      <c r="K1275" s="4" t="inlineStr"/>
      <c r="L1275" s="4" t="inlineStr"/>
      <c r="M1275" s="4" t="inlineStr"/>
      <c r="N1275" s="4" t="inlineStr">
        <is>
          <t>No</t>
        </is>
      </c>
      <c r="O1275" s="4" t="inlineStr">
        <is>
          <t>Unattempted</t>
        </is>
      </c>
    </row>
    <row r="1276">
      <c r="A1276" s="2" t="inlineStr">
        <is>
          <t>Interview Questions</t>
        </is>
      </c>
      <c r="B1276" s="2" t="inlineStr">
        <is>
          <t>Python Developer Interview Preparation</t>
        </is>
      </c>
      <c r="C1276" s="2" t="inlineStr">
        <is>
          <t>Prepare for freshers interviews for Python developer roles. Practice your responses for commonly asked Interview questions.</t>
        </is>
      </c>
      <c r="D1276" s="2" t="inlineStr">
        <is>
          <t>Project Review and Architecture - Project review and Architecture</t>
        </is>
      </c>
      <c r="E1276" s="2" t="n">
        <v>152</v>
      </c>
      <c r="F1276" s="2" t="inlineStr">
        <is>
          <t>Authentication Hardening</t>
        </is>
      </c>
      <c r="G1276" s="2" t="inlineStr">
        <is>
          <t>SHRTPROB233</t>
        </is>
      </c>
      <c r="H1276" s="2" t="inlineStr"/>
      <c r="I1276" s="2" t="inlineStr">
        <is>
          <t>Hard</t>
        </is>
      </c>
      <c r="J1276" s="3">
        <f>HYPERLINK("https://www.codechef.com/problems/SHRTPROB233", "https://www.codechef.com/problems/SHRTPROB233")</f>
        <v/>
      </c>
      <c r="K1276" s="2" t="inlineStr"/>
      <c r="L1276" s="2" t="inlineStr"/>
      <c r="M1276" s="2" t="inlineStr"/>
      <c r="N1276" s="2" t="inlineStr">
        <is>
          <t>No</t>
        </is>
      </c>
      <c r="O1276" s="2" t="inlineStr">
        <is>
          <t>Unattempted</t>
        </is>
      </c>
    </row>
    <row r="1277">
      <c r="A1277" s="4" t="inlineStr">
        <is>
          <t>Interview Questions</t>
        </is>
      </c>
      <c r="B1277" s="4" t="inlineStr">
        <is>
          <t>Python Developer Interview Preparation</t>
        </is>
      </c>
      <c r="C1277" s="4" t="inlineStr">
        <is>
          <t>Prepare for freshers interviews for Python developer roles. Practice your responses for commonly asked Interview questions.</t>
        </is>
      </c>
      <c r="D1277" s="4" t="inlineStr">
        <is>
          <t>Project Review and Architecture - Project review and Architecture</t>
        </is>
      </c>
      <c r="E1277" s="4" t="n">
        <v>153</v>
      </c>
      <c r="F1277" s="4" t="inlineStr">
        <is>
          <t>Data Model Review</t>
        </is>
      </c>
      <c r="G1277" s="4" t="inlineStr">
        <is>
          <t>SHRTPROB234</t>
        </is>
      </c>
      <c r="H1277" s="4" t="inlineStr"/>
      <c r="I1277" s="4" t="inlineStr">
        <is>
          <t>Medium</t>
        </is>
      </c>
      <c r="J1277" s="5">
        <f>HYPERLINK("https://www.codechef.com/problems/SHRTPROB234", "https://www.codechef.com/problems/SHRTPROB234")</f>
        <v/>
      </c>
      <c r="K1277" s="4" t="inlineStr"/>
      <c r="L1277" s="4" t="inlineStr"/>
      <c r="M1277" s="4" t="inlineStr"/>
      <c r="N1277" s="4" t="inlineStr">
        <is>
          <t>No</t>
        </is>
      </c>
      <c r="O1277" s="4" t="inlineStr">
        <is>
          <t>Unattempted</t>
        </is>
      </c>
    </row>
    <row r="1278">
      <c r="A1278" s="2" t="inlineStr">
        <is>
          <t>Interview Questions</t>
        </is>
      </c>
      <c r="B1278" s="2" t="inlineStr">
        <is>
          <t>Python Developer Interview Preparation</t>
        </is>
      </c>
      <c r="C1278" s="2" t="inlineStr">
        <is>
          <t>Prepare for freshers interviews for Python developer roles. Practice your responses for commonly asked Interview questions.</t>
        </is>
      </c>
      <c r="D1278" s="2" t="inlineStr">
        <is>
          <t>Project Review and Architecture - Project review and Architecture</t>
        </is>
      </c>
      <c r="E1278" s="2" t="n">
        <v>154</v>
      </c>
      <c r="F1278" s="2" t="inlineStr">
        <is>
          <t>Integration Optimization</t>
        </is>
      </c>
      <c r="G1278" s="2" t="inlineStr">
        <is>
          <t>SHRTPROB235</t>
        </is>
      </c>
      <c r="H1278" s="2" t="inlineStr"/>
      <c r="I1278" s="2" t="inlineStr">
        <is>
          <t>Hard</t>
        </is>
      </c>
      <c r="J1278" s="3">
        <f>HYPERLINK("https://www.codechef.com/problems/SHRTPROB235", "https://www.codechef.com/problems/SHRTPROB235")</f>
        <v/>
      </c>
      <c r="K1278" s="2" t="inlineStr"/>
      <c r="L1278" s="2" t="inlineStr"/>
      <c r="M1278" s="2" t="inlineStr"/>
      <c r="N1278" s="2" t="inlineStr">
        <is>
          <t>No</t>
        </is>
      </c>
      <c r="O1278" s="2" t="inlineStr">
        <is>
          <t>Unattempted</t>
        </is>
      </c>
    </row>
    <row r="1279">
      <c r="A1279" s="4" t="inlineStr">
        <is>
          <t>Interview Questions</t>
        </is>
      </c>
      <c r="B1279" s="4" t="inlineStr">
        <is>
          <t>Python Developer Interview Preparation</t>
        </is>
      </c>
      <c r="C1279" s="4" t="inlineStr">
        <is>
          <t>Prepare for freshers interviews for Python developer roles. Practice your responses for commonly asked Interview questions.</t>
        </is>
      </c>
      <c r="D1279" s="4" t="inlineStr">
        <is>
          <t>Project Review and Architecture - Project review and Architecture</t>
        </is>
      </c>
      <c r="E1279" s="4" t="n">
        <v>155</v>
      </c>
      <c r="F1279" s="4" t="inlineStr">
        <is>
          <t>Code Architecture Review</t>
        </is>
      </c>
      <c r="G1279" s="4" t="inlineStr">
        <is>
          <t>SHRTPROB236</t>
        </is>
      </c>
      <c r="H1279" s="4" t="inlineStr"/>
      <c r="I1279" s="4" t="inlineStr">
        <is>
          <t>Medium</t>
        </is>
      </c>
      <c r="J1279" s="5">
        <f>HYPERLINK("https://www.codechef.com/problems/SHRTPROB236", "https://www.codechef.com/problems/SHRTPROB236")</f>
        <v/>
      </c>
      <c r="K1279" s="4" t="inlineStr"/>
      <c r="L1279" s="4" t="inlineStr"/>
      <c r="M1279" s="4" t="inlineStr"/>
      <c r="N1279" s="4" t="inlineStr">
        <is>
          <t>No</t>
        </is>
      </c>
      <c r="O1279" s="4" t="inlineStr">
        <is>
          <t>Unattempted</t>
        </is>
      </c>
    </row>
    <row r="1280">
      <c r="A1280" s="2" t="inlineStr">
        <is>
          <t>Interview Questions</t>
        </is>
      </c>
      <c r="B1280" s="2" t="inlineStr">
        <is>
          <t>Python Developer Interview Preparation</t>
        </is>
      </c>
      <c r="C1280" s="2" t="inlineStr">
        <is>
          <t>Prepare for freshers interviews for Python developer roles. Practice your responses for commonly asked Interview questions.</t>
        </is>
      </c>
      <c r="D1280" s="2" t="inlineStr">
        <is>
          <t>Project Review and Architecture - Project review and Architecture</t>
        </is>
      </c>
      <c r="E1280" s="2" t="n">
        <v>156</v>
      </c>
      <c r="F1280" s="2" t="inlineStr">
        <is>
          <t>ConfigOpt</t>
        </is>
      </c>
      <c r="G1280" s="2" t="inlineStr">
        <is>
          <t>SHRTPROB237</t>
        </is>
      </c>
      <c r="H1280" s="2" t="inlineStr"/>
      <c r="I1280" s="2" t="inlineStr">
        <is>
          <t>Hard</t>
        </is>
      </c>
      <c r="J1280" s="3">
        <f>HYPERLINK("https://www.codechef.com/problems/SHRTPROB237", "https://www.codechef.com/problems/SHRTPROB237")</f>
        <v/>
      </c>
      <c r="K1280" s="2" t="inlineStr"/>
      <c r="L1280" s="2" t="inlineStr"/>
      <c r="M1280" s="2" t="inlineStr"/>
      <c r="N1280" s="2" t="inlineStr">
        <is>
          <t>No</t>
        </is>
      </c>
      <c r="O1280" s="2" t="inlineStr">
        <is>
          <t>Unattempted</t>
        </is>
      </c>
    </row>
    <row r="1281">
      <c r="A1281" s="4" t="inlineStr">
        <is>
          <t>Interview Questions</t>
        </is>
      </c>
      <c r="B1281" s="4" t="inlineStr">
        <is>
          <t>Python Developer Interview Preparation</t>
        </is>
      </c>
      <c r="C1281" s="4" t="inlineStr">
        <is>
          <t>Prepare for freshers interviews for Python developer roles. Practice your responses for commonly asked Interview questions.</t>
        </is>
      </c>
      <c r="D1281" s="4" t="inlineStr">
        <is>
          <t>Project Review and Architecture - Project review and Architecture</t>
        </is>
      </c>
      <c r="E1281" s="4" t="n">
        <v>157</v>
      </c>
      <c r="F1281" s="4" t="inlineStr">
        <is>
          <t>Dependency Audit</t>
        </is>
      </c>
      <c r="G1281" s="4" t="inlineStr">
        <is>
          <t>SHRTPROB238</t>
        </is>
      </c>
      <c r="H1281" s="4" t="inlineStr"/>
      <c r="I1281" s="4" t="inlineStr">
        <is>
          <t>Medium</t>
        </is>
      </c>
      <c r="J1281" s="5">
        <f>HYPERLINK("https://www.codechef.com/problems/SHRTPROB238", "https://www.codechef.com/problems/SHRTPROB238")</f>
        <v/>
      </c>
      <c r="K1281" s="4" t="inlineStr"/>
      <c r="L1281" s="4" t="inlineStr"/>
      <c r="M1281" s="4" t="inlineStr"/>
      <c r="N1281" s="4" t="inlineStr">
        <is>
          <t>No</t>
        </is>
      </c>
      <c r="O1281" s="4" t="inlineStr">
        <is>
          <t>Unattempted</t>
        </is>
      </c>
    </row>
    <row r="1282">
      <c r="A1282" s="2" t="inlineStr">
        <is>
          <t>Interview Questions</t>
        </is>
      </c>
      <c r="B1282" s="2" t="inlineStr">
        <is>
          <t>Python Developer Interview Preparation</t>
        </is>
      </c>
      <c r="C1282" s="2" t="inlineStr">
        <is>
          <t>Prepare for freshers interviews for Python developer roles. Practice your responses for commonly asked Interview questions.</t>
        </is>
      </c>
      <c r="D1282" s="2" t="inlineStr">
        <is>
          <t>Project Review and Architecture - Project review and Architecture</t>
        </is>
      </c>
      <c r="E1282" s="2" t="n">
        <v>158</v>
      </c>
      <c r="F1282" s="2" t="inlineStr">
        <is>
          <t>Pipeline Optimization</t>
        </is>
      </c>
      <c r="G1282" s="2" t="inlineStr">
        <is>
          <t>SHRTPROB239</t>
        </is>
      </c>
      <c r="H1282" s="2" t="inlineStr"/>
      <c r="I1282" s="2" t="inlineStr">
        <is>
          <t>Hard</t>
        </is>
      </c>
      <c r="J1282" s="3">
        <f>HYPERLINK("https://www.codechef.com/problems/SHRTPROB239", "https://www.codechef.com/problems/SHRTPROB239")</f>
        <v/>
      </c>
      <c r="K1282" s="2" t="inlineStr"/>
      <c r="L1282" s="2" t="inlineStr"/>
      <c r="M1282" s="2" t="inlineStr"/>
      <c r="N1282" s="2" t="inlineStr">
        <is>
          <t>No</t>
        </is>
      </c>
      <c r="O1282" s="2" t="inlineStr">
        <is>
          <t>Unattempted</t>
        </is>
      </c>
    </row>
    <row r="1283">
      <c r="A1283" s="4" t="inlineStr">
        <is>
          <t>Interview Questions</t>
        </is>
      </c>
      <c r="B1283" s="4" t="inlineStr">
        <is>
          <t>Python Developer Interview Preparation</t>
        </is>
      </c>
      <c r="C1283" s="4" t="inlineStr">
        <is>
          <t>Prepare for freshers interviews for Python developer roles. Practice your responses for commonly asked Interview questions.</t>
        </is>
      </c>
      <c r="D1283" s="4" t="inlineStr">
        <is>
          <t>Project Review and Architecture - Project review and Architecture</t>
        </is>
      </c>
      <c r="E1283" s="4" t="n">
        <v>159</v>
      </c>
      <c r="F1283" s="4" t="inlineStr">
        <is>
          <t>Documentation Quality Review</t>
        </is>
      </c>
      <c r="G1283" s="4" t="inlineStr">
        <is>
          <t>SHRTPROB240</t>
        </is>
      </c>
      <c r="H1283" s="4" t="inlineStr"/>
      <c r="I1283" s="4" t="inlineStr">
        <is>
          <t>Easy</t>
        </is>
      </c>
      <c r="J1283" s="5">
        <f>HYPERLINK("https://www.codechef.com/problems/SHRTPROB240", "https://www.codechef.com/problems/SHRTPROB240")</f>
        <v/>
      </c>
      <c r="K1283" s="4" t="inlineStr"/>
      <c r="L1283" s="4" t="inlineStr"/>
      <c r="M1283" s="4" t="inlineStr"/>
      <c r="N1283" s="4" t="inlineStr">
        <is>
          <t>No</t>
        </is>
      </c>
      <c r="O1283" s="4" t="inlineStr">
        <is>
          <t>Unattempted</t>
        </is>
      </c>
    </row>
    <row r="1284">
      <c r="A1284" s="2" t="inlineStr">
        <is>
          <t>Interview Questions</t>
        </is>
      </c>
      <c r="B1284" s="2" t="inlineStr">
        <is>
          <t>Python Developer Interview Preparation</t>
        </is>
      </c>
      <c r="C1284" s="2" t="inlineStr">
        <is>
          <t>Prepare for freshers interviews for Python developer roles. Practice your responses for commonly asked Interview questions.</t>
        </is>
      </c>
      <c r="D1284" s="2" t="inlineStr">
        <is>
          <t>Project Review and Architecture - Project review and Architecture</t>
        </is>
      </c>
      <c r="E1284" s="2" t="n">
        <v>160</v>
      </c>
      <c r="F1284" s="2" t="inlineStr">
        <is>
          <t>System Refinement</t>
        </is>
      </c>
      <c r="G1284" s="2" t="inlineStr">
        <is>
          <t>SHRTPROB241</t>
        </is>
      </c>
      <c r="H1284" s="2" t="inlineStr"/>
      <c r="I1284" s="2" t="inlineStr">
        <is>
          <t>Hard</t>
        </is>
      </c>
      <c r="J1284" s="3">
        <f>HYPERLINK("https://www.codechef.com/problems/SHRTPROB241", "https://www.codechef.com/problems/SHRTPROB241")</f>
        <v/>
      </c>
      <c r="K1284" s="2" t="inlineStr"/>
      <c r="L1284" s="2" t="inlineStr"/>
      <c r="M1284" s="2" t="inlineStr"/>
      <c r="N1284" s="2" t="inlineStr">
        <is>
          <t>No</t>
        </is>
      </c>
      <c r="O1284" s="2" t="inlineStr">
        <is>
          <t>Unattempted</t>
        </is>
      </c>
    </row>
    <row r="1285">
      <c r="A1285" s="4" t="inlineStr">
        <is>
          <t>Interview Questions</t>
        </is>
      </c>
      <c r="B1285" s="4" t="inlineStr">
        <is>
          <t>Java Developer Interview Preparation</t>
        </is>
      </c>
      <c r="C1285" s="4" t="inlineStr">
        <is>
          <t>Prepare for freshers interviews for Java developer roles. Practice your responses for commonly asked Interview questions.</t>
        </is>
      </c>
      <c r="D1285" s="4" t="inlineStr">
        <is>
          <t>Java Fundamentals - Java Fundamentals</t>
        </is>
      </c>
      <c r="E1285" s="4" t="n">
        <v>1</v>
      </c>
      <c r="F1285" s="4" t="inlineStr">
        <is>
          <t>Comment Identity Crisis</t>
        </is>
      </c>
      <c r="G1285" s="4" t="inlineStr">
        <is>
          <t>JVASHRTA05</t>
        </is>
      </c>
      <c r="H1285" s="4" t="inlineStr"/>
      <c r="I1285" s="4" t="inlineStr">
        <is>
          <t>Medium</t>
        </is>
      </c>
      <c r="J1285" s="5">
        <f>HYPERLINK("https://www.codechef.com/problems/JVASHRTA05", "https://www.codechef.com/problems/JVASHRTA05")</f>
        <v/>
      </c>
      <c r="K1285" s="4" t="inlineStr"/>
      <c r="L1285" s="4" t="inlineStr"/>
      <c r="M1285" s="4" t="inlineStr"/>
      <c r="N1285" s="4" t="inlineStr">
        <is>
          <t>No</t>
        </is>
      </c>
      <c r="O1285" s="4" t="inlineStr">
        <is>
          <t>Unattempted</t>
        </is>
      </c>
    </row>
    <row r="1286">
      <c r="A1286" s="2" t="inlineStr">
        <is>
          <t>Interview Questions</t>
        </is>
      </c>
      <c r="B1286" s="2" t="inlineStr">
        <is>
          <t>Java Developer Interview Preparation</t>
        </is>
      </c>
      <c r="C1286" s="2" t="inlineStr">
        <is>
          <t>Prepare for freshers interviews for Java developer roles. Practice your responses for commonly asked Interview questions.</t>
        </is>
      </c>
      <c r="D1286" s="2" t="inlineStr">
        <is>
          <t>Java Fundamentals - Java Fundamentals</t>
        </is>
      </c>
      <c r="E1286" s="2" t="n">
        <v>2</v>
      </c>
      <c r="F1286" s="2" t="inlineStr">
        <is>
          <t>Static Greeting</t>
        </is>
      </c>
      <c r="G1286" s="2" t="inlineStr">
        <is>
          <t>JVASHRTA06</t>
        </is>
      </c>
      <c r="H1286" s="2" t="inlineStr"/>
      <c r="I1286" s="2" t="inlineStr">
        <is>
          <t>Easy</t>
        </is>
      </c>
      <c r="J1286" s="3">
        <f>HYPERLINK("https://www.codechef.com/problems/JVASHRTA06", "https://www.codechef.com/problems/JVASHRTA06")</f>
        <v/>
      </c>
      <c r="K1286" s="2" t="inlineStr"/>
      <c r="L1286" s="2" t="inlineStr"/>
      <c r="M1286" s="2" t="inlineStr"/>
      <c r="N1286" s="2" t="inlineStr">
        <is>
          <t>No</t>
        </is>
      </c>
      <c r="O1286" s="2" t="inlineStr">
        <is>
          <t>Unattempted</t>
        </is>
      </c>
    </row>
    <row r="1287">
      <c r="A1287" s="4" t="inlineStr">
        <is>
          <t>Interview Questions</t>
        </is>
      </c>
      <c r="B1287" s="4" t="inlineStr">
        <is>
          <t>Java Developer Interview Preparation</t>
        </is>
      </c>
      <c r="C1287" s="4" t="inlineStr">
        <is>
          <t>Prepare for freshers interviews for Java developer roles. Practice your responses for commonly asked Interview questions.</t>
        </is>
      </c>
      <c r="D1287" s="4" t="inlineStr">
        <is>
          <t>Java Fundamentals - Java Fundamentals</t>
        </is>
      </c>
      <c r="E1287" s="4" t="n">
        <v>3</v>
      </c>
      <c r="F1287" s="4" t="inlineStr">
        <is>
          <t>Final Variable Reassignment</t>
        </is>
      </c>
      <c r="G1287" s="4" t="inlineStr">
        <is>
          <t>JVASHRTA07</t>
        </is>
      </c>
      <c r="H1287" s="4" t="inlineStr"/>
      <c r="I1287" s="4" t="inlineStr">
        <is>
          <t>Easy</t>
        </is>
      </c>
      <c r="J1287" s="5">
        <f>HYPERLINK("https://www.codechef.com/problems/JVASHRTA07", "https://www.codechef.com/problems/JVASHRTA07")</f>
        <v/>
      </c>
      <c r="K1287" s="4" t="inlineStr"/>
      <c r="L1287" s="4" t="inlineStr"/>
      <c r="M1287" s="4" t="inlineStr"/>
      <c r="N1287" s="4" t="inlineStr">
        <is>
          <t>No</t>
        </is>
      </c>
      <c r="O1287" s="4" t="inlineStr">
        <is>
          <t>Unattempted</t>
        </is>
      </c>
    </row>
    <row r="1288">
      <c r="A1288" s="2" t="inlineStr">
        <is>
          <t>Interview Questions</t>
        </is>
      </c>
      <c r="B1288" s="2" t="inlineStr">
        <is>
          <t>Java Developer Interview Preparation</t>
        </is>
      </c>
      <c r="C1288" s="2" t="inlineStr">
        <is>
          <t>Prepare for freshers interviews for Java developer roles. Practice your responses for commonly asked Interview questions.</t>
        </is>
      </c>
      <c r="D1288" s="2" t="inlineStr">
        <is>
          <t>Java Fundamentals - Java Fundamentals</t>
        </is>
      </c>
      <c r="E1288" s="2" t="n">
        <v>4</v>
      </c>
      <c r="F1288" s="2" t="inlineStr">
        <is>
          <t>Infinite Loop</t>
        </is>
      </c>
      <c r="G1288" s="2" t="inlineStr">
        <is>
          <t>JVASHRTA08</t>
        </is>
      </c>
      <c r="H1288" s="2" t="inlineStr"/>
      <c r="I1288" s="2" t="inlineStr">
        <is>
          <t>Easy</t>
        </is>
      </c>
      <c r="J1288" s="3">
        <f>HYPERLINK("https://www.codechef.com/problems/JVASHRTA08", "https://www.codechef.com/problems/JVASHRTA08")</f>
        <v/>
      </c>
      <c r="K1288" s="2" t="inlineStr"/>
      <c r="L1288" s="2" t="inlineStr"/>
      <c r="M1288" s="2" t="inlineStr"/>
      <c r="N1288" s="2" t="inlineStr">
        <is>
          <t>No</t>
        </is>
      </c>
      <c r="O1288" s="2" t="inlineStr">
        <is>
          <t>Unattempted</t>
        </is>
      </c>
    </row>
    <row r="1289">
      <c r="A1289" s="4" t="inlineStr">
        <is>
          <t>Interview Questions</t>
        </is>
      </c>
      <c r="B1289" s="4" t="inlineStr">
        <is>
          <t>Java Developer Interview Preparation</t>
        </is>
      </c>
      <c r="C1289" s="4" t="inlineStr">
        <is>
          <t>Prepare for freshers interviews for Java developer roles. Practice your responses for commonly asked Interview questions.</t>
        </is>
      </c>
      <c r="D1289" s="4" t="inlineStr">
        <is>
          <t>Java Fundamentals - Java Fundamentals</t>
        </is>
      </c>
      <c r="E1289" s="4" t="n">
        <v>5</v>
      </c>
      <c r="F1289" s="4" t="inlineStr">
        <is>
          <t>StringConcatenation</t>
        </is>
      </c>
      <c r="G1289" s="4" t="inlineStr">
        <is>
          <t>JVASHRTA09</t>
        </is>
      </c>
      <c r="H1289" s="4" t="inlineStr"/>
      <c r="I1289" s="4" t="inlineStr">
        <is>
          <t>Easy</t>
        </is>
      </c>
      <c r="J1289" s="5">
        <f>HYPERLINK("https://www.codechef.com/problems/JVASHRTA09", "https://www.codechef.com/problems/JVASHRTA09")</f>
        <v/>
      </c>
      <c r="K1289" s="4" t="inlineStr"/>
      <c r="L1289" s="4" t="inlineStr"/>
      <c r="M1289" s="4" t="inlineStr"/>
      <c r="N1289" s="4" t="inlineStr">
        <is>
          <t>No</t>
        </is>
      </c>
      <c r="O1289" s="4" t="inlineStr">
        <is>
          <t>Unattempted</t>
        </is>
      </c>
    </row>
    <row r="1290">
      <c r="A1290" s="2" t="inlineStr">
        <is>
          <t>Interview Questions</t>
        </is>
      </c>
      <c r="B1290" s="2" t="inlineStr">
        <is>
          <t>Java Developer Interview Preparation</t>
        </is>
      </c>
      <c r="C1290" s="2" t="inlineStr">
        <is>
          <t>Prepare for freshers interviews for Java developer roles. Practice your responses for commonly asked Interview questions.</t>
        </is>
      </c>
      <c r="D1290" s="2" t="inlineStr">
        <is>
          <t>Java Fundamentals - Java Fundamentals</t>
        </is>
      </c>
      <c r="E1290" s="2" t="n">
        <v>6</v>
      </c>
      <c r="F1290" s="2" t="inlineStr">
        <is>
          <t>StringEquality</t>
        </is>
      </c>
      <c r="G1290" s="2" t="inlineStr">
        <is>
          <t>JVASHRTA10</t>
        </is>
      </c>
      <c r="H1290" s="2" t="inlineStr"/>
      <c r="I1290" s="2" t="inlineStr">
        <is>
          <t>Easy</t>
        </is>
      </c>
      <c r="J1290" s="3">
        <f>HYPERLINK("https://www.codechef.com/problems/JVASHRTA10", "https://www.codechef.com/problems/JVASHRTA10")</f>
        <v/>
      </c>
      <c r="K1290" s="2" t="inlineStr"/>
      <c r="L1290" s="2" t="inlineStr"/>
      <c r="M1290" s="2" t="inlineStr"/>
      <c r="N1290" s="2" t="inlineStr">
        <is>
          <t>No</t>
        </is>
      </c>
      <c r="O1290" s="2" t="inlineStr">
        <is>
          <t>Unattempted</t>
        </is>
      </c>
    </row>
    <row r="1291">
      <c r="A1291" s="4" t="inlineStr">
        <is>
          <t>Interview Questions</t>
        </is>
      </c>
      <c r="B1291" s="4" t="inlineStr">
        <is>
          <t>Java Developer Interview Preparation</t>
        </is>
      </c>
      <c r="C1291" s="4" t="inlineStr">
        <is>
          <t>Prepare for freshers interviews for Java developer roles. Practice your responses for commonly asked Interview questions.</t>
        </is>
      </c>
      <c r="D1291" s="4" t="inlineStr">
        <is>
          <t>Java Fundamentals - Java Fundamentals</t>
        </is>
      </c>
      <c r="E1291" s="4" t="n">
        <v>7</v>
      </c>
      <c r="F1291" s="4" t="inlineStr">
        <is>
          <t>NullPointerException</t>
        </is>
      </c>
      <c r="G1291" s="4" t="inlineStr">
        <is>
          <t>JVASHRTA11</t>
        </is>
      </c>
      <c r="H1291" s="4" t="inlineStr"/>
      <c r="I1291" s="4" t="inlineStr">
        <is>
          <t>Easy</t>
        </is>
      </c>
      <c r="J1291" s="5">
        <f>HYPERLINK("https://www.codechef.com/problems/JVASHRTA11", "https://www.codechef.com/problems/JVASHRTA11")</f>
        <v/>
      </c>
      <c r="K1291" s="4" t="inlineStr"/>
      <c r="L1291" s="4" t="inlineStr"/>
      <c r="M1291" s="4" t="inlineStr"/>
      <c r="N1291" s="4" t="inlineStr">
        <is>
          <t>No</t>
        </is>
      </c>
      <c r="O1291" s="4" t="inlineStr">
        <is>
          <t>Unattempted</t>
        </is>
      </c>
    </row>
    <row r="1292">
      <c r="A1292" s="2" t="inlineStr">
        <is>
          <t>Interview Questions</t>
        </is>
      </c>
      <c r="B1292" s="2" t="inlineStr">
        <is>
          <t>Java Developer Interview Preparation</t>
        </is>
      </c>
      <c r="C1292" s="2" t="inlineStr">
        <is>
          <t>Prepare for freshers interviews for Java developer roles. Practice your responses for commonly asked Interview questions.</t>
        </is>
      </c>
      <c r="D1292" s="2" t="inlineStr">
        <is>
          <t>Java Fundamentals - Java Fundamentals</t>
        </is>
      </c>
      <c r="E1292" s="2" t="n">
        <v>8</v>
      </c>
      <c r="F1292" s="2" t="inlineStr">
        <is>
          <t>ScannerGotcha</t>
        </is>
      </c>
      <c r="G1292" s="2" t="inlineStr">
        <is>
          <t>JVASHRTA12</t>
        </is>
      </c>
      <c r="H1292" s="2" t="inlineStr"/>
      <c r="I1292" s="2" t="inlineStr">
        <is>
          <t>Easy</t>
        </is>
      </c>
      <c r="J1292" s="3">
        <f>HYPERLINK("https://www.codechef.com/problems/JVASHRTA12", "https://www.codechef.com/problems/JVASHRTA12")</f>
        <v/>
      </c>
      <c r="K1292" s="2" t="inlineStr"/>
      <c r="L1292" s="2" t="inlineStr"/>
      <c r="M1292" s="2" t="inlineStr"/>
      <c r="N1292" s="2" t="inlineStr">
        <is>
          <t>No</t>
        </is>
      </c>
      <c r="O1292" s="2" t="inlineStr">
        <is>
          <t>Unattempted</t>
        </is>
      </c>
    </row>
    <row r="1293">
      <c r="A1293" s="4" t="inlineStr">
        <is>
          <t>Interview Questions</t>
        </is>
      </c>
      <c r="B1293" s="4" t="inlineStr">
        <is>
          <t>Java Developer Interview Preparation</t>
        </is>
      </c>
      <c r="C1293" s="4" t="inlineStr">
        <is>
          <t>Prepare for freshers interviews for Java developer roles. Practice your responses for commonly asked Interview questions.</t>
        </is>
      </c>
      <c r="D1293" s="4" t="inlineStr">
        <is>
          <t>Java Fundamentals - Java Fundamentals</t>
        </is>
      </c>
      <c r="E1293" s="4" t="n">
        <v>9</v>
      </c>
      <c r="F1293" s="4" t="inlineStr">
        <is>
          <t>String Concatenation Performance</t>
        </is>
      </c>
      <c r="G1293" s="4" t="inlineStr">
        <is>
          <t>JVASHRTA13</t>
        </is>
      </c>
      <c r="H1293" s="4" t="inlineStr"/>
      <c r="I1293" s="4" t="inlineStr">
        <is>
          <t>Medium</t>
        </is>
      </c>
      <c r="J1293" s="5">
        <f>HYPERLINK("https://www.codechef.com/problems/JVASHRTA13", "https://www.codechef.com/problems/JVASHRTA13")</f>
        <v/>
      </c>
      <c r="K1293" s="4" t="inlineStr"/>
      <c r="L1293" s="4" t="inlineStr"/>
      <c r="M1293" s="4" t="inlineStr"/>
      <c r="N1293" s="4" t="inlineStr">
        <is>
          <t>No</t>
        </is>
      </c>
      <c r="O1293" s="4" t="inlineStr">
        <is>
          <t>Unattempted</t>
        </is>
      </c>
    </row>
    <row r="1294">
      <c r="A1294" s="2" t="inlineStr">
        <is>
          <t>Interview Questions</t>
        </is>
      </c>
      <c r="B1294" s="2" t="inlineStr">
        <is>
          <t>Java Developer Interview Preparation</t>
        </is>
      </c>
      <c r="C1294" s="2" t="inlineStr">
        <is>
          <t>Prepare for freshers interviews for Java developer roles. Practice your responses for commonly asked Interview questions.</t>
        </is>
      </c>
      <c r="D1294" s="2" t="inlineStr">
        <is>
          <t>Java Fundamentals - Java Fundamentals</t>
        </is>
      </c>
      <c r="E1294" s="2" t="n">
        <v>10</v>
      </c>
      <c r="F1294" s="2" t="inlineStr">
        <is>
          <t>StaticHiding</t>
        </is>
      </c>
      <c r="G1294" s="2" t="inlineStr">
        <is>
          <t>JVASHRTA14</t>
        </is>
      </c>
      <c r="H1294" s="2" t="inlineStr"/>
      <c r="I1294" s="2" t="inlineStr">
        <is>
          <t>Medium</t>
        </is>
      </c>
      <c r="J1294" s="3">
        <f>HYPERLINK("https://www.codechef.com/problems/JVASHRTA14", "https://www.codechef.com/problems/JVASHRTA14")</f>
        <v/>
      </c>
      <c r="K1294" s="2" t="inlineStr"/>
      <c r="L1294" s="2" t="inlineStr"/>
      <c r="M1294" s="2" t="inlineStr"/>
      <c r="N1294" s="2" t="inlineStr">
        <is>
          <t>No</t>
        </is>
      </c>
      <c r="O1294" s="2" t="inlineStr">
        <is>
          <t>Unattempted</t>
        </is>
      </c>
    </row>
    <row r="1295">
      <c r="A1295" s="4" t="inlineStr">
        <is>
          <t>Interview Questions</t>
        </is>
      </c>
      <c r="B1295" s="4" t="inlineStr">
        <is>
          <t>Java Developer Interview Preparation</t>
        </is>
      </c>
      <c r="C1295" s="4" t="inlineStr">
        <is>
          <t>Prepare for freshers interviews for Java developer roles. Practice your responses for commonly asked Interview questions.</t>
        </is>
      </c>
      <c r="D1295" s="4" t="inlineStr">
        <is>
          <t>Java Fundamentals - Java Fundamentals</t>
        </is>
      </c>
      <c r="E1295" s="4" t="n">
        <v>11</v>
      </c>
      <c r="F1295" s="4" t="inlineStr">
        <is>
          <t>SuperCallOrder</t>
        </is>
      </c>
      <c r="G1295" s="4" t="inlineStr">
        <is>
          <t>JVASHRTA15</t>
        </is>
      </c>
      <c r="H1295" s="4" t="inlineStr"/>
      <c r="I1295" s="4" t="inlineStr">
        <is>
          <t>Medium</t>
        </is>
      </c>
      <c r="J1295" s="5">
        <f>HYPERLINK("https://www.codechef.com/problems/JVASHRTA15", "https://www.codechef.com/problems/JVASHRTA15")</f>
        <v/>
      </c>
      <c r="K1295" s="4" t="inlineStr"/>
      <c r="L1295" s="4" t="inlineStr"/>
      <c r="M1295" s="4" t="inlineStr"/>
      <c r="N1295" s="4" t="inlineStr">
        <is>
          <t>No</t>
        </is>
      </c>
      <c r="O1295" s="4" t="inlineStr">
        <is>
          <t>Unattempted</t>
        </is>
      </c>
    </row>
    <row r="1296">
      <c r="A1296" s="2" t="inlineStr">
        <is>
          <t>Interview Questions</t>
        </is>
      </c>
      <c r="B1296" s="2" t="inlineStr">
        <is>
          <t>Java Developer Interview Preparation</t>
        </is>
      </c>
      <c r="C1296" s="2" t="inlineStr">
        <is>
          <t>Prepare for freshers interviews for Java developer roles. Practice your responses for commonly asked Interview questions.</t>
        </is>
      </c>
      <c r="D1296" s="2" t="inlineStr">
        <is>
          <t>Java Fundamentals - Java Fundamentals</t>
        </is>
      </c>
      <c r="E1296" s="2" t="n">
        <v>12</v>
      </c>
      <c r="F1296" s="2" t="inlineStr">
        <is>
          <t>Java Keyword Enforcement</t>
        </is>
      </c>
      <c r="G1296" s="2" t="inlineStr">
        <is>
          <t>JVASHRTA16</t>
        </is>
      </c>
      <c r="H1296" s="2" t="inlineStr"/>
      <c r="I1296" s="2" t="inlineStr">
        <is>
          <t>Medium</t>
        </is>
      </c>
      <c r="J1296" s="3">
        <f>HYPERLINK("https://www.codechef.com/problems/JVASHRTA16", "https://www.codechef.com/problems/JVASHRTA16")</f>
        <v/>
      </c>
      <c r="K1296" s="2" t="inlineStr"/>
      <c r="L1296" s="2" t="inlineStr"/>
      <c r="M1296" s="2" t="inlineStr"/>
      <c r="N1296" s="2" t="inlineStr">
        <is>
          <t>No</t>
        </is>
      </c>
      <c r="O1296" s="2" t="inlineStr">
        <is>
          <t>Unattempted</t>
        </is>
      </c>
    </row>
    <row r="1297">
      <c r="A1297" s="4" t="inlineStr">
        <is>
          <t>Interview Questions</t>
        </is>
      </c>
      <c r="B1297" s="4" t="inlineStr">
        <is>
          <t>Java Developer Interview Preparation</t>
        </is>
      </c>
      <c r="C1297" s="4" t="inlineStr">
        <is>
          <t>Prepare for freshers interviews for Java developer roles. Practice your responses for commonly asked Interview questions.</t>
        </is>
      </c>
      <c r="D1297" s="4" t="inlineStr">
        <is>
          <t>Object-Oriented Programming - Object-Oriented Programming</t>
        </is>
      </c>
      <c r="E1297" s="4" t="n">
        <v>13</v>
      </c>
      <c r="F1297" s="4" t="inlineStr">
        <is>
          <t>Java Keyword Enforcement</t>
        </is>
      </c>
      <c r="G1297" s="4" t="inlineStr">
        <is>
          <t>JVASHRTA16</t>
        </is>
      </c>
      <c r="H1297" s="4" t="inlineStr"/>
      <c r="I1297" s="4" t="inlineStr">
        <is>
          <t>Medium</t>
        </is>
      </c>
      <c r="J1297" s="5">
        <f>HYPERLINK("https://www.codechef.com/problems/JVASHRTA16", "https://www.codechef.com/problems/JVASHRTA16")</f>
        <v/>
      </c>
      <c r="K1297" s="4" t="inlineStr"/>
      <c r="L1297" s="4" t="inlineStr"/>
      <c r="M1297" s="4" t="inlineStr"/>
      <c r="N1297" s="4" t="inlineStr">
        <is>
          <t>No</t>
        </is>
      </c>
      <c r="O1297" s="4" t="inlineStr">
        <is>
          <t>Unattempted</t>
        </is>
      </c>
    </row>
    <row r="1298">
      <c r="A1298" s="2" t="inlineStr">
        <is>
          <t>Interview Questions</t>
        </is>
      </c>
      <c r="B1298" s="2" t="inlineStr">
        <is>
          <t>Java Developer Interview Preparation</t>
        </is>
      </c>
      <c r="C1298" s="2" t="inlineStr">
        <is>
          <t>Prepare for freshers interviews for Java developer roles. Practice your responses for commonly asked Interview questions.</t>
        </is>
      </c>
      <c r="D1298" s="2" t="inlineStr">
        <is>
          <t>Object-Oriented Programming - Object-Oriented Programming</t>
        </is>
      </c>
      <c r="E1298" s="2" t="n">
        <v>14</v>
      </c>
      <c r="F1298" s="2" t="inlineStr">
        <is>
          <t>Build an OOP-Based Calculator</t>
        </is>
      </c>
      <c r="G1298" s="2" t="inlineStr">
        <is>
          <t>JVPREPOOP01</t>
        </is>
      </c>
      <c r="H1298" s="2" t="inlineStr"/>
      <c r="I1298" s="2" t="inlineStr">
        <is>
          <t>Easy</t>
        </is>
      </c>
      <c r="J1298" s="3">
        <f>HYPERLINK("https://www.codechef.com/problems/JVPREPOOP01", "https://www.codechef.com/problems/JVPREPOOP01")</f>
        <v/>
      </c>
      <c r="K1298" s="2" t="inlineStr"/>
      <c r="L1298" s="2" t="inlineStr"/>
      <c r="M1298" s="2" t="inlineStr"/>
      <c r="N1298" s="2" t="inlineStr">
        <is>
          <t>No</t>
        </is>
      </c>
      <c r="O1298" s="2" t="inlineStr">
        <is>
          <t>Unattempted</t>
        </is>
      </c>
    </row>
    <row r="1299">
      <c r="A1299" s="4" t="inlineStr">
        <is>
          <t>Interview Questions</t>
        </is>
      </c>
      <c r="B1299" s="4" t="inlineStr">
        <is>
          <t>Java Developer Interview Preparation</t>
        </is>
      </c>
      <c r="C1299" s="4" t="inlineStr">
        <is>
          <t>Prepare for freshers interviews for Java developer roles. Practice your responses for commonly asked Interview questions.</t>
        </is>
      </c>
      <c r="D1299" s="4" t="inlineStr">
        <is>
          <t>Object-Oriented Programming - Object-Oriented Programming</t>
        </is>
      </c>
      <c r="E1299" s="4" t="n">
        <v>15</v>
      </c>
      <c r="F1299" s="4" t="inlineStr">
        <is>
          <t>OOP Pillars Illustrated</t>
        </is>
      </c>
      <c r="G1299" s="4" t="inlineStr">
        <is>
          <t>JVASHRTA17</t>
        </is>
      </c>
      <c r="H1299" s="4" t="inlineStr"/>
      <c r="I1299" s="4" t="inlineStr">
        <is>
          <t>Medium</t>
        </is>
      </c>
      <c r="J1299" s="5">
        <f>HYPERLINK("https://www.codechef.com/problems/JVASHRTA17", "https://www.codechef.com/problems/JVASHRTA17")</f>
        <v/>
      </c>
      <c r="K1299" s="4" t="inlineStr"/>
      <c r="L1299" s="4" t="inlineStr"/>
      <c r="M1299" s="4" t="inlineStr"/>
      <c r="N1299" s="4" t="inlineStr">
        <is>
          <t>No</t>
        </is>
      </c>
      <c r="O1299" s="4" t="inlineStr">
        <is>
          <t>Unattempted</t>
        </is>
      </c>
    </row>
    <row r="1300">
      <c r="A1300" s="2" t="inlineStr">
        <is>
          <t>Interview Questions</t>
        </is>
      </c>
      <c r="B1300" s="2" t="inlineStr">
        <is>
          <t>Java Developer Interview Preparation</t>
        </is>
      </c>
      <c r="C1300" s="2" t="inlineStr">
        <is>
          <t>Prepare for freshers interviews for Java developer roles. Practice your responses for commonly asked Interview questions.</t>
        </is>
      </c>
      <c r="D1300" s="2" t="inlineStr">
        <is>
          <t>Object-Oriented Programming - Object-Oriented Programming</t>
        </is>
      </c>
      <c r="E1300" s="2" t="n">
        <v>16</v>
      </c>
      <c r="F1300" s="2" t="inlineStr">
        <is>
          <t>Model a Simple Banking System Using OOP</t>
        </is>
      </c>
      <c r="G1300" s="2" t="inlineStr">
        <is>
          <t>JVPREPOOP02</t>
        </is>
      </c>
      <c r="H1300" s="2" t="inlineStr"/>
      <c r="I1300" s="2" t="inlineStr">
        <is>
          <t>Medium</t>
        </is>
      </c>
      <c r="J1300" s="3">
        <f>HYPERLINK("https://www.codechef.com/problems/JVPREPOOP02", "https://www.codechef.com/problems/JVPREPOOP02")</f>
        <v/>
      </c>
      <c r="K1300" s="2" t="inlineStr"/>
      <c r="L1300" s="2" t="inlineStr"/>
      <c r="M1300" s="2" t="inlineStr"/>
      <c r="N1300" s="2" t="inlineStr">
        <is>
          <t>No</t>
        </is>
      </c>
      <c r="O1300" s="2" t="inlineStr">
        <is>
          <t>Unattempted</t>
        </is>
      </c>
    </row>
    <row r="1301">
      <c r="A1301" s="4" t="inlineStr">
        <is>
          <t>Interview Questions</t>
        </is>
      </c>
      <c r="B1301" s="4" t="inlineStr">
        <is>
          <t>Java Developer Interview Preparation</t>
        </is>
      </c>
      <c r="C1301" s="4" t="inlineStr">
        <is>
          <t>Prepare for freshers interviews for Java developer roles. Practice your responses for commonly asked Interview questions.</t>
        </is>
      </c>
      <c r="D1301" s="4" t="inlineStr">
        <is>
          <t>Object-Oriented Programming - Object-Oriented Programming</t>
        </is>
      </c>
      <c r="E1301" s="4" t="n">
        <v>17</v>
      </c>
      <c r="F1301" s="4" t="inlineStr">
        <is>
          <t>Abstract Class vs. Interface</t>
        </is>
      </c>
      <c r="G1301" s="4" t="inlineStr">
        <is>
          <t>JVASHRTA18</t>
        </is>
      </c>
      <c r="H1301" s="4" t="inlineStr"/>
      <c r="I1301" s="4" t="inlineStr">
        <is>
          <t>Medium</t>
        </is>
      </c>
      <c r="J1301" s="5">
        <f>HYPERLINK("https://www.codechef.com/problems/JVASHRTA18", "https://www.codechef.com/problems/JVASHRTA18")</f>
        <v/>
      </c>
      <c r="K1301" s="4" t="inlineStr"/>
      <c r="L1301" s="4" t="inlineStr"/>
      <c r="M1301" s="4" t="inlineStr"/>
      <c r="N1301" s="4" t="inlineStr">
        <is>
          <t>No</t>
        </is>
      </c>
      <c r="O1301" s="4" t="inlineStr">
        <is>
          <t>Unattempted</t>
        </is>
      </c>
    </row>
    <row r="1302">
      <c r="A1302" s="2" t="inlineStr">
        <is>
          <t>Interview Questions</t>
        </is>
      </c>
      <c r="B1302" s="2" t="inlineStr">
        <is>
          <t>Java Developer Interview Preparation</t>
        </is>
      </c>
      <c r="C1302" s="2" t="inlineStr">
        <is>
          <t>Prepare for freshers interviews for Java developer roles. Practice your responses for commonly asked Interview questions.</t>
        </is>
      </c>
      <c r="D1302" s="2" t="inlineStr">
        <is>
          <t>Object-Oriented Programming - Object-Oriented Programming</t>
        </is>
      </c>
      <c r="E1302" s="2" t="n">
        <v>18</v>
      </c>
      <c r="F1302" s="2" t="inlineStr">
        <is>
          <t>Shape It Up</t>
        </is>
      </c>
      <c r="G1302" s="2" t="inlineStr">
        <is>
          <t>JVPREPOOP03</t>
        </is>
      </c>
      <c r="H1302" s="2" t="inlineStr"/>
      <c r="I1302" s="2" t="inlineStr">
        <is>
          <t>Medium</t>
        </is>
      </c>
      <c r="J1302" s="3">
        <f>HYPERLINK("https://www.codechef.com/problems/JVPREPOOP03", "https://www.codechef.com/problems/JVPREPOOP03")</f>
        <v/>
      </c>
      <c r="K1302" s="2" t="inlineStr"/>
      <c r="L1302" s="2" t="inlineStr"/>
      <c r="M1302" s="2" t="inlineStr"/>
      <c r="N1302" s="2" t="inlineStr">
        <is>
          <t>No</t>
        </is>
      </c>
      <c r="O1302" s="2" t="inlineStr">
        <is>
          <t>Unattempted</t>
        </is>
      </c>
    </row>
    <row r="1303">
      <c r="A1303" s="4" t="inlineStr">
        <is>
          <t>Interview Questions</t>
        </is>
      </c>
      <c r="B1303" s="4" t="inlineStr">
        <is>
          <t>Java Developer Interview Preparation</t>
        </is>
      </c>
      <c r="C1303" s="4" t="inlineStr">
        <is>
          <t>Prepare for freshers interviews for Java developer roles. Practice your responses for commonly asked Interview questions.</t>
        </is>
      </c>
      <c r="D1303" s="4" t="inlineStr">
        <is>
          <t>Object-Oriented Programming - Object-Oriented Programming</t>
        </is>
      </c>
      <c r="E1303" s="4" t="n">
        <v>19</v>
      </c>
      <c r="F1303" s="4" t="inlineStr">
        <is>
          <t>Composition vs. Inheritance</t>
        </is>
      </c>
      <c r="G1303" s="4" t="inlineStr">
        <is>
          <t>JVASHRTA19</t>
        </is>
      </c>
      <c r="H1303" s="4" t="inlineStr"/>
      <c r="I1303" s="4" t="inlineStr">
        <is>
          <t>Medium</t>
        </is>
      </c>
      <c r="J1303" s="5">
        <f>HYPERLINK("https://www.codechef.com/problems/JVASHRTA19", "https://www.codechef.com/problems/JVASHRTA19")</f>
        <v/>
      </c>
      <c r="K1303" s="4" t="inlineStr"/>
      <c r="L1303" s="4" t="inlineStr"/>
      <c r="M1303" s="4" t="inlineStr"/>
      <c r="N1303" s="4" t="inlineStr">
        <is>
          <t>No</t>
        </is>
      </c>
      <c r="O1303" s="4" t="inlineStr">
        <is>
          <t>Unattempted</t>
        </is>
      </c>
    </row>
    <row r="1304">
      <c r="A1304" s="2" t="inlineStr">
        <is>
          <t>Interview Questions</t>
        </is>
      </c>
      <c r="B1304" s="2" t="inlineStr">
        <is>
          <t>Java Developer Interview Preparation</t>
        </is>
      </c>
      <c r="C1304" s="2" t="inlineStr">
        <is>
          <t>Prepare for freshers interviews for Java developer roles. Practice your responses for commonly asked Interview questions.</t>
        </is>
      </c>
      <c r="D1304" s="2" t="inlineStr">
        <is>
          <t>Object-Oriented Programming - Object-Oriented Programming</t>
        </is>
      </c>
      <c r="E1304" s="2" t="n">
        <v>20</v>
      </c>
      <c r="F1304" s="2" t="inlineStr">
        <is>
          <t>Build a Student Management System Using OOP</t>
        </is>
      </c>
      <c r="G1304" s="2" t="inlineStr">
        <is>
          <t>JVPREPOOP04</t>
        </is>
      </c>
      <c r="H1304" s="2" t="inlineStr"/>
      <c r="I1304" s="2" t="inlineStr">
        <is>
          <t>Medium</t>
        </is>
      </c>
      <c r="J1304" s="3">
        <f>HYPERLINK("https://www.codechef.com/problems/JVPREPOOP04", "https://www.codechef.com/problems/JVPREPOOP04")</f>
        <v/>
      </c>
      <c r="K1304" s="2" t="inlineStr"/>
      <c r="L1304" s="2" t="inlineStr"/>
      <c r="M1304" s="2" t="inlineStr"/>
      <c r="N1304" s="2" t="inlineStr">
        <is>
          <t>No</t>
        </is>
      </c>
      <c r="O1304" s="2" t="inlineStr">
        <is>
          <t>Unattempted</t>
        </is>
      </c>
    </row>
    <row r="1305">
      <c r="A1305" s="4" t="inlineStr">
        <is>
          <t>Interview Questions</t>
        </is>
      </c>
      <c r="B1305" s="4" t="inlineStr">
        <is>
          <t>Java Developer Interview Preparation</t>
        </is>
      </c>
      <c r="C1305" s="4" t="inlineStr">
        <is>
          <t>Prepare for freshers interviews for Java developer roles. Practice your responses for commonly asked Interview questions.</t>
        </is>
      </c>
      <c r="D1305" s="4" t="inlineStr">
        <is>
          <t>Object-Oriented Programming - Object-Oriented Programming</t>
        </is>
      </c>
      <c r="E1305" s="4" t="n">
        <v>21</v>
      </c>
      <c r="F1305" s="4" t="inlineStr">
        <is>
          <t>Polymorphism</t>
        </is>
      </c>
      <c r="G1305" s="4" t="inlineStr">
        <is>
          <t>JVASHRTA20</t>
        </is>
      </c>
      <c r="H1305" s="4" t="inlineStr"/>
      <c r="I1305" s="4" t="inlineStr">
        <is>
          <t>Medium</t>
        </is>
      </c>
      <c r="J1305" s="5">
        <f>HYPERLINK("https://www.codechef.com/problems/JVASHRTA20", "https://www.codechef.com/problems/JVASHRTA20")</f>
        <v/>
      </c>
      <c r="K1305" s="4" t="inlineStr"/>
      <c r="L1305" s="4" t="inlineStr"/>
      <c r="M1305" s="4" t="inlineStr"/>
      <c r="N1305" s="4" t="inlineStr">
        <is>
          <t>No</t>
        </is>
      </c>
      <c r="O1305" s="4" t="inlineStr">
        <is>
          <t>Unattempted</t>
        </is>
      </c>
    </row>
    <row r="1306">
      <c r="A1306" s="2" t="inlineStr">
        <is>
          <t>Interview Questions</t>
        </is>
      </c>
      <c r="B1306" s="2" t="inlineStr">
        <is>
          <t>Java Developer Interview Preparation</t>
        </is>
      </c>
      <c r="C1306" s="2" t="inlineStr">
        <is>
          <t>Prepare for freshers interviews for Java developer roles. Practice your responses for commonly asked Interview questions.</t>
        </is>
      </c>
      <c r="D1306" s="2" t="inlineStr">
        <is>
          <t>Object-Oriented Programming - Object-Oriented Programming</t>
        </is>
      </c>
      <c r="E1306" s="2" t="n">
        <v>22</v>
      </c>
      <c r="F1306" s="2" t="inlineStr">
        <is>
          <t>Simple Inventory Management System</t>
        </is>
      </c>
      <c r="G1306" s="2" t="inlineStr">
        <is>
          <t>JVPREPOOP05</t>
        </is>
      </c>
      <c r="H1306" s="2" t="inlineStr"/>
      <c r="I1306" s="2" t="inlineStr">
        <is>
          <t>Medium</t>
        </is>
      </c>
      <c r="J1306" s="3">
        <f>HYPERLINK("https://www.codechef.com/problems/JVPREPOOP05", "https://www.codechef.com/problems/JVPREPOOP05")</f>
        <v/>
      </c>
      <c r="K1306" s="2" t="inlineStr"/>
      <c r="L1306" s="2" t="inlineStr"/>
      <c r="M1306" s="2" t="inlineStr"/>
      <c r="N1306" s="2" t="inlineStr">
        <is>
          <t>No</t>
        </is>
      </c>
      <c r="O1306" s="2" t="inlineStr">
        <is>
          <t>Unattempted</t>
        </is>
      </c>
    </row>
    <row r="1307">
      <c r="A1307" s="4" t="inlineStr">
        <is>
          <t>Interview Questions</t>
        </is>
      </c>
      <c r="B1307" s="4" t="inlineStr">
        <is>
          <t>Java Developer Interview Preparation</t>
        </is>
      </c>
      <c r="C1307" s="4" t="inlineStr">
        <is>
          <t>Prepare for freshers interviews for Java developer roles. Practice your responses for commonly asked Interview questions.</t>
        </is>
      </c>
      <c r="D1307" s="4" t="inlineStr">
        <is>
          <t>Object-Oriented Programming - Object-Oriented Programming</t>
        </is>
      </c>
      <c r="E1307" s="4" t="n">
        <v>23</v>
      </c>
      <c r="F1307" s="4" t="inlineStr">
        <is>
          <t>BankAccountEncapsulation</t>
        </is>
      </c>
      <c r="G1307" s="4" t="inlineStr">
        <is>
          <t>JVASHRTA21</t>
        </is>
      </c>
      <c r="H1307" s="4" t="inlineStr"/>
      <c r="I1307" s="4" t="inlineStr">
        <is>
          <t>Easy</t>
        </is>
      </c>
      <c r="J1307" s="5">
        <f>HYPERLINK("https://www.codechef.com/problems/JVASHRTA21", "https://www.codechef.com/problems/JVASHRTA21")</f>
        <v/>
      </c>
      <c r="K1307" s="4" t="inlineStr"/>
      <c r="L1307" s="4" t="inlineStr"/>
      <c r="M1307" s="4" t="inlineStr"/>
      <c r="N1307" s="4" t="inlineStr">
        <is>
          <t>No</t>
        </is>
      </c>
      <c r="O1307" s="4" t="inlineStr">
        <is>
          <t>Unattempted</t>
        </is>
      </c>
    </row>
    <row r="1308">
      <c r="A1308" s="2" t="inlineStr">
        <is>
          <t>Interview Questions</t>
        </is>
      </c>
      <c r="B1308" s="2" t="inlineStr">
        <is>
          <t>Java Developer Interview Preparation</t>
        </is>
      </c>
      <c r="C1308" s="2" t="inlineStr">
        <is>
          <t>Prepare for freshers interviews for Java developer roles. Practice your responses for commonly asked Interview questions.</t>
        </is>
      </c>
      <c r="D1308" s="2" t="inlineStr">
        <is>
          <t>Data Structures and Algorithms - Data Structures and Algorithms</t>
        </is>
      </c>
      <c r="E1308" s="2" t="n">
        <v>24</v>
      </c>
      <c r="F1308" s="2" t="inlineStr">
        <is>
          <t>Coins And Triangle</t>
        </is>
      </c>
      <c r="G1308" s="2" t="inlineStr">
        <is>
          <t>TRICOIN</t>
        </is>
      </c>
      <c r="H1308" s="2" t="inlineStr">
        <is>
          <t>1075</t>
        </is>
      </c>
      <c r="I1308" s="2" t="inlineStr">
        <is>
          <t>Easy</t>
        </is>
      </c>
      <c r="J1308" s="3">
        <f>HYPERLINK("https://www.codechef.com/problems/TRICOIN", "https://www.codechef.com/problems/TRICOIN")</f>
        <v/>
      </c>
      <c r="K1308" s="2" t="inlineStr"/>
      <c r="L1308" s="2" t="inlineStr"/>
      <c r="M1308" s="2" t="inlineStr"/>
      <c r="N1308" s="2" t="inlineStr">
        <is>
          <t>No</t>
        </is>
      </c>
      <c r="O1308" s="2" t="inlineStr">
        <is>
          <t>Unattempted</t>
        </is>
      </c>
    </row>
    <row r="1309">
      <c r="A1309" s="4" t="inlineStr">
        <is>
          <t>Interview Questions</t>
        </is>
      </c>
      <c r="B1309" s="4" t="inlineStr">
        <is>
          <t>Java Developer Interview Preparation</t>
        </is>
      </c>
      <c r="C1309" s="4" t="inlineStr">
        <is>
          <t>Prepare for freshers interviews for Java developer roles. Practice your responses for commonly asked Interview questions.</t>
        </is>
      </c>
      <c r="D1309" s="4" t="inlineStr">
        <is>
          <t>Data Structures and Algorithms - Data Structures and Algorithms</t>
        </is>
      </c>
      <c r="E1309" s="4" t="n">
        <v>25</v>
      </c>
      <c r="F1309" s="4" t="inlineStr">
        <is>
          <t>Reverse a Linked List</t>
        </is>
      </c>
      <c r="G1309" s="4" t="inlineStr">
        <is>
          <t>RTLL</t>
        </is>
      </c>
      <c r="H1309" s="4" t="inlineStr">
        <is>
          <t>1400</t>
        </is>
      </c>
      <c r="I1309" s="4" t="inlineStr">
        <is>
          <t>Medium</t>
        </is>
      </c>
      <c r="J1309" s="5">
        <f>HYPERLINK("https://www.codechef.com/problems/RTLL", "https://www.codechef.com/problems/RTLL")</f>
        <v/>
      </c>
      <c r="K1309" s="4" t="inlineStr"/>
      <c r="L1309" s="4" t="inlineStr"/>
      <c r="M1309" s="4" t="inlineStr"/>
      <c r="N1309" s="4" t="inlineStr">
        <is>
          <t>No</t>
        </is>
      </c>
      <c r="O1309" s="4" t="inlineStr">
        <is>
          <t>Unattempted</t>
        </is>
      </c>
    </row>
    <row r="1310">
      <c r="A1310" s="2" t="inlineStr">
        <is>
          <t>Interview Questions</t>
        </is>
      </c>
      <c r="B1310" s="2" t="inlineStr">
        <is>
          <t>Java Developer Interview Preparation</t>
        </is>
      </c>
      <c r="C1310" s="2" t="inlineStr">
        <is>
          <t>Prepare for freshers interviews for Java developer roles. Practice your responses for commonly asked Interview questions.</t>
        </is>
      </c>
      <c r="D1310" s="2" t="inlineStr">
        <is>
          <t>Data Structures and Algorithms - Data Structures and Algorithms</t>
        </is>
      </c>
      <c r="E1310" s="2" t="n">
        <v>26</v>
      </c>
      <c r="F1310" s="2" t="inlineStr">
        <is>
          <t>Implement Stack using Arrays</t>
        </is>
      </c>
      <c r="G1310" s="2" t="inlineStr">
        <is>
          <t>STACK03</t>
        </is>
      </c>
      <c r="H1310" s="2" t="inlineStr">
        <is>
          <t>932</t>
        </is>
      </c>
      <c r="I1310" s="2" t="inlineStr">
        <is>
          <t>Easy</t>
        </is>
      </c>
      <c r="J1310" s="3">
        <f>HYPERLINK("https://www.codechef.com/problems/STACK03", "https://www.codechef.com/problems/STACK03")</f>
        <v/>
      </c>
      <c r="K1310" s="2" t="inlineStr"/>
      <c r="L1310" s="2" t="inlineStr"/>
      <c r="M1310" s="2" t="inlineStr"/>
      <c r="N1310" s="2" t="inlineStr">
        <is>
          <t>No</t>
        </is>
      </c>
      <c r="O1310" s="2" t="inlineStr">
        <is>
          <t>Unattempted</t>
        </is>
      </c>
    </row>
    <row r="1311">
      <c r="A1311" s="4" t="inlineStr">
        <is>
          <t>Interview Questions</t>
        </is>
      </c>
      <c r="B1311" s="4" t="inlineStr">
        <is>
          <t>Java Developer Interview Preparation</t>
        </is>
      </c>
      <c r="C1311" s="4" t="inlineStr">
        <is>
          <t>Prepare for freshers interviews for Java developer roles. Practice your responses for commonly asked Interview questions.</t>
        </is>
      </c>
      <c r="D1311" s="4" t="inlineStr">
        <is>
          <t>Data Structures and Algorithms - Data Structures and Algorithms</t>
        </is>
      </c>
      <c r="E1311" s="4" t="n">
        <v>27</v>
      </c>
      <c r="F1311" s="4" t="inlineStr">
        <is>
          <t>Height Balanced Binary Tree</t>
        </is>
      </c>
      <c r="G1311" s="4" t="inlineStr">
        <is>
          <t>HBBTREE</t>
        </is>
      </c>
      <c r="H1311" s="4" t="inlineStr"/>
      <c r="I1311" s="4" t="inlineStr">
        <is>
          <t>Medium</t>
        </is>
      </c>
      <c r="J1311" s="5">
        <f>HYPERLINK("https://www.codechef.com/problems/HBBTREE", "https://www.codechef.com/problems/HBBTREE")</f>
        <v/>
      </c>
      <c r="K1311" s="4" t="inlineStr"/>
      <c r="L1311" s="4" t="inlineStr"/>
      <c r="M1311" s="4" t="inlineStr"/>
      <c r="N1311" s="4" t="inlineStr">
        <is>
          <t>No</t>
        </is>
      </c>
      <c r="O1311" s="4" t="inlineStr">
        <is>
          <t>Unattempted</t>
        </is>
      </c>
    </row>
    <row r="1312">
      <c r="A1312" s="2" t="inlineStr">
        <is>
          <t>Interview Questions</t>
        </is>
      </c>
      <c r="B1312" s="2" t="inlineStr">
        <is>
          <t>Java Developer Interview Preparation</t>
        </is>
      </c>
      <c r="C1312" s="2" t="inlineStr">
        <is>
          <t>Prepare for freshers interviews for Java developer roles. Practice your responses for commonly asked Interview questions.</t>
        </is>
      </c>
      <c r="D1312" s="2" t="inlineStr">
        <is>
          <t>Data Structures and Algorithms - Data Structures and Algorithms</t>
        </is>
      </c>
      <c r="E1312" s="2" t="n">
        <v>28</v>
      </c>
      <c r="F1312" s="2" t="inlineStr">
        <is>
          <t>Complete the implementation</t>
        </is>
      </c>
      <c r="G1312" s="2" t="inlineStr">
        <is>
          <t>SESO44</t>
        </is>
      </c>
      <c r="H1312" s="2" t="inlineStr"/>
      <c r="I1312" s="2" t="inlineStr">
        <is>
          <t>Medium</t>
        </is>
      </c>
      <c r="J1312" s="3">
        <f>HYPERLINK("https://www.codechef.com/problems/SESO44", "https://www.codechef.com/problems/SESO44")</f>
        <v/>
      </c>
      <c r="K1312" s="2" t="inlineStr"/>
      <c r="L1312" s="2" t="inlineStr"/>
      <c r="M1312" s="2" t="inlineStr"/>
      <c r="N1312" s="2" t="inlineStr">
        <is>
          <t>No</t>
        </is>
      </c>
      <c r="O1312" s="2" t="inlineStr">
        <is>
          <t>Unattempted</t>
        </is>
      </c>
    </row>
    <row r="1313">
      <c r="A1313" s="4" t="inlineStr">
        <is>
          <t>Interview Questions</t>
        </is>
      </c>
      <c r="B1313" s="4" t="inlineStr">
        <is>
          <t>Java Developer Interview Preparation</t>
        </is>
      </c>
      <c r="C1313" s="4" t="inlineStr">
        <is>
          <t>Prepare for freshers interviews for Java developer roles. Practice your responses for commonly asked Interview questions.</t>
        </is>
      </c>
      <c r="D1313" s="4" t="inlineStr">
        <is>
          <t>Data Structures and Algorithms - Data Structures and Algorithms</t>
        </is>
      </c>
      <c r="E1313" s="4" t="n">
        <v>29</v>
      </c>
      <c r="F1313" s="4" t="inlineStr">
        <is>
          <t>Longest Palindromic Substring</t>
        </is>
      </c>
      <c r="G1313" s="4" t="inlineStr">
        <is>
          <t>VISA06</t>
        </is>
      </c>
      <c r="H1313" s="4" t="inlineStr"/>
      <c r="I1313" s="4" t="inlineStr">
        <is>
          <t>Medium</t>
        </is>
      </c>
      <c r="J1313" s="5">
        <f>HYPERLINK("https://www.codechef.com/problems/VISA06", "https://www.codechef.com/problems/VISA06")</f>
        <v/>
      </c>
      <c r="K1313" s="4" t="inlineStr"/>
      <c r="L1313" s="4" t="inlineStr"/>
      <c r="M1313" s="4" t="inlineStr"/>
      <c r="N1313" s="4" t="inlineStr">
        <is>
          <t>No</t>
        </is>
      </c>
      <c r="O1313" s="4" t="inlineStr">
        <is>
          <t>Unattempted</t>
        </is>
      </c>
    </row>
    <row r="1314">
      <c r="A1314" s="2" t="inlineStr">
        <is>
          <t>Interview Questions</t>
        </is>
      </c>
      <c r="B1314" s="2" t="inlineStr">
        <is>
          <t>Java Developer Interview Preparation</t>
        </is>
      </c>
      <c r="C1314" s="2" t="inlineStr">
        <is>
          <t>Prepare for freshers interviews for Java developer roles. Practice your responses for commonly asked Interview questions.</t>
        </is>
      </c>
      <c r="D1314" s="2" t="inlineStr">
        <is>
          <t>Data Structures and Algorithms - Data Structures and Algorithms</t>
        </is>
      </c>
      <c r="E1314" s="2" t="n">
        <v>30</v>
      </c>
      <c r="F1314" s="2" t="inlineStr">
        <is>
          <t>Top K Frequent Numbers After Each Element</t>
        </is>
      </c>
      <c r="G1314" s="2" t="inlineStr">
        <is>
          <t>ACCOLITE04</t>
        </is>
      </c>
      <c r="H1314" s="2" t="inlineStr"/>
      <c r="I1314" s="2" t="inlineStr">
        <is>
          <t>Hard</t>
        </is>
      </c>
      <c r="J1314" s="3">
        <f>HYPERLINK("https://www.codechef.com/problems/ACCOLITE04", "https://www.codechef.com/problems/ACCOLITE04")</f>
        <v/>
      </c>
      <c r="K1314" s="2" t="inlineStr"/>
      <c r="L1314" s="2" t="inlineStr"/>
      <c r="M1314" s="2" t="inlineStr"/>
      <c r="N1314" s="2" t="inlineStr">
        <is>
          <t>No</t>
        </is>
      </c>
      <c r="O1314" s="2" t="inlineStr">
        <is>
          <t>Unattempted</t>
        </is>
      </c>
    </row>
    <row r="1315">
      <c r="A1315" s="4" t="inlineStr">
        <is>
          <t>Interview Questions</t>
        </is>
      </c>
      <c r="B1315" s="4" t="inlineStr">
        <is>
          <t>Java Developer Interview Preparation</t>
        </is>
      </c>
      <c r="C1315" s="4" t="inlineStr">
        <is>
          <t>Prepare for freshers interviews for Java developer roles. Practice your responses for commonly asked Interview questions.</t>
        </is>
      </c>
      <c r="D1315" s="4" t="inlineStr">
        <is>
          <t>Data Structures and Algorithms - Data Structures and Algorithms</t>
        </is>
      </c>
      <c r="E1315" s="4" t="n">
        <v>31</v>
      </c>
      <c r="F1315" s="4" t="inlineStr">
        <is>
          <t>Count loop length in Linked List</t>
        </is>
      </c>
      <c r="G1315" s="4" t="inlineStr">
        <is>
          <t>DSAAGP96</t>
        </is>
      </c>
      <c r="H1315" s="4" t="inlineStr">
        <is>
          <t>1300</t>
        </is>
      </c>
      <c r="I1315" s="4" t="inlineStr">
        <is>
          <t>Easy</t>
        </is>
      </c>
      <c r="J1315" s="5">
        <f>HYPERLINK("https://www.codechef.com/problems/DSAAGP96", "https://www.codechef.com/problems/DSAAGP96")</f>
        <v/>
      </c>
      <c r="K1315" s="4" t="inlineStr"/>
      <c r="L1315" s="4" t="inlineStr"/>
      <c r="M1315" s="4" t="inlineStr"/>
      <c r="N1315" s="4" t="inlineStr">
        <is>
          <t>No</t>
        </is>
      </c>
      <c r="O1315" s="4" t="inlineStr">
        <is>
          <t>Unattempted</t>
        </is>
      </c>
    </row>
    <row r="1316">
      <c r="A1316" s="2" t="inlineStr">
        <is>
          <t>Interview Questions</t>
        </is>
      </c>
      <c r="B1316" s="2" t="inlineStr">
        <is>
          <t>Java Developer Interview Preparation</t>
        </is>
      </c>
      <c r="C1316" s="2" t="inlineStr">
        <is>
          <t>Prepare for freshers interviews for Java developer roles. Practice your responses for commonly asked Interview questions.</t>
        </is>
      </c>
      <c r="D1316" s="2" t="inlineStr">
        <is>
          <t>Data Structures and Algorithms - Data Structures and Algorithms</t>
        </is>
      </c>
      <c r="E1316" s="2" t="n">
        <v>32</v>
      </c>
      <c r="F1316" s="2" t="inlineStr">
        <is>
          <t>Trapping Rainwater</t>
        </is>
      </c>
      <c r="G1316" s="2" t="inlineStr">
        <is>
          <t>DSAAGP105</t>
        </is>
      </c>
      <c r="H1316" s="2" t="inlineStr"/>
      <c r="I1316" s="2" t="inlineStr">
        <is>
          <t>Hard</t>
        </is>
      </c>
      <c r="J1316" s="3">
        <f>HYPERLINK("https://www.codechef.com/problems/DSAAGP105", "https://www.codechef.com/problems/DSAAGP105")</f>
        <v/>
      </c>
      <c r="K1316" s="2" t="inlineStr"/>
      <c r="L1316" s="2" t="inlineStr"/>
      <c r="M1316" s="2" t="inlineStr"/>
      <c r="N1316" s="2" t="inlineStr">
        <is>
          <t>No</t>
        </is>
      </c>
      <c r="O1316" s="2" t="inlineStr">
        <is>
          <t>Unattempted</t>
        </is>
      </c>
    </row>
    <row r="1317">
      <c r="A1317" s="4" t="inlineStr">
        <is>
          <t>Interview Questions</t>
        </is>
      </c>
      <c r="B1317" s="4" t="inlineStr">
        <is>
          <t>Java Developer Interview Preparation</t>
        </is>
      </c>
      <c r="C1317" s="4" t="inlineStr">
        <is>
          <t>Prepare for freshers interviews for Java developer roles. Practice your responses for commonly asked Interview questions.</t>
        </is>
      </c>
      <c r="D1317" s="4" t="inlineStr">
        <is>
          <t>Data Structures and Algorithms - Data Structures and Algorithms</t>
        </is>
      </c>
      <c r="E1317" s="4" t="n">
        <v>33</v>
      </c>
      <c r="F1317" s="4" t="inlineStr">
        <is>
          <t>Save Konoha</t>
        </is>
      </c>
      <c r="G1317" s="4" t="inlineStr">
        <is>
          <t>SAVEKONO</t>
        </is>
      </c>
      <c r="H1317" s="4" t="inlineStr"/>
      <c r="I1317" s="4" t="inlineStr">
        <is>
          <t>Medium</t>
        </is>
      </c>
      <c r="J1317" s="5">
        <f>HYPERLINK("https://www.codechef.com/problems/SAVEKONO", "https://www.codechef.com/problems/SAVEKONO")</f>
        <v/>
      </c>
      <c r="K1317" s="4" t="inlineStr"/>
      <c r="L1317" s="4" t="inlineStr"/>
      <c r="M1317" s="4" t="inlineStr"/>
      <c r="N1317" s="4" t="inlineStr">
        <is>
          <t>No</t>
        </is>
      </c>
      <c r="O1317" s="4" t="inlineStr">
        <is>
          <t>Unattempted</t>
        </is>
      </c>
    </row>
    <row r="1318">
      <c r="A1318" s="2" t="inlineStr">
        <is>
          <t>Interview Questions</t>
        </is>
      </c>
      <c r="B1318" s="2" t="inlineStr">
        <is>
          <t>Java Developer Interview Preparation</t>
        </is>
      </c>
      <c r="C1318" s="2" t="inlineStr">
        <is>
          <t>Prepare for freshers interviews for Java developer roles. Practice your responses for commonly asked Interview questions.</t>
        </is>
      </c>
      <c r="D1318" s="2" t="inlineStr">
        <is>
          <t>Java Collections Framework - Java Collections Framework</t>
        </is>
      </c>
      <c r="E1318" s="2" t="n">
        <v>34</v>
      </c>
      <c r="F1318" s="2" t="inlineStr">
        <is>
          <t>PlaylistPerformance</t>
        </is>
      </c>
      <c r="G1318" s="2" t="inlineStr">
        <is>
          <t>JVASHRTA22</t>
        </is>
      </c>
      <c r="H1318" s="2" t="inlineStr"/>
      <c r="I1318" s="2" t="inlineStr">
        <is>
          <t>Medium</t>
        </is>
      </c>
      <c r="J1318" s="3">
        <f>HYPERLINK("https://www.codechef.com/problems/JVASHRTA22", "https://www.codechef.com/problems/JVASHRTA22")</f>
        <v/>
      </c>
      <c r="K1318" s="2" t="inlineStr"/>
      <c r="L1318" s="2" t="inlineStr"/>
      <c r="M1318" s="2" t="inlineStr"/>
      <c r="N1318" s="2" t="inlineStr">
        <is>
          <t>No</t>
        </is>
      </c>
      <c r="O1318" s="2" t="inlineStr">
        <is>
          <t>Unattempted</t>
        </is>
      </c>
    </row>
    <row r="1319">
      <c r="A1319" s="4" t="inlineStr">
        <is>
          <t>Interview Questions</t>
        </is>
      </c>
      <c r="B1319" s="4" t="inlineStr">
        <is>
          <t>Java Developer Interview Preparation</t>
        </is>
      </c>
      <c r="C1319" s="4" t="inlineStr">
        <is>
          <t>Prepare for freshers interviews for Java developer roles. Practice your responses for commonly asked Interview questions.</t>
        </is>
      </c>
      <c r="D1319" s="4" t="inlineStr">
        <is>
          <t>Java Collections Framework - Java Collections Framework</t>
        </is>
      </c>
      <c r="E1319" s="4" t="n">
        <v>35</v>
      </c>
      <c r="F1319" s="4" t="inlineStr">
        <is>
          <t>Sort the Super Squad</t>
        </is>
      </c>
      <c r="G1319" s="4" t="inlineStr">
        <is>
          <t>JVPREPJCF01</t>
        </is>
      </c>
      <c r="H1319" s="4" t="inlineStr"/>
      <c r="I1319" s="4" t="inlineStr">
        <is>
          <t>Medium</t>
        </is>
      </c>
      <c r="J1319" s="5">
        <f>HYPERLINK("https://www.codechef.com/problems/JVPREPJCF01", "https://www.codechef.com/problems/JVPREPJCF01")</f>
        <v/>
      </c>
      <c r="K1319" s="4" t="inlineStr"/>
      <c r="L1319" s="4" t="inlineStr"/>
      <c r="M1319" s="4" t="inlineStr"/>
      <c r="N1319" s="4" t="inlineStr">
        <is>
          <t>No</t>
        </is>
      </c>
      <c r="O1319" s="4" t="inlineStr">
        <is>
          <t>Unattempted</t>
        </is>
      </c>
    </row>
    <row r="1320">
      <c r="A1320" s="2" t="inlineStr">
        <is>
          <t>Interview Questions</t>
        </is>
      </c>
      <c r="B1320" s="2" t="inlineStr">
        <is>
          <t>Java Developer Interview Preparation</t>
        </is>
      </c>
      <c r="C1320" s="2" t="inlineStr">
        <is>
          <t>Prepare for freshers interviews for Java developer roles. Practice your responses for commonly asked Interview questions.</t>
        </is>
      </c>
      <c r="D1320" s="2" t="inlineStr">
        <is>
          <t>Java Collections Framework - Java Collections Framework</t>
        </is>
      </c>
      <c r="E1320" s="2" t="n">
        <v>36</v>
      </c>
      <c r="F1320" s="2" t="inlineStr">
        <is>
          <t>Concurrent Sessions</t>
        </is>
      </c>
      <c r="G1320" s="2" t="inlineStr">
        <is>
          <t>JVASHRTA23</t>
        </is>
      </c>
      <c r="H1320" s="2" t="inlineStr"/>
      <c r="I1320" s="2" t="inlineStr">
        <is>
          <t>Medium</t>
        </is>
      </c>
      <c r="J1320" s="3">
        <f>HYPERLINK("https://www.codechef.com/problems/JVASHRTA23", "https://www.codechef.com/problems/JVASHRTA23")</f>
        <v/>
      </c>
      <c r="K1320" s="2" t="inlineStr"/>
      <c r="L1320" s="2" t="inlineStr"/>
      <c r="M1320" s="2" t="inlineStr"/>
      <c r="N1320" s="2" t="inlineStr">
        <is>
          <t>No</t>
        </is>
      </c>
      <c r="O1320" s="2" t="inlineStr">
        <is>
          <t>Unattempted</t>
        </is>
      </c>
    </row>
    <row r="1321">
      <c r="A1321" s="4" t="inlineStr">
        <is>
          <t>Interview Questions</t>
        </is>
      </c>
      <c r="B1321" s="4" t="inlineStr">
        <is>
          <t>Java Developer Interview Preparation</t>
        </is>
      </c>
      <c r="C1321" s="4" t="inlineStr">
        <is>
          <t>Prepare for freshers interviews for Java developer roles. Practice your responses for commonly asked Interview questions.</t>
        </is>
      </c>
      <c r="D1321" s="4" t="inlineStr">
        <is>
          <t>Java Collections Framework - Java Collections Framework</t>
        </is>
      </c>
      <c r="E1321" s="4" t="n">
        <v>37</v>
      </c>
      <c r="F1321" s="4" t="inlineStr">
        <is>
          <t>No Double Trouble</t>
        </is>
      </c>
      <c r="G1321" s="4" t="inlineStr">
        <is>
          <t>JVPREPJCF02</t>
        </is>
      </c>
      <c r="H1321" s="4" t="inlineStr"/>
      <c r="I1321" s="4" t="inlineStr">
        <is>
          <t>Easy</t>
        </is>
      </c>
      <c r="J1321" s="5">
        <f>HYPERLINK("https://www.codechef.com/problems/JVPREPJCF02", "https://www.codechef.com/problems/JVPREPJCF02")</f>
        <v/>
      </c>
      <c r="K1321" s="4" t="inlineStr"/>
      <c r="L1321" s="4" t="inlineStr"/>
      <c r="M1321" s="4" t="inlineStr"/>
      <c r="N1321" s="4" t="inlineStr">
        <is>
          <t>No</t>
        </is>
      </c>
      <c r="O1321" s="4" t="inlineStr">
        <is>
          <t>Unattempted</t>
        </is>
      </c>
    </row>
    <row r="1322">
      <c r="A1322" s="2" t="inlineStr">
        <is>
          <t>Interview Questions</t>
        </is>
      </c>
      <c r="B1322" s="2" t="inlineStr">
        <is>
          <t>Java Developer Interview Preparation</t>
        </is>
      </c>
      <c r="C1322" s="2" t="inlineStr">
        <is>
          <t>Prepare for freshers interviews for Java developer roles. Practice your responses for commonly asked Interview questions.</t>
        </is>
      </c>
      <c r="D1322" s="2" t="inlineStr">
        <is>
          <t>Java Collections Framework - Java Collections Framework</t>
        </is>
      </c>
      <c r="E1322" s="2" t="n">
        <v>38</v>
      </c>
      <c r="F1322" s="2" t="inlineStr">
        <is>
          <t>HashMapIteration</t>
        </is>
      </c>
      <c r="G1322" s="2" t="inlineStr">
        <is>
          <t>JVASHRTA24</t>
        </is>
      </c>
      <c r="H1322" s="2" t="inlineStr"/>
      <c r="I1322" s="2" t="inlineStr">
        <is>
          <t>Medium</t>
        </is>
      </c>
      <c r="J1322" s="3">
        <f>HYPERLINK("https://www.codechef.com/problems/JVASHRTA24", "https://www.codechef.com/problems/JVASHRTA24")</f>
        <v/>
      </c>
      <c r="K1322" s="2" t="inlineStr"/>
      <c r="L1322" s="2" t="inlineStr"/>
      <c r="M1322" s="2" t="inlineStr"/>
      <c r="N1322" s="2" t="inlineStr">
        <is>
          <t>No</t>
        </is>
      </c>
      <c r="O1322" s="2" t="inlineStr">
        <is>
          <t>Unattempted</t>
        </is>
      </c>
    </row>
    <row r="1323">
      <c r="A1323" s="4" t="inlineStr">
        <is>
          <t>Interview Questions</t>
        </is>
      </c>
      <c r="B1323" s="4" t="inlineStr">
        <is>
          <t>Java Developer Interview Preparation</t>
        </is>
      </c>
      <c r="C1323" s="4" t="inlineStr">
        <is>
          <t>Prepare for freshers interviews for Java developer roles. Practice your responses for commonly asked Interview questions.</t>
        </is>
      </c>
      <c r="D1323" s="4" t="inlineStr">
        <is>
          <t>Java Collections Framework - Java Collections Framework</t>
        </is>
      </c>
      <c r="E1323" s="4" t="n">
        <v>39</v>
      </c>
      <c r="F1323" s="4" t="inlineStr">
        <is>
          <t>Word Frequency Counter</t>
        </is>
      </c>
      <c r="G1323" s="4" t="inlineStr">
        <is>
          <t>JVPREPJCF03</t>
        </is>
      </c>
      <c r="H1323" s="4" t="inlineStr"/>
      <c r="I1323" s="4" t="inlineStr">
        <is>
          <t>Medium</t>
        </is>
      </c>
      <c r="J1323" s="5">
        <f>HYPERLINK("https://www.codechef.com/problems/JVPREPJCF03", "https://www.codechef.com/problems/JVPREPJCF03")</f>
        <v/>
      </c>
      <c r="K1323" s="4" t="inlineStr"/>
      <c r="L1323" s="4" t="inlineStr"/>
      <c r="M1323" s="4" t="inlineStr"/>
      <c r="N1323" s="4" t="inlineStr">
        <is>
          <t>No</t>
        </is>
      </c>
      <c r="O1323" s="4" t="inlineStr">
        <is>
          <t>Unattempted</t>
        </is>
      </c>
    </row>
    <row r="1324">
      <c r="A1324" s="2" t="inlineStr">
        <is>
          <t>Interview Questions</t>
        </is>
      </c>
      <c r="B1324" s="2" t="inlineStr">
        <is>
          <t>Java Developer Interview Preparation</t>
        </is>
      </c>
      <c r="C1324" s="2" t="inlineStr">
        <is>
          <t>Prepare for freshers interviews for Java developer roles. Practice your responses for commonly asked Interview questions.</t>
        </is>
      </c>
      <c r="D1324" s="2" t="inlineStr">
        <is>
          <t>Java Collections Framework - Java Collections Framework</t>
        </is>
      </c>
      <c r="E1324" s="2" t="n">
        <v>40</v>
      </c>
      <c r="F1324" s="2" t="inlineStr">
        <is>
          <t>UniqueTags</t>
        </is>
      </c>
      <c r="G1324" s="2" t="inlineStr">
        <is>
          <t>JVASHRTA25</t>
        </is>
      </c>
      <c r="H1324" s="2" t="inlineStr"/>
      <c r="I1324" s="2" t="inlineStr">
        <is>
          <t>Easy</t>
        </is>
      </c>
      <c r="J1324" s="3">
        <f>HYPERLINK("https://www.codechef.com/problems/JVASHRTA25", "https://www.codechef.com/problems/JVASHRTA25")</f>
        <v/>
      </c>
      <c r="K1324" s="2" t="inlineStr"/>
      <c r="L1324" s="2" t="inlineStr"/>
      <c r="M1324" s="2" t="inlineStr"/>
      <c r="N1324" s="2" t="inlineStr">
        <is>
          <t>No</t>
        </is>
      </c>
      <c r="O1324" s="2" t="inlineStr">
        <is>
          <t>Unattempted</t>
        </is>
      </c>
    </row>
    <row r="1325">
      <c r="A1325" s="4" t="inlineStr">
        <is>
          <t>Interview Questions</t>
        </is>
      </c>
      <c r="B1325" s="4" t="inlineStr">
        <is>
          <t>Java Developer Interview Preparation</t>
        </is>
      </c>
      <c r="C1325" s="4" t="inlineStr">
        <is>
          <t>Prepare for freshers interviews for Java developer roles. Practice your responses for commonly asked Interview questions.</t>
        </is>
      </c>
      <c r="D1325" s="4" t="inlineStr">
        <is>
          <t>Java Collections Framework - Java Collections Framework</t>
        </is>
      </c>
      <c r="E1325" s="4" t="n">
        <v>41</v>
      </c>
      <c r="F1325" s="4" t="inlineStr">
        <is>
          <t>Build Your Own ArrayList</t>
        </is>
      </c>
      <c r="G1325" s="4" t="inlineStr">
        <is>
          <t>JVPREPJCF04</t>
        </is>
      </c>
      <c r="H1325" s="4" t="inlineStr"/>
      <c r="I1325" s="4" t="inlineStr">
        <is>
          <t>Medium</t>
        </is>
      </c>
      <c r="J1325" s="5">
        <f>HYPERLINK("https://www.codechef.com/problems/JVPREPJCF04", "https://www.codechef.com/problems/JVPREPJCF04")</f>
        <v/>
      </c>
      <c r="K1325" s="4" t="inlineStr"/>
      <c r="L1325" s="4" t="inlineStr"/>
      <c r="M1325" s="4" t="inlineStr"/>
      <c r="N1325" s="4" t="inlineStr">
        <is>
          <t>No</t>
        </is>
      </c>
      <c r="O1325" s="4" t="inlineStr">
        <is>
          <t>Unattempted</t>
        </is>
      </c>
    </row>
    <row r="1326">
      <c r="A1326" s="2" t="inlineStr">
        <is>
          <t>Interview Questions</t>
        </is>
      </c>
      <c r="B1326" s="2" t="inlineStr">
        <is>
          <t>Java Developer Interview Preparation</t>
        </is>
      </c>
      <c r="C1326" s="2" t="inlineStr">
        <is>
          <t>Prepare for freshers interviews for Java developer roles. Practice your responses for commonly asked Interview questions.</t>
        </is>
      </c>
      <c r="D1326" s="2" t="inlineStr">
        <is>
          <t>Java Collections Framework - Java Collections Framework</t>
        </is>
      </c>
      <c r="E1326" s="2" t="n">
        <v>42</v>
      </c>
      <c r="F1326" s="2" t="inlineStr">
        <is>
          <t>TreeMapSort</t>
        </is>
      </c>
      <c r="G1326" s="2" t="inlineStr">
        <is>
          <t>JVASHRTA26</t>
        </is>
      </c>
      <c r="H1326" s="2" t="inlineStr"/>
      <c r="I1326" s="2" t="inlineStr">
        <is>
          <t>Medium</t>
        </is>
      </c>
      <c r="J1326" s="3">
        <f>HYPERLINK("https://www.codechef.com/problems/JVASHRTA26", "https://www.codechef.com/problems/JVASHRTA26")</f>
        <v/>
      </c>
      <c r="K1326" s="2" t="inlineStr"/>
      <c r="L1326" s="2" t="inlineStr"/>
      <c r="M1326" s="2" t="inlineStr"/>
      <c r="N1326" s="2" t="inlineStr">
        <is>
          <t>No</t>
        </is>
      </c>
      <c r="O1326" s="2" t="inlineStr">
        <is>
          <t>Unattempted</t>
        </is>
      </c>
    </row>
    <row r="1327">
      <c r="A1327" s="4" t="inlineStr">
        <is>
          <t>Interview Questions</t>
        </is>
      </c>
      <c r="B1327" s="4" t="inlineStr">
        <is>
          <t>Java Developer Interview Preparation</t>
        </is>
      </c>
      <c r="C1327" s="4" t="inlineStr">
        <is>
          <t>Prepare for freshers interviews for Java developer roles. Practice your responses for commonly asked Interview questions.</t>
        </is>
      </c>
      <c r="D1327" s="4" t="inlineStr">
        <is>
          <t>Java Collections Framework - Java Collections Framework</t>
        </is>
      </c>
      <c r="E1327" s="4" t="n">
        <v>43</v>
      </c>
      <c r="F1327" s="4" t="inlineStr">
        <is>
          <t>Sort a Map by Values</t>
        </is>
      </c>
      <c r="G1327" s="4" t="inlineStr">
        <is>
          <t>JVPREPJCF05</t>
        </is>
      </c>
      <c r="H1327" s="4" t="inlineStr"/>
      <c r="I1327" s="4" t="inlineStr">
        <is>
          <t>Medium</t>
        </is>
      </c>
      <c r="J1327" s="5">
        <f>HYPERLINK("https://www.codechef.com/problems/JVPREPJCF05", "https://www.codechef.com/problems/JVPREPJCF05")</f>
        <v/>
      </c>
      <c r="K1327" s="4" t="inlineStr"/>
      <c r="L1327" s="4" t="inlineStr"/>
      <c r="M1327" s="4" t="inlineStr"/>
      <c r="N1327" s="4" t="inlineStr">
        <is>
          <t>No</t>
        </is>
      </c>
      <c r="O1327" s="4" t="inlineStr">
        <is>
          <t>Unattempted</t>
        </is>
      </c>
    </row>
    <row r="1328">
      <c r="A1328" s="2" t="inlineStr">
        <is>
          <t>Interview Questions</t>
        </is>
      </c>
      <c r="B1328" s="2" t="inlineStr">
        <is>
          <t>Java Developer Interview Preparation</t>
        </is>
      </c>
      <c r="C1328" s="2" t="inlineStr">
        <is>
          <t>Prepare for freshers interviews for Java developer roles. Practice your responses for commonly asked Interview questions.</t>
        </is>
      </c>
      <c r="D1328" s="2" t="inlineStr">
        <is>
          <t>Exception Handling and File I/O - Exception Handling and File I/O</t>
        </is>
      </c>
      <c r="E1328" s="2" t="n">
        <v>44</v>
      </c>
      <c r="F1328" s="2" t="inlineStr">
        <is>
          <t>FileWriterCloseSafety</t>
        </is>
      </c>
      <c r="G1328" s="2" t="inlineStr">
        <is>
          <t>JVASHRTA28</t>
        </is>
      </c>
      <c r="H1328" s="2" t="inlineStr"/>
      <c r="I1328" s="2" t="inlineStr">
        <is>
          <t>Medium</t>
        </is>
      </c>
      <c r="J1328" s="3">
        <f>HYPERLINK("https://www.codechef.com/problems/JVASHRTA28", "https://www.codechef.com/problems/JVASHRTA28")</f>
        <v/>
      </c>
      <c r="K1328" s="2" t="inlineStr"/>
      <c r="L1328" s="2" t="inlineStr"/>
      <c r="M1328" s="2" t="inlineStr"/>
      <c r="N1328" s="2" t="inlineStr">
        <is>
          <t>No</t>
        </is>
      </c>
      <c r="O1328" s="2" t="inlineStr">
        <is>
          <t>Unattempted</t>
        </is>
      </c>
    </row>
    <row r="1329">
      <c r="A1329" s="4" t="inlineStr">
        <is>
          <t>Interview Questions</t>
        </is>
      </c>
      <c r="B1329" s="4" t="inlineStr">
        <is>
          <t>Java Developer Interview Preparation</t>
        </is>
      </c>
      <c r="C1329" s="4" t="inlineStr">
        <is>
          <t>Prepare for freshers interviews for Java developer roles. Practice your responses for commonly asked Interview questions.</t>
        </is>
      </c>
      <c r="D1329" s="4" t="inlineStr">
        <is>
          <t>Exception Handling and File I/O - Exception Handling and File I/O</t>
        </is>
      </c>
      <c r="E1329" s="4" t="n">
        <v>45</v>
      </c>
      <c r="F1329" s="4" t="inlineStr">
        <is>
          <t>Word Frequency Counter from a File</t>
        </is>
      </c>
      <c r="G1329" s="4" t="inlineStr">
        <is>
          <t>JVPREPEXEP01</t>
        </is>
      </c>
      <c r="H1329" s="4" t="inlineStr"/>
      <c r="I1329" s="4" t="inlineStr">
        <is>
          <t>Medium</t>
        </is>
      </c>
      <c r="J1329" s="5">
        <f>HYPERLINK("https://www.codechef.com/problems/JVPREPEXEP01", "https://www.codechef.com/problems/JVPREPEXEP01")</f>
        <v/>
      </c>
      <c r="K1329" s="4" t="inlineStr"/>
      <c r="L1329" s="4" t="inlineStr"/>
      <c r="M1329" s="4" t="inlineStr"/>
      <c r="N1329" s="4" t="inlineStr">
        <is>
          <t>No</t>
        </is>
      </c>
      <c r="O1329" s="4" t="inlineStr">
        <is>
          <t>Unattempted</t>
        </is>
      </c>
    </row>
    <row r="1330">
      <c r="A1330" s="2" t="inlineStr">
        <is>
          <t>Interview Questions</t>
        </is>
      </c>
      <c r="B1330" s="2" t="inlineStr">
        <is>
          <t>Java Developer Interview Preparation</t>
        </is>
      </c>
      <c r="C1330" s="2" t="inlineStr">
        <is>
          <t>Prepare for freshers interviews for Java developer roles. Practice your responses for commonly asked Interview questions.</t>
        </is>
      </c>
      <c r="D1330" s="2" t="inlineStr">
        <is>
          <t>Exception Handling and File I/O - Exception Handling and File I/O</t>
        </is>
      </c>
      <c r="E1330" s="2" t="n">
        <v>46</v>
      </c>
      <c r="F1330" s="2" t="inlineStr">
        <is>
          <t>Try-with-Resources Explained</t>
        </is>
      </c>
      <c r="G1330" s="2" t="inlineStr">
        <is>
          <t>JVASHRTA29</t>
        </is>
      </c>
      <c r="H1330" s="2" t="inlineStr"/>
      <c r="I1330" s="2" t="inlineStr">
        <is>
          <t>Medium</t>
        </is>
      </c>
      <c r="J1330" s="3">
        <f>HYPERLINK("https://www.codechef.com/problems/JVASHRTA29", "https://www.codechef.com/problems/JVASHRTA29")</f>
        <v/>
      </c>
      <c r="K1330" s="2" t="inlineStr"/>
      <c r="L1330" s="2" t="inlineStr"/>
      <c r="M1330" s="2" t="inlineStr"/>
      <c r="N1330" s="2" t="inlineStr">
        <is>
          <t>No</t>
        </is>
      </c>
      <c r="O1330" s="2" t="inlineStr">
        <is>
          <t>Unattempted</t>
        </is>
      </c>
    </row>
    <row r="1331">
      <c r="A1331" s="4" t="inlineStr">
        <is>
          <t>Interview Questions</t>
        </is>
      </c>
      <c r="B1331" s="4" t="inlineStr">
        <is>
          <t>Java Developer Interview Preparation</t>
        </is>
      </c>
      <c r="C1331" s="4" t="inlineStr">
        <is>
          <t>Prepare for freshers interviews for Java developer roles. Practice your responses for commonly asked Interview questions.</t>
        </is>
      </c>
      <c r="D1331" s="4" t="inlineStr">
        <is>
          <t>Exception Handling and File I/O - Exception Handling and File I/O</t>
        </is>
      </c>
      <c r="E1331" s="4" t="n">
        <v>47</v>
      </c>
      <c r="F1331" s="4" t="inlineStr">
        <is>
          <t>Implement and Use a Custom Exception</t>
        </is>
      </c>
      <c r="G1331" s="4" t="inlineStr">
        <is>
          <t>JVPREPEXEP02</t>
        </is>
      </c>
      <c r="H1331" s="4" t="inlineStr"/>
      <c r="I1331" s="4" t="inlineStr">
        <is>
          <t>Medium</t>
        </is>
      </c>
      <c r="J1331" s="5">
        <f>HYPERLINK("https://www.codechef.com/problems/JVPREPEXEP02", "https://www.codechef.com/problems/JVPREPEXEP02")</f>
        <v/>
      </c>
      <c r="K1331" s="4" t="inlineStr"/>
      <c r="L1331" s="4" t="inlineStr"/>
      <c r="M1331" s="4" t="inlineStr"/>
      <c r="N1331" s="4" t="inlineStr">
        <is>
          <t>No</t>
        </is>
      </c>
      <c r="O1331" s="4" t="inlineStr">
        <is>
          <t>Unattempted</t>
        </is>
      </c>
    </row>
    <row r="1332">
      <c r="A1332" s="2" t="inlineStr">
        <is>
          <t>Interview Questions</t>
        </is>
      </c>
      <c r="B1332" s="2" t="inlineStr">
        <is>
          <t>Java Developer Interview Preparation</t>
        </is>
      </c>
      <c r="C1332" s="2" t="inlineStr">
        <is>
          <t>Prepare for freshers interviews for Java developer roles. Practice your responses for commonly asked Interview questions.</t>
        </is>
      </c>
      <c r="D1332" s="2" t="inlineStr">
        <is>
          <t>Exception Handling and File I/O - Exception Handling and File I/O</t>
        </is>
      </c>
      <c r="E1332" s="2" t="n">
        <v>48</v>
      </c>
      <c r="F1332" s="2" t="inlineStr">
        <is>
          <t>Throw vs Throws</t>
        </is>
      </c>
      <c r="G1332" s="2" t="inlineStr">
        <is>
          <t>JVASHRTA30</t>
        </is>
      </c>
      <c r="H1332" s="2" t="inlineStr"/>
      <c r="I1332" s="2" t="inlineStr">
        <is>
          <t>Easy</t>
        </is>
      </c>
      <c r="J1332" s="3">
        <f>HYPERLINK("https://www.codechef.com/problems/JVASHRTA30", "https://www.codechef.com/problems/JVASHRTA30")</f>
        <v/>
      </c>
      <c r="K1332" s="2" t="inlineStr"/>
      <c r="L1332" s="2" t="inlineStr"/>
      <c r="M1332" s="2" t="inlineStr"/>
      <c r="N1332" s="2" t="inlineStr">
        <is>
          <t>No</t>
        </is>
      </c>
      <c r="O1332" s="2" t="inlineStr">
        <is>
          <t>Unattempted</t>
        </is>
      </c>
    </row>
    <row r="1333">
      <c r="A1333" s="4" t="inlineStr">
        <is>
          <t>Interview Questions</t>
        </is>
      </c>
      <c r="B1333" s="4" t="inlineStr">
        <is>
          <t>Java Developer Interview Preparation</t>
        </is>
      </c>
      <c r="C1333" s="4" t="inlineStr">
        <is>
          <t>Prepare for freshers interviews for Java developer roles. Practice your responses for commonly asked Interview questions.</t>
        </is>
      </c>
      <c r="D1333" s="4" t="inlineStr">
        <is>
          <t>Exception Handling and File I/O - Exception Handling and File I/O</t>
        </is>
      </c>
      <c r="E1333" s="4" t="n">
        <v>49</v>
      </c>
      <c r="F1333" s="4" t="inlineStr">
        <is>
          <t>Build a Simple File Backup Tool</t>
        </is>
      </c>
      <c r="G1333" s="4" t="inlineStr">
        <is>
          <t>JVPREPEXEP03</t>
        </is>
      </c>
      <c r="H1333" s="4" t="inlineStr"/>
      <c r="I1333" s="4" t="inlineStr">
        <is>
          <t>Medium</t>
        </is>
      </c>
      <c r="J1333" s="5">
        <f>HYPERLINK("https://www.codechef.com/problems/JVPREPEXEP03", "https://www.codechef.com/problems/JVPREPEXEP03")</f>
        <v/>
      </c>
      <c r="K1333" s="4" t="inlineStr"/>
      <c r="L1333" s="4" t="inlineStr"/>
      <c r="M1333" s="4" t="inlineStr"/>
      <c r="N1333" s="4" t="inlineStr">
        <is>
          <t>No</t>
        </is>
      </c>
      <c r="O1333" s="4" t="inlineStr">
        <is>
          <t>Unattempted</t>
        </is>
      </c>
    </row>
    <row r="1334">
      <c r="A1334" s="2" t="inlineStr">
        <is>
          <t>Interview Questions</t>
        </is>
      </c>
      <c r="B1334" s="2" t="inlineStr">
        <is>
          <t>Java Developer Interview Preparation</t>
        </is>
      </c>
      <c r="C1334" s="2" t="inlineStr">
        <is>
          <t>Prepare for freshers interviews for Java developer roles. Practice your responses for commonly asked Interview questions.</t>
        </is>
      </c>
      <c r="D1334" s="2" t="inlineStr">
        <is>
          <t>Exception Handling and File I/O - Exception Handling and File I/O</t>
        </is>
      </c>
      <c r="E1334" s="2" t="n">
        <v>50</v>
      </c>
      <c r="F1334" s="2" t="inlineStr">
        <is>
          <t>ExceptionWrappingRationale</t>
        </is>
      </c>
      <c r="G1334" s="2" t="inlineStr">
        <is>
          <t>JVASHRTA31</t>
        </is>
      </c>
      <c r="H1334" s="2" t="inlineStr"/>
      <c r="I1334" s="2" t="inlineStr">
        <is>
          <t>Medium</t>
        </is>
      </c>
      <c r="J1334" s="3">
        <f>HYPERLINK("https://www.codechef.com/problems/JVASHRTA31", "https://www.codechef.com/problems/JVASHRTA31")</f>
        <v/>
      </c>
      <c r="K1334" s="2" t="inlineStr"/>
      <c r="L1334" s="2" t="inlineStr"/>
      <c r="M1334" s="2" t="inlineStr"/>
      <c r="N1334" s="2" t="inlineStr">
        <is>
          <t>No</t>
        </is>
      </c>
      <c r="O1334" s="2" t="inlineStr">
        <is>
          <t>Unattempted</t>
        </is>
      </c>
    </row>
    <row r="1335">
      <c r="A1335" s="4" t="inlineStr">
        <is>
          <t>Interview Questions</t>
        </is>
      </c>
      <c r="B1335" s="4" t="inlineStr">
        <is>
          <t>Java Developer Interview Preparation</t>
        </is>
      </c>
      <c r="C1335" s="4" t="inlineStr">
        <is>
          <t>Prepare for freshers interviews for Java developer roles. Practice your responses for commonly asked Interview questions.</t>
        </is>
      </c>
      <c r="D1335" s="4" t="inlineStr">
        <is>
          <t>Advanced Java Concepts - Advanced Java Concepts</t>
        </is>
      </c>
      <c r="E1335" s="4" t="n">
        <v>51</v>
      </c>
      <c r="F1335" s="4" t="inlineStr">
        <is>
          <t>RaceCondition</t>
        </is>
      </c>
      <c r="G1335" s="4" t="inlineStr">
        <is>
          <t>JVASHRTA32</t>
        </is>
      </c>
      <c r="H1335" s="4" t="inlineStr"/>
      <c r="I1335" s="4" t="inlineStr">
        <is>
          <t>Hard</t>
        </is>
      </c>
      <c r="J1335" s="5">
        <f>HYPERLINK("https://www.codechef.com/problems/JVASHRTA32", "https://www.codechef.com/problems/JVASHRTA32")</f>
        <v/>
      </c>
      <c r="K1335" s="4" t="inlineStr"/>
      <c r="L1335" s="4" t="inlineStr"/>
      <c r="M1335" s="4" t="inlineStr"/>
      <c r="N1335" s="4" t="inlineStr">
        <is>
          <t>No</t>
        </is>
      </c>
      <c r="O1335" s="4" t="inlineStr">
        <is>
          <t>Unattempted</t>
        </is>
      </c>
    </row>
    <row r="1336">
      <c r="A1336" s="2" t="inlineStr">
        <is>
          <t>Interview Questions</t>
        </is>
      </c>
      <c r="B1336" s="2" t="inlineStr">
        <is>
          <t>Java Developer Interview Preparation</t>
        </is>
      </c>
      <c r="C1336" s="2" t="inlineStr">
        <is>
          <t>Prepare for freshers interviews for Java developer roles. Practice your responses for commonly asked Interview questions.</t>
        </is>
      </c>
      <c r="D1336" s="2" t="inlineStr">
        <is>
          <t>Advanced Java Concepts - Advanced Java Concepts</t>
        </is>
      </c>
      <c r="E1336" s="2" t="n">
        <v>52</v>
      </c>
      <c r="F1336" s="2" t="inlineStr">
        <is>
          <t>SquareFunction</t>
        </is>
      </c>
      <c r="G1336" s="2" t="inlineStr">
        <is>
          <t>JVASHRTA33</t>
        </is>
      </c>
      <c r="H1336" s="2" t="inlineStr"/>
      <c r="I1336" s="2" t="inlineStr">
        <is>
          <t>Easy</t>
        </is>
      </c>
      <c r="J1336" s="3">
        <f>HYPERLINK("https://www.codechef.com/problems/JVASHRTA33", "https://www.codechef.com/problems/JVASHRTA33")</f>
        <v/>
      </c>
      <c r="K1336" s="2" t="inlineStr"/>
      <c r="L1336" s="2" t="inlineStr"/>
      <c r="M1336" s="2" t="inlineStr"/>
      <c r="N1336" s="2" t="inlineStr">
        <is>
          <t>No</t>
        </is>
      </c>
      <c r="O1336" s="2" t="inlineStr">
        <is>
          <t>Unattempted</t>
        </is>
      </c>
    </row>
    <row r="1337">
      <c r="A1337" s="4" t="inlineStr">
        <is>
          <t>Interview Questions</t>
        </is>
      </c>
      <c r="B1337" s="4" t="inlineStr">
        <is>
          <t>Java Developer Interview Preparation</t>
        </is>
      </c>
      <c r="C1337" s="4" t="inlineStr">
        <is>
          <t>Prepare for freshers interviews for Java developer roles. Practice your responses for commonly asked Interview questions.</t>
        </is>
      </c>
      <c r="D1337" s="4" t="inlineStr">
        <is>
          <t>Advanced Java Concepts - Advanced Java Concepts</t>
        </is>
      </c>
      <c r="E1337" s="4" t="n">
        <v>53</v>
      </c>
      <c r="F1337" s="4" t="inlineStr">
        <is>
          <t>Method Reference Print</t>
        </is>
      </c>
      <c r="G1337" s="4" t="inlineStr">
        <is>
          <t>JVASHRTA34</t>
        </is>
      </c>
      <c r="H1337" s="4" t="inlineStr"/>
      <c r="I1337" s="4" t="inlineStr">
        <is>
          <t>Easy</t>
        </is>
      </c>
      <c r="J1337" s="5">
        <f>HYPERLINK("https://www.codechef.com/problems/JVASHRTA34", "https://www.codechef.com/problems/JVASHRTA34")</f>
        <v/>
      </c>
      <c r="K1337" s="4" t="inlineStr"/>
      <c r="L1337" s="4" t="inlineStr"/>
      <c r="M1337" s="4" t="inlineStr"/>
      <c r="N1337" s="4" t="inlineStr">
        <is>
          <t>No</t>
        </is>
      </c>
      <c r="O1337" s="4" t="inlineStr">
        <is>
          <t>Unattempted</t>
        </is>
      </c>
    </row>
    <row r="1338">
      <c r="A1338" s="2" t="inlineStr">
        <is>
          <t>Interview Questions</t>
        </is>
      </c>
      <c r="B1338" s="2" t="inlineStr">
        <is>
          <t>Java Developer Interview Preparation</t>
        </is>
      </c>
      <c r="C1338" s="2" t="inlineStr">
        <is>
          <t>Prepare for freshers interviews for Java developer roles. Practice your responses for commonly asked Interview questions.</t>
        </is>
      </c>
      <c r="D1338" s="2" t="inlineStr">
        <is>
          <t>Advanced Java Concepts - Advanced Java Concepts</t>
        </is>
      </c>
      <c r="E1338" s="2" t="n">
        <v>54</v>
      </c>
      <c r="F1338" s="2" t="inlineStr">
        <is>
          <t>GarbageCollectionCall</t>
        </is>
      </c>
      <c r="G1338" s="2" t="inlineStr">
        <is>
          <t>JVASHRTA36</t>
        </is>
      </c>
      <c r="H1338" s="2" t="inlineStr"/>
      <c r="I1338" s="2" t="inlineStr">
        <is>
          <t>Easy</t>
        </is>
      </c>
      <c r="J1338" s="3">
        <f>HYPERLINK("https://www.codechef.com/problems/JVASHRTA36", "https://www.codechef.com/problems/JVASHRTA36")</f>
        <v/>
      </c>
      <c r="K1338" s="2" t="inlineStr"/>
      <c r="L1338" s="2" t="inlineStr"/>
      <c r="M1338" s="2" t="inlineStr"/>
      <c r="N1338" s="2" t="inlineStr">
        <is>
          <t>No</t>
        </is>
      </c>
      <c r="O1338" s="2" t="inlineStr">
        <is>
          <t>Unattempted</t>
        </is>
      </c>
    </row>
    <row r="1339">
      <c r="A1339" s="4" t="inlineStr">
        <is>
          <t>Interview Questions</t>
        </is>
      </c>
      <c r="B1339" s="4" t="inlineStr">
        <is>
          <t>Java Developer Interview Preparation</t>
        </is>
      </c>
      <c r="C1339" s="4" t="inlineStr">
        <is>
          <t>Prepare for freshers interviews for Java developer roles. Practice your responses for commonly asked Interview questions.</t>
        </is>
      </c>
      <c r="D1339" s="4" t="inlineStr">
        <is>
          <t>Advanced Java Concepts - Advanced Java Concepts</t>
        </is>
      </c>
      <c r="E1339" s="4" t="n">
        <v>55</v>
      </c>
      <c r="F1339" s="4" t="inlineStr">
        <is>
          <t>Java Reflection</t>
        </is>
      </c>
      <c r="G1339" s="4" t="inlineStr">
        <is>
          <t>JVASHRTA60</t>
        </is>
      </c>
      <c r="H1339" s="4" t="inlineStr"/>
      <c r="I1339" s="4" t="inlineStr">
        <is>
          <t>Hard</t>
        </is>
      </c>
      <c r="J1339" s="5">
        <f>HYPERLINK("https://www.codechef.com/problems/JVASHRTA60", "https://www.codechef.com/problems/JVASHRTA60")</f>
        <v/>
      </c>
      <c r="K1339" s="4" t="inlineStr"/>
      <c r="L1339" s="4" t="inlineStr"/>
      <c r="M1339" s="4" t="inlineStr"/>
      <c r="N1339" s="4" t="inlineStr">
        <is>
          <t>No</t>
        </is>
      </c>
      <c r="O1339" s="4" t="inlineStr">
        <is>
          <t>Unattempted</t>
        </is>
      </c>
    </row>
    <row r="1340">
      <c r="A1340" s="2" t="inlineStr">
        <is>
          <t>Interview Questions</t>
        </is>
      </c>
      <c r="B1340" s="2" t="inlineStr">
        <is>
          <t>Java Developer Interview Preparation</t>
        </is>
      </c>
      <c r="C1340" s="2" t="inlineStr">
        <is>
          <t>Prepare for freshers interviews for Java developer roles. Practice your responses for commonly asked Interview questions.</t>
        </is>
      </c>
      <c r="D1340" s="2" t="inlineStr">
        <is>
          <t>Advanced Java Concepts - Advanced Java Concepts</t>
        </is>
      </c>
      <c r="E1340" s="2" t="n">
        <v>56</v>
      </c>
      <c r="F1340" s="2" t="inlineStr">
        <is>
          <t>Schedule Tasks</t>
        </is>
      </c>
      <c r="G1340" s="2" t="inlineStr">
        <is>
          <t>JVASHRTA61</t>
        </is>
      </c>
      <c r="H1340" s="2" t="inlineStr"/>
      <c r="I1340" s="2" t="inlineStr">
        <is>
          <t>Hard</t>
        </is>
      </c>
      <c r="J1340" s="3">
        <f>HYPERLINK("https://www.codechef.com/problems/JVASHRTA61", "https://www.codechef.com/problems/JVASHRTA61")</f>
        <v/>
      </c>
      <c r="K1340" s="2" t="inlineStr"/>
      <c r="L1340" s="2" t="inlineStr"/>
      <c r="M1340" s="2" t="inlineStr"/>
      <c r="N1340" s="2" t="inlineStr">
        <is>
          <t>No</t>
        </is>
      </c>
      <c r="O1340" s="2" t="inlineStr">
        <is>
          <t>Unattempted</t>
        </is>
      </c>
    </row>
    <row r="1341">
      <c r="A1341" s="4" t="inlineStr">
        <is>
          <t>Interview Questions</t>
        </is>
      </c>
      <c r="B1341" s="4" t="inlineStr">
        <is>
          <t>Java Developer Interview Preparation</t>
        </is>
      </c>
      <c r="C1341" s="4" t="inlineStr">
        <is>
          <t>Prepare for freshers interviews for Java developer roles. Practice your responses for commonly asked Interview questions.</t>
        </is>
      </c>
      <c r="D1341" s="4" t="inlineStr">
        <is>
          <t>Advanced Java Concepts - Advanced Java Concepts</t>
        </is>
      </c>
      <c r="E1341" s="4" t="n">
        <v>57</v>
      </c>
      <c r="F1341" s="4" t="inlineStr">
        <is>
          <t>Web Crawler</t>
        </is>
      </c>
      <c r="G1341" s="4" t="inlineStr">
        <is>
          <t>JVASHRTA62</t>
        </is>
      </c>
      <c r="H1341" s="4" t="inlineStr"/>
      <c r="I1341" s="4" t="inlineStr">
        <is>
          <t>Medium</t>
        </is>
      </c>
      <c r="J1341" s="5">
        <f>HYPERLINK("https://www.codechef.com/problems/JVASHRTA62", "https://www.codechef.com/problems/JVASHRTA62")</f>
        <v/>
      </c>
      <c r="K1341" s="4" t="inlineStr"/>
      <c r="L1341" s="4" t="inlineStr"/>
      <c r="M1341" s="4" t="inlineStr"/>
      <c r="N1341" s="4" t="inlineStr">
        <is>
          <t>No</t>
        </is>
      </c>
      <c r="O1341" s="4" t="inlineStr">
        <is>
          <t>Unattempted</t>
        </is>
      </c>
    </row>
    <row r="1342">
      <c r="A1342" s="2" t="inlineStr">
        <is>
          <t>Interview Questions</t>
        </is>
      </c>
      <c r="B1342" s="2" t="inlineStr">
        <is>
          <t>Java Developer Interview Preparation</t>
        </is>
      </c>
      <c r="C1342" s="2" t="inlineStr">
        <is>
          <t>Prepare for freshers interviews for Java developer roles. Practice your responses for commonly asked Interview questions.</t>
        </is>
      </c>
      <c r="D1342" s="2" t="inlineStr">
        <is>
          <t>Design Patterns and Architecture - Design Patterns and Architecture</t>
        </is>
      </c>
      <c r="E1342" s="2" t="n">
        <v>58</v>
      </c>
      <c r="F1342" s="2" t="inlineStr">
        <is>
          <t>Single Responsibility Violation</t>
        </is>
      </c>
      <c r="G1342" s="2" t="inlineStr">
        <is>
          <t>JVASHRTA37</t>
        </is>
      </c>
      <c r="H1342" s="2" t="inlineStr"/>
      <c r="I1342" s="2" t="inlineStr">
        <is>
          <t>Medium</t>
        </is>
      </c>
      <c r="J1342" s="3">
        <f>HYPERLINK("https://www.codechef.com/problems/JVASHRTA37", "https://www.codechef.com/problems/JVASHRTA37")</f>
        <v/>
      </c>
      <c r="K1342" s="2" t="inlineStr"/>
      <c r="L1342" s="2" t="inlineStr"/>
      <c r="M1342" s="2" t="inlineStr"/>
      <c r="N1342" s="2" t="inlineStr">
        <is>
          <t>No</t>
        </is>
      </c>
      <c r="O1342" s="2" t="inlineStr">
        <is>
          <t>Unattempted</t>
        </is>
      </c>
    </row>
    <row r="1343">
      <c r="A1343" s="4" t="inlineStr">
        <is>
          <t>Interview Questions</t>
        </is>
      </c>
      <c r="B1343" s="4" t="inlineStr">
        <is>
          <t>Java Developer Interview Preparation</t>
        </is>
      </c>
      <c r="C1343" s="4" t="inlineStr">
        <is>
          <t>Prepare for freshers interviews for Java developer roles. Practice your responses for commonly asked Interview questions.</t>
        </is>
      </c>
      <c r="D1343" s="4" t="inlineStr">
        <is>
          <t>Design Patterns and Architecture - Design Patterns and Architecture</t>
        </is>
      </c>
      <c r="E1343" s="4" t="n">
        <v>59</v>
      </c>
      <c r="F1343" s="4" t="inlineStr">
        <is>
          <t>Factory Pattern for Notification Service</t>
        </is>
      </c>
      <c r="G1343" s="4" t="inlineStr">
        <is>
          <t>JVASHRTA38</t>
        </is>
      </c>
      <c r="H1343" s="4" t="inlineStr"/>
      <c r="I1343" s="4" t="inlineStr">
        <is>
          <t>Medium</t>
        </is>
      </c>
      <c r="J1343" s="5">
        <f>HYPERLINK("https://www.codechef.com/problems/JVASHRTA38", "https://www.codechef.com/problems/JVASHRTA38")</f>
        <v/>
      </c>
      <c r="K1343" s="4" t="inlineStr"/>
      <c r="L1343" s="4" t="inlineStr"/>
      <c r="M1343" s="4" t="inlineStr"/>
      <c r="N1343" s="4" t="inlineStr">
        <is>
          <t>No</t>
        </is>
      </c>
      <c r="O1343" s="4" t="inlineStr">
        <is>
          <t>Unattempted</t>
        </is>
      </c>
    </row>
    <row r="1344">
      <c r="A1344" s="2" t="inlineStr">
        <is>
          <t>Interview Questions</t>
        </is>
      </c>
      <c r="B1344" s="2" t="inlineStr">
        <is>
          <t>Java Developer Interview Preparation</t>
        </is>
      </c>
      <c r="C1344" s="2" t="inlineStr">
        <is>
          <t>Prepare for freshers interviews for Java developer roles. Practice your responses for commonly asked Interview questions.</t>
        </is>
      </c>
      <c r="D1344" s="2" t="inlineStr">
        <is>
          <t>Design Patterns and Architecture - Design Patterns and Architecture</t>
        </is>
      </c>
      <c r="E1344" s="2" t="n">
        <v>60</v>
      </c>
      <c r="F1344" s="2" t="inlineStr">
        <is>
          <t>Tight Coupling</t>
        </is>
      </c>
      <c r="G1344" s="2" t="inlineStr">
        <is>
          <t>JVASHRTA39</t>
        </is>
      </c>
      <c r="H1344" s="2" t="inlineStr"/>
      <c r="I1344" s="2" t="inlineStr">
        <is>
          <t>Medium</t>
        </is>
      </c>
      <c r="J1344" s="3">
        <f>HYPERLINK("https://www.codechef.com/problems/JVASHRTA39", "https://www.codechef.com/problems/JVASHRTA39")</f>
        <v/>
      </c>
      <c r="K1344" s="2" t="inlineStr"/>
      <c r="L1344" s="2" t="inlineStr"/>
      <c r="M1344" s="2" t="inlineStr"/>
      <c r="N1344" s="2" t="inlineStr">
        <is>
          <t>No</t>
        </is>
      </c>
      <c r="O1344" s="2" t="inlineStr">
        <is>
          <t>Unattempted</t>
        </is>
      </c>
    </row>
    <row r="1345">
      <c r="A1345" s="4" t="inlineStr">
        <is>
          <t>Interview Questions</t>
        </is>
      </c>
      <c r="B1345" s="4" t="inlineStr">
        <is>
          <t>Java Developer Interview Preparation</t>
        </is>
      </c>
      <c r="C1345" s="4" t="inlineStr">
        <is>
          <t>Prepare for freshers interviews for Java developer roles. Practice your responses for commonly asked Interview questions.</t>
        </is>
      </c>
      <c r="D1345" s="4" t="inlineStr">
        <is>
          <t>Design Patterns and Architecture - Design Patterns and Architecture</t>
        </is>
      </c>
      <c r="E1345" s="4" t="n">
        <v>61</v>
      </c>
      <c r="F1345" s="4" t="inlineStr">
        <is>
          <t>Monolith to Microservices</t>
        </is>
      </c>
      <c r="G1345" s="4" t="inlineStr">
        <is>
          <t>JVASHRTA40</t>
        </is>
      </c>
      <c r="H1345" s="4" t="inlineStr"/>
      <c r="I1345" s="4" t="inlineStr">
        <is>
          <t>Medium</t>
        </is>
      </c>
      <c r="J1345" s="5">
        <f>HYPERLINK("https://www.codechef.com/problems/JVASHRTA40", "https://www.codechef.com/problems/JVASHRTA40")</f>
        <v/>
      </c>
      <c r="K1345" s="4" t="inlineStr"/>
      <c r="L1345" s="4" t="inlineStr"/>
      <c r="M1345" s="4" t="inlineStr"/>
      <c r="N1345" s="4" t="inlineStr">
        <is>
          <t>No</t>
        </is>
      </c>
      <c r="O1345" s="4" t="inlineStr">
        <is>
          <t>Unattempted</t>
        </is>
      </c>
    </row>
    <row r="1346">
      <c r="A1346" s="2" t="inlineStr">
        <is>
          <t>Interview Questions</t>
        </is>
      </c>
      <c r="B1346" s="2" t="inlineStr">
        <is>
          <t>Java Developer Interview Preparation</t>
        </is>
      </c>
      <c r="C1346" s="2" t="inlineStr">
        <is>
          <t>Prepare for freshers interviews for Java developer roles. Practice your responses for commonly asked Interview questions.</t>
        </is>
      </c>
      <c r="D1346" s="2" t="inlineStr">
        <is>
          <t>Design Patterns and Architecture - Design Patterns and Architecture</t>
        </is>
      </c>
      <c r="E1346" s="2" t="n">
        <v>62</v>
      </c>
      <c r="F1346" s="2" t="inlineStr">
        <is>
          <t>Shopping App</t>
        </is>
      </c>
      <c r="G1346" s="2" t="inlineStr">
        <is>
          <t>JVASHRTA63</t>
        </is>
      </c>
      <c r="H1346" s="2" t="inlineStr"/>
      <c r="I1346" s="2" t="inlineStr">
        <is>
          <t>Hard</t>
        </is>
      </c>
      <c r="J1346" s="3">
        <f>HYPERLINK("https://www.codechef.com/problems/JVASHRTA63", "https://www.codechef.com/problems/JVASHRTA63")</f>
        <v/>
      </c>
      <c r="K1346" s="2" t="inlineStr"/>
      <c r="L1346" s="2" t="inlineStr"/>
      <c r="M1346" s="2" t="inlineStr"/>
      <c r="N1346" s="2" t="inlineStr">
        <is>
          <t>No</t>
        </is>
      </c>
      <c r="O1346" s="2" t="inlineStr">
        <is>
          <t>Unattempted</t>
        </is>
      </c>
    </row>
    <row r="1347">
      <c r="A1347" s="4" t="inlineStr">
        <is>
          <t>Interview Questions</t>
        </is>
      </c>
      <c r="B1347" s="4" t="inlineStr">
        <is>
          <t>Java Developer Interview Preparation</t>
        </is>
      </c>
      <c r="C1347" s="4" t="inlineStr">
        <is>
          <t>Prepare for freshers interviews for Java developer roles. Practice your responses for commonly asked Interview questions.</t>
        </is>
      </c>
      <c r="D1347" s="4" t="inlineStr">
        <is>
          <t>Design Patterns and Architecture - Design Patterns and Architecture</t>
        </is>
      </c>
      <c r="E1347" s="4" t="n">
        <v>63</v>
      </c>
      <c r="F1347" s="4" t="inlineStr">
        <is>
          <t>Reporting Tool</t>
        </is>
      </c>
      <c r="G1347" s="4" t="inlineStr">
        <is>
          <t>JVASHRTA64</t>
        </is>
      </c>
      <c r="H1347" s="4" t="inlineStr"/>
      <c r="I1347" s="4" t="inlineStr">
        <is>
          <t>Medium</t>
        </is>
      </c>
      <c r="J1347" s="5">
        <f>HYPERLINK("https://www.codechef.com/problems/JVASHRTA64", "https://www.codechef.com/problems/JVASHRTA64")</f>
        <v/>
      </c>
      <c r="K1347" s="4" t="inlineStr"/>
      <c r="L1347" s="4" t="inlineStr"/>
      <c r="M1347" s="4" t="inlineStr"/>
      <c r="N1347" s="4" t="inlineStr">
        <is>
          <t>No</t>
        </is>
      </c>
      <c r="O1347" s="4" t="inlineStr">
        <is>
          <t>Unattempted</t>
        </is>
      </c>
    </row>
    <row r="1348">
      <c r="A1348" s="2" t="inlineStr">
        <is>
          <t>Interview Questions</t>
        </is>
      </c>
      <c r="B1348" s="2" t="inlineStr">
        <is>
          <t>Java Developer Interview Preparation</t>
        </is>
      </c>
      <c r="C1348" s="2" t="inlineStr">
        <is>
          <t>Prepare for freshers interviews for Java developer roles. Practice your responses for commonly asked Interview questions.</t>
        </is>
      </c>
      <c r="D1348" s="2" t="inlineStr">
        <is>
          <t>Design Patterns and Architecture - Design Patterns and Architecture</t>
        </is>
      </c>
      <c r="E1348" s="2" t="n">
        <v>64</v>
      </c>
      <c r="F1348" s="2" t="inlineStr">
        <is>
          <t>Game Engine</t>
        </is>
      </c>
      <c r="G1348" s="2" t="inlineStr">
        <is>
          <t>JVASHRTA65</t>
        </is>
      </c>
      <c r="H1348" s="2" t="inlineStr"/>
      <c r="I1348" s="2" t="inlineStr">
        <is>
          <t>Medium</t>
        </is>
      </c>
      <c r="J1348" s="3">
        <f>HYPERLINK("https://www.codechef.com/problems/JVASHRTA65", "https://www.codechef.com/problems/JVASHRTA65")</f>
        <v/>
      </c>
      <c r="K1348" s="2" t="inlineStr"/>
      <c r="L1348" s="2" t="inlineStr"/>
      <c r="M1348" s="2" t="inlineStr"/>
      <c r="N1348" s="2" t="inlineStr">
        <is>
          <t>No</t>
        </is>
      </c>
      <c r="O1348" s="2" t="inlineStr">
        <is>
          <t>Unattempted</t>
        </is>
      </c>
    </row>
    <row r="1349">
      <c r="A1349" s="4" t="inlineStr">
        <is>
          <t>Interview Questions</t>
        </is>
      </c>
      <c r="B1349" s="4" t="inlineStr">
        <is>
          <t>Java Developer Interview Preparation</t>
        </is>
      </c>
      <c r="C1349" s="4" t="inlineStr">
        <is>
          <t>Prepare for freshers interviews for Java developer roles. Practice your responses for commonly asked Interview questions.</t>
        </is>
      </c>
      <c r="D1349" s="4" t="inlineStr">
        <is>
          <t>Spring Framework and Web Development - Spring Framework and Web Development</t>
        </is>
      </c>
      <c r="E1349" s="4" t="n">
        <v>65</v>
      </c>
      <c r="F1349" s="4" t="inlineStr">
        <is>
          <t>Spring Framework</t>
        </is>
      </c>
      <c r="G1349" s="4" t="inlineStr">
        <is>
          <t>JVASHRTA41</t>
        </is>
      </c>
      <c r="H1349" s="4" t="inlineStr"/>
      <c r="I1349" s="4" t="inlineStr">
        <is>
          <t>Medium</t>
        </is>
      </c>
      <c r="J1349" s="5">
        <f>HYPERLINK("https://www.codechef.com/problems/JVASHRTA41", "https://www.codechef.com/problems/JVASHRTA41")</f>
        <v/>
      </c>
      <c r="K1349" s="4" t="inlineStr"/>
      <c r="L1349" s="4" t="inlineStr"/>
      <c r="M1349" s="4" t="inlineStr"/>
      <c r="N1349" s="4" t="inlineStr">
        <is>
          <t>No</t>
        </is>
      </c>
      <c r="O1349" s="4" t="inlineStr">
        <is>
          <t>Unattempted</t>
        </is>
      </c>
    </row>
    <row r="1350">
      <c r="A1350" s="2" t="inlineStr">
        <is>
          <t>Interview Questions</t>
        </is>
      </c>
      <c r="B1350" s="2" t="inlineStr">
        <is>
          <t>Java Developer Interview Preparation</t>
        </is>
      </c>
      <c r="C1350" s="2" t="inlineStr">
        <is>
          <t>Prepare for freshers interviews for Java developer roles. Practice your responses for commonly asked Interview questions.</t>
        </is>
      </c>
      <c r="D1350" s="2" t="inlineStr">
        <is>
          <t>Spring Framework and Web Development - Spring Framework and Web Development</t>
        </is>
      </c>
      <c r="E1350" s="2" t="n">
        <v>66</v>
      </c>
      <c r="F1350" s="2" t="inlineStr">
        <is>
          <t>DI Decoupling</t>
        </is>
      </c>
      <c r="G1350" s="2" t="inlineStr">
        <is>
          <t>JVASHRTA43</t>
        </is>
      </c>
      <c r="H1350" s="2" t="inlineStr"/>
      <c r="I1350" s="2" t="inlineStr">
        <is>
          <t>Medium</t>
        </is>
      </c>
      <c r="J1350" s="3">
        <f>HYPERLINK("https://www.codechef.com/problems/JVASHRTA43", "https://www.codechef.com/problems/JVASHRTA43")</f>
        <v/>
      </c>
      <c r="K1350" s="2" t="inlineStr"/>
      <c r="L1350" s="2" t="inlineStr"/>
      <c r="M1350" s="2" t="inlineStr"/>
      <c r="N1350" s="2" t="inlineStr">
        <is>
          <t>No</t>
        </is>
      </c>
      <c r="O1350" s="2" t="inlineStr">
        <is>
          <t>Unattempted</t>
        </is>
      </c>
    </row>
    <row r="1351">
      <c r="A1351" s="4" t="inlineStr">
        <is>
          <t>Interview Questions</t>
        </is>
      </c>
      <c r="B1351" s="4" t="inlineStr">
        <is>
          <t>Java Developer Interview Preparation</t>
        </is>
      </c>
      <c r="C1351" s="4" t="inlineStr">
        <is>
          <t>Prepare for freshers interviews for Java developer roles. Practice your responses for commonly asked Interview questions.</t>
        </is>
      </c>
      <c r="D1351" s="4" t="inlineStr">
        <is>
          <t>Spring Framework and Web Development - Spring Framework and Web Development</t>
        </is>
      </c>
      <c r="E1351" s="4" t="n">
        <v>67</v>
      </c>
      <c r="F1351" s="4" t="inlineStr">
        <is>
          <t>AOP Authentication</t>
        </is>
      </c>
      <c r="G1351" s="4" t="inlineStr">
        <is>
          <t>JVASHRTA44</t>
        </is>
      </c>
      <c r="H1351" s="4" t="inlineStr"/>
      <c r="I1351" s="4" t="inlineStr">
        <is>
          <t>Medium</t>
        </is>
      </c>
      <c r="J1351" s="5">
        <f>HYPERLINK("https://www.codechef.com/problems/JVASHRTA44", "https://www.codechef.com/problems/JVASHRTA44")</f>
        <v/>
      </c>
      <c r="K1351" s="4" t="inlineStr"/>
      <c r="L1351" s="4" t="inlineStr"/>
      <c r="M1351" s="4" t="inlineStr"/>
      <c r="N1351" s="4" t="inlineStr">
        <is>
          <t>No</t>
        </is>
      </c>
      <c r="O1351" s="4" t="inlineStr">
        <is>
          <t>Unattempted</t>
        </is>
      </c>
    </row>
    <row r="1352">
      <c r="A1352" s="2" t="inlineStr">
        <is>
          <t>Interview Questions</t>
        </is>
      </c>
      <c r="B1352" s="2" t="inlineStr">
        <is>
          <t>Java Developer Interview Preparation</t>
        </is>
      </c>
      <c r="C1352" s="2" t="inlineStr">
        <is>
          <t>Prepare for freshers interviews for Java developer roles. Practice your responses for commonly asked Interview questions.</t>
        </is>
      </c>
      <c r="D1352" s="2" t="inlineStr">
        <is>
          <t>Spring Framework and Web Development - Spring Framework and Web Development</t>
        </is>
      </c>
      <c r="E1352" s="2" t="n">
        <v>68</v>
      </c>
      <c r="F1352" s="2" t="inlineStr">
        <is>
          <t>Spring Bean Scopes and Lifecycles</t>
        </is>
      </c>
      <c r="G1352" s="2" t="inlineStr">
        <is>
          <t>JVASHRTA45</t>
        </is>
      </c>
      <c r="H1352" s="2" t="inlineStr"/>
      <c r="I1352" s="2" t="inlineStr">
        <is>
          <t>Medium</t>
        </is>
      </c>
      <c r="J1352" s="3">
        <f>HYPERLINK("https://www.codechef.com/problems/JVASHRTA45", "https://www.codechef.com/problems/JVASHRTA45")</f>
        <v/>
      </c>
      <c r="K1352" s="2" t="inlineStr"/>
      <c r="L1352" s="2" t="inlineStr"/>
      <c r="M1352" s="2" t="inlineStr"/>
      <c r="N1352" s="2" t="inlineStr">
        <is>
          <t>No</t>
        </is>
      </c>
      <c r="O1352" s="2" t="inlineStr">
        <is>
          <t>Unattempted</t>
        </is>
      </c>
    </row>
    <row r="1353">
      <c r="A1353" s="4" t="inlineStr">
        <is>
          <t>Interview Questions</t>
        </is>
      </c>
      <c r="B1353" s="4" t="inlineStr">
        <is>
          <t>Java Developer Interview Preparation</t>
        </is>
      </c>
      <c r="C1353" s="4" t="inlineStr">
        <is>
          <t>Prepare for freshers interviews for Java developer roles. Practice your responses for commonly asked Interview questions.</t>
        </is>
      </c>
      <c r="D1353" s="4" t="inlineStr">
        <is>
          <t>Spring Framework and Web Development - Spring Framework and Web Development</t>
        </is>
      </c>
      <c r="E1353" s="4" t="n">
        <v>69</v>
      </c>
      <c r="F1353" s="4" t="inlineStr">
        <is>
          <t>Spring Stereotype Annotations</t>
        </is>
      </c>
      <c r="G1353" s="4" t="inlineStr">
        <is>
          <t>JVASHRTA46</t>
        </is>
      </c>
      <c r="H1353" s="4" t="inlineStr"/>
      <c r="I1353" s="4" t="inlineStr">
        <is>
          <t>Medium</t>
        </is>
      </c>
      <c r="J1353" s="5">
        <f>HYPERLINK("https://www.codechef.com/problems/JVASHRTA46", "https://www.codechef.com/problems/JVASHRTA46")</f>
        <v/>
      </c>
      <c r="K1353" s="4" t="inlineStr"/>
      <c r="L1353" s="4" t="inlineStr"/>
      <c r="M1353" s="4" t="inlineStr"/>
      <c r="N1353" s="4" t="inlineStr">
        <is>
          <t>No</t>
        </is>
      </c>
      <c r="O1353" s="4" t="inlineStr">
        <is>
          <t>Unattempted</t>
        </is>
      </c>
    </row>
    <row r="1354">
      <c r="A1354" s="2" t="inlineStr">
        <is>
          <t>Interview Questions</t>
        </is>
      </c>
      <c r="B1354" s="2" t="inlineStr">
        <is>
          <t>Java Developer Interview Preparation</t>
        </is>
      </c>
      <c r="C1354" s="2" t="inlineStr">
        <is>
          <t>Prepare for freshers interviews for Java developer roles. Practice your responses for commonly asked Interview questions.</t>
        </is>
      </c>
      <c r="D1354" s="2" t="inlineStr">
        <is>
          <t>Database and ORM - Database and ORM</t>
        </is>
      </c>
      <c r="E1354" s="2" t="n">
        <v>70</v>
      </c>
      <c r="F1354" s="2" t="inlineStr">
        <is>
          <t>SQL vs. NoSQL Database Choice</t>
        </is>
      </c>
      <c r="G1354" s="2" t="inlineStr">
        <is>
          <t>JVASHRTA47</t>
        </is>
      </c>
      <c r="H1354" s="2" t="inlineStr"/>
      <c r="I1354" s="2" t="inlineStr">
        <is>
          <t>Medium</t>
        </is>
      </c>
      <c r="J1354" s="3">
        <f>HYPERLINK("https://www.codechef.com/problems/JVASHRTA47", "https://www.codechef.com/problems/JVASHRTA47")</f>
        <v/>
      </c>
      <c r="K1354" s="2" t="inlineStr"/>
      <c r="L1354" s="2" t="inlineStr"/>
      <c r="M1354" s="2" t="inlineStr"/>
      <c r="N1354" s="2" t="inlineStr">
        <is>
          <t>No</t>
        </is>
      </c>
      <c r="O1354" s="2" t="inlineStr">
        <is>
          <t>Unattempted</t>
        </is>
      </c>
    </row>
    <row r="1355">
      <c r="A1355" s="4" t="inlineStr">
        <is>
          <t>Interview Questions</t>
        </is>
      </c>
      <c r="B1355" s="4" t="inlineStr">
        <is>
          <t>Java Developer Interview Preparation</t>
        </is>
      </c>
      <c r="C1355" s="4" t="inlineStr">
        <is>
          <t>Prepare for freshers interviews for Java developer roles. Practice your responses for commonly asked Interview questions.</t>
        </is>
      </c>
      <c r="D1355" s="4" t="inlineStr">
        <is>
          <t>Database and ORM - Database and ORM</t>
        </is>
      </c>
      <c r="E1355" s="4" t="n">
        <v>71</v>
      </c>
      <c r="F1355" s="4" t="inlineStr">
        <is>
          <t>The N+1 Query Problem</t>
        </is>
      </c>
      <c r="G1355" s="4" t="inlineStr">
        <is>
          <t>JVASHRTA48</t>
        </is>
      </c>
      <c r="H1355" s="4" t="inlineStr"/>
      <c r="I1355" s="4" t="inlineStr">
        <is>
          <t>Medium</t>
        </is>
      </c>
      <c r="J1355" s="5">
        <f>HYPERLINK("https://www.codechef.com/problems/JVASHRTA48", "https://www.codechef.com/problems/JVASHRTA48")</f>
        <v/>
      </c>
      <c r="K1355" s="4" t="inlineStr"/>
      <c r="L1355" s="4" t="inlineStr"/>
      <c r="M1355" s="4" t="inlineStr"/>
      <c r="N1355" s="4" t="inlineStr">
        <is>
          <t>No</t>
        </is>
      </c>
      <c r="O1355" s="4" t="inlineStr">
        <is>
          <t>Unattempted</t>
        </is>
      </c>
    </row>
    <row r="1356">
      <c r="A1356" s="2" t="inlineStr">
        <is>
          <t>Interview Questions</t>
        </is>
      </c>
      <c r="B1356" s="2" t="inlineStr">
        <is>
          <t>Java Developer Interview Preparation</t>
        </is>
      </c>
      <c r="C1356" s="2" t="inlineStr">
        <is>
          <t>Prepare for freshers interviews for Java developer roles. Practice your responses for commonly asked Interview questions.</t>
        </is>
      </c>
      <c r="D1356" s="2" t="inlineStr">
        <is>
          <t>Database and ORM - Database and ORM</t>
        </is>
      </c>
      <c r="E1356" s="2" t="n">
        <v>72</v>
      </c>
      <c r="F1356" s="2" t="inlineStr">
        <is>
          <t>Data Redundancy in Students Table</t>
        </is>
      </c>
      <c r="G1356" s="2" t="inlineStr">
        <is>
          <t>JVASHRTA49</t>
        </is>
      </c>
      <c r="H1356" s="2" t="inlineStr"/>
      <c r="I1356" s="2" t="inlineStr">
        <is>
          <t>Medium</t>
        </is>
      </c>
      <c r="J1356" s="3">
        <f>HYPERLINK("https://www.codechef.com/problems/JVASHRTA49", "https://www.codechef.com/problems/JVASHRTA49")</f>
        <v/>
      </c>
      <c r="K1356" s="2" t="inlineStr"/>
      <c r="L1356" s="2" t="inlineStr"/>
      <c r="M1356" s="2" t="inlineStr"/>
      <c r="N1356" s="2" t="inlineStr">
        <is>
          <t>No</t>
        </is>
      </c>
      <c r="O1356" s="2" t="inlineStr">
        <is>
          <t>Unattempted</t>
        </is>
      </c>
    </row>
    <row r="1357">
      <c r="A1357" s="4" t="inlineStr">
        <is>
          <t>Interview Questions</t>
        </is>
      </c>
      <c r="B1357" s="4" t="inlineStr">
        <is>
          <t>Java Developer Interview Preparation</t>
        </is>
      </c>
      <c r="C1357" s="4" t="inlineStr">
        <is>
          <t>Prepare for freshers interviews for Java developer roles. Practice your responses for commonly asked Interview questions.</t>
        </is>
      </c>
      <c r="D1357" s="4" t="inlineStr">
        <is>
          <t>Database and ORM - Database and ORM</t>
        </is>
      </c>
      <c r="E1357" s="4" t="n">
        <v>73</v>
      </c>
      <c r="F1357" s="4" t="inlineStr">
        <is>
          <t>Indexing for Product Name Search</t>
        </is>
      </c>
      <c r="G1357" s="4" t="inlineStr">
        <is>
          <t>JVASHRTA51</t>
        </is>
      </c>
      <c r="H1357" s="4" t="inlineStr"/>
      <c r="I1357" s="4" t="inlineStr">
        <is>
          <t>Medium</t>
        </is>
      </c>
      <c r="J1357" s="5">
        <f>HYPERLINK("https://www.codechef.com/problems/JVASHRTA51", "https://www.codechef.com/problems/JVASHRTA51")</f>
        <v/>
      </c>
      <c r="K1357" s="4" t="inlineStr"/>
      <c r="L1357" s="4" t="inlineStr"/>
      <c r="M1357" s="4" t="inlineStr"/>
      <c r="N1357" s="4" t="inlineStr">
        <is>
          <t>No</t>
        </is>
      </c>
      <c r="O1357" s="4" t="inlineStr">
        <is>
          <t>Unattempted</t>
        </is>
      </c>
    </row>
    <row r="1358">
      <c r="A1358" s="2" t="inlineStr">
        <is>
          <t>Interview Questions</t>
        </is>
      </c>
      <c r="B1358" s="2" t="inlineStr">
        <is>
          <t>Java Developer Interview Preparation</t>
        </is>
      </c>
      <c r="C1358" s="2" t="inlineStr">
        <is>
          <t>Prepare for freshers interviews for Java developer roles. Practice your responses for commonly asked Interview questions.</t>
        </is>
      </c>
      <c r="D1358" s="2" t="inlineStr">
        <is>
          <t>Database and ORM - Database and ORM</t>
        </is>
      </c>
      <c r="E1358" s="2" t="n">
        <v>74</v>
      </c>
      <c r="F1358" s="2" t="inlineStr">
        <is>
          <t>Banking ACID Test</t>
        </is>
      </c>
      <c r="G1358" s="2" t="inlineStr">
        <is>
          <t>JVASHRTA52</t>
        </is>
      </c>
      <c r="H1358" s="2" t="inlineStr"/>
      <c r="I1358" s="2" t="inlineStr">
        <is>
          <t>Medium</t>
        </is>
      </c>
      <c r="J1358" s="3">
        <f>HYPERLINK("https://www.codechef.com/problems/JVASHRTA52", "https://www.codechef.com/problems/JVASHRTA52")</f>
        <v/>
      </c>
      <c r="K1358" s="2" t="inlineStr"/>
      <c r="L1358" s="2" t="inlineStr"/>
      <c r="M1358" s="2" t="inlineStr"/>
      <c r="N1358" s="2" t="inlineStr">
        <is>
          <t>No</t>
        </is>
      </c>
      <c r="O1358" s="2" t="inlineStr">
        <is>
          <t>Unattempted</t>
        </is>
      </c>
    </row>
    <row r="1359">
      <c r="A1359" s="4" t="inlineStr">
        <is>
          <t>Interview Questions</t>
        </is>
      </c>
      <c r="B1359" s="4" t="inlineStr">
        <is>
          <t>Java Developer Interview Preparation</t>
        </is>
      </c>
      <c r="C1359" s="4" t="inlineStr">
        <is>
          <t>Prepare for freshers interviews for Java developer roles. Practice your responses for commonly asked Interview questions.</t>
        </is>
      </c>
      <c r="D1359" s="4" t="inlineStr">
        <is>
          <t>Database and ORM - Database and ORM</t>
        </is>
      </c>
      <c r="E1359" s="4" t="n">
        <v>75</v>
      </c>
      <c r="F1359" s="4" t="inlineStr">
        <is>
          <t>Product Catalog</t>
        </is>
      </c>
      <c r="G1359" s="4" t="inlineStr">
        <is>
          <t>JVASHRTA66</t>
        </is>
      </c>
      <c r="H1359" s="4" t="inlineStr"/>
      <c r="I1359" s="4" t="inlineStr">
        <is>
          <t>Medium</t>
        </is>
      </c>
      <c r="J1359" s="5">
        <f>HYPERLINK("https://www.codechef.com/problems/JVASHRTA66", "https://www.codechef.com/problems/JVASHRTA66")</f>
        <v/>
      </c>
      <c r="K1359" s="4" t="inlineStr"/>
      <c r="L1359" s="4" t="inlineStr"/>
      <c r="M1359" s="4" t="inlineStr"/>
      <c r="N1359" s="4" t="inlineStr">
        <is>
          <t>No</t>
        </is>
      </c>
      <c r="O1359" s="4" t="inlineStr">
        <is>
          <t>Unattempted</t>
        </is>
      </c>
    </row>
    <row r="1360">
      <c r="A1360" s="2" t="inlineStr">
        <is>
          <t>Interview Questions</t>
        </is>
      </c>
      <c r="B1360" s="2" t="inlineStr">
        <is>
          <t>Java Developer Interview Preparation</t>
        </is>
      </c>
      <c r="C1360" s="2" t="inlineStr">
        <is>
          <t>Prepare for freshers interviews for Java developer roles. Practice your responses for commonly asked Interview questions.</t>
        </is>
      </c>
      <c r="D1360" s="2" t="inlineStr">
        <is>
          <t>Database and ORM - Database and ORM</t>
        </is>
      </c>
      <c r="E1360" s="2" t="n">
        <v>76</v>
      </c>
      <c r="F1360" s="2" t="inlineStr">
        <is>
          <t>Customer Dashboard</t>
        </is>
      </c>
      <c r="G1360" s="2" t="inlineStr">
        <is>
          <t>JVASHRTA67</t>
        </is>
      </c>
      <c r="H1360" s="2" t="inlineStr"/>
      <c r="I1360" s="2" t="inlineStr">
        <is>
          <t>Medium</t>
        </is>
      </c>
      <c r="J1360" s="3">
        <f>HYPERLINK("https://www.codechef.com/problems/JVASHRTA67", "https://www.codechef.com/problems/JVASHRTA67")</f>
        <v/>
      </c>
      <c r="K1360" s="2" t="inlineStr"/>
      <c r="L1360" s="2" t="inlineStr"/>
      <c r="M1360" s="2" t="inlineStr"/>
      <c r="N1360" s="2" t="inlineStr">
        <is>
          <t>No</t>
        </is>
      </c>
      <c r="O1360" s="2" t="inlineStr">
        <is>
          <t>Unattempted</t>
        </is>
      </c>
    </row>
    <row r="1361">
      <c r="A1361" s="4" t="inlineStr">
        <is>
          <t>Interview Questions</t>
        </is>
      </c>
      <c r="B1361" s="4" t="inlineStr">
        <is>
          <t>Java Developer Interview Preparation</t>
        </is>
      </c>
      <c r="C1361" s="4" t="inlineStr">
        <is>
          <t>Prepare for freshers interviews for Java developer roles. Practice your responses for commonly asked Interview questions.</t>
        </is>
      </c>
      <c r="D1361" s="4" t="inlineStr">
        <is>
          <t>Database and ORM - Database and ORM</t>
        </is>
      </c>
      <c r="E1361" s="4" t="n">
        <v>77</v>
      </c>
      <c r="F1361" s="4" t="inlineStr">
        <is>
          <t>Performance Issue</t>
        </is>
      </c>
      <c r="G1361" s="4" t="inlineStr">
        <is>
          <t>JVASHRTA68</t>
        </is>
      </c>
      <c r="H1361" s="4" t="inlineStr"/>
      <c r="I1361" s="4" t="inlineStr">
        <is>
          <t>Medium</t>
        </is>
      </c>
      <c r="J1361" s="5">
        <f>HYPERLINK("https://www.codechef.com/problems/JVASHRTA68", "https://www.codechef.com/problems/JVASHRTA68")</f>
        <v/>
      </c>
      <c r="K1361" s="4" t="inlineStr"/>
      <c r="L1361" s="4" t="inlineStr"/>
      <c r="M1361" s="4" t="inlineStr"/>
      <c r="N1361" s="4" t="inlineStr">
        <is>
          <t>No</t>
        </is>
      </c>
      <c r="O1361" s="4" t="inlineStr">
        <is>
          <t>Unattempted</t>
        </is>
      </c>
    </row>
    <row r="1362">
      <c r="A1362" s="2" t="inlineStr">
        <is>
          <t>Interview Questions</t>
        </is>
      </c>
      <c r="B1362" s="2" t="inlineStr">
        <is>
          <t>Java Developer Interview Preparation</t>
        </is>
      </c>
      <c r="C1362" s="2" t="inlineStr">
        <is>
          <t>Prepare for freshers interviews for Java developer roles. Practice your responses for commonly asked Interview questions.</t>
        </is>
      </c>
      <c r="D1362" s="2" t="inlineStr">
        <is>
          <t>Database and ORM - Database and ORM</t>
        </is>
      </c>
      <c r="E1362" s="2" t="n">
        <v>78</v>
      </c>
      <c r="F1362" s="2" t="inlineStr">
        <is>
          <t>Retrieve Book Details from Library</t>
        </is>
      </c>
      <c r="G1362" s="2" t="inlineStr">
        <is>
          <t>JDBCPROB0033</t>
        </is>
      </c>
      <c r="H1362" s="2" t="inlineStr"/>
      <c r="I1362" s="2" t="inlineStr">
        <is>
          <t>Medium</t>
        </is>
      </c>
      <c r="J1362" s="3">
        <f>HYPERLINK("https://www.codechef.com/problems/JDBCPROB0033", "https://www.codechef.com/problems/JDBCPROB0033")</f>
        <v/>
      </c>
      <c r="K1362" s="2" t="inlineStr"/>
      <c r="L1362" s="2" t="inlineStr"/>
      <c r="M1362" s="2" t="inlineStr"/>
      <c r="N1362" s="2" t="inlineStr">
        <is>
          <t>No</t>
        </is>
      </c>
      <c r="O1362" s="2" t="inlineStr">
        <is>
          <t>Unattempted</t>
        </is>
      </c>
    </row>
    <row r="1363">
      <c r="A1363" s="4" t="inlineStr">
        <is>
          <t>Interview Questions</t>
        </is>
      </c>
      <c r="B1363" s="4" t="inlineStr">
        <is>
          <t>Java Developer Interview Preparation</t>
        </is>
      </c>
      <c r="C1363" s="4" t="inlineStr">
        <is>
          <t>Prepare for freshers interviews for Java developer roles. Practice your responses for commonly asked Interview questions.</t>
        </is>
      </c>
      <c r="D1363" s="4" t="inlineStr">
        <is>
          <t>Database and ORM - Database and ORM</t>
        </is>
      </c>
      <c r="E1363" s="4" t="n">
        <v>79</v>
      </c>
      <c r="F1363" s="4" t="inlineStr">
        <is>
          <t>Display Course Names</t>
        </is>
      </c>
      <c r="G1363" s="4" t="inlineStr">
        <is>
          <t>JDBCPROB0042</t>
        </is>
      </c>
      <c r="H1363" s="4" t="inlineStr"/>
      <c r="I1363" s="4" t="inlineStr">
        <is>
          <t>Medium</t>
        </is>
      </c>
      <c r="J1363" s="5">
        <f>HYPERLINK("https://www.codechef.com/problems/JDBCPROB0042", "https://www.codechef.com/problems/JDBCPROB0042")</f>
        <v/>
      </c>
      <c r="K1363" s="4" t="inlineStr"/>
      <c r="L1363" s="4" t="inlineStr"/>
      <c r="M1363" s="4" t="inlineStr"/>
      <c r="N1363" s="4" t="inlineStr">
        <is>
          <t>No</t>
        </is>
      </c>
      <c r="O1363" s="4" t="inlineStr">
        <is>
          <t>Unattempted</t>
        </is>
      </c>
    </row>
    <row r="1364">
      <c r="A1364" s="2" t="inlineStr">
        <is>
          <t>Interview Questions</t>
        </is>
      </c>
      <c r="B1364" s="2" t="inlineStr">
        <is>
          <t>Java Developer Interview Preparation</t>
        </is>
      </c>
      <c r="C1364" s="2" t="inlineStr">
        <is>
          <t>Prepare for freshers interviews for Java developer roles. Practice your responses for commonly asked Interview questions.</t>
        </is>
      </c>
      <c r="D1364" s="2" t="inlineStr">
        <is>
          <t>Testing and DevOps - Testing and DevOps</t>
        </is>
      </c>
      <c r="E1364" s="2" t="n">
        <v>80</v>
      </c>
      <c r="F1364" s="2" t="inlineStr">
        <is>
          <t>Unit vs. Integration Testing</t>
        </is>
      </c>
      <c r="G1364" s="2" t="inlineStr">
        <is>
          <t>JVASHRTA53</t>
        </is>
      </c>
      <c r="H1364" s="2" t="inlineStr"/>
      <c r="I1364" s="2" t="inlineStr">
        <is>
          <t>Easy</t>
        </is>
      </c>
      <c r="J1364" s="3">
        <f>HYPERLINK("https://www.codechef.com/problems/JVASHRTA53", "https://www.codechef.com/problems/JVASHRTA53")</f>
        <v/>
      </c>
      <c r="K1364" s="2" t="inlineStr"/>
      <c r="L1364" s="2" t="inlineStr"/>
      <c r="M1364" s="2" t="inlineStr"/>
      <c r="N1364" s="2" t="inlineStr">
        <is>
          <t>No</t>
        </is>
      </c>
      <c r="O1364" s="2" t="inlineStr">
        <is>
          <t>Unattempted</t>
        </is>
      </c>
    </row>
    <row r="1365">
      <c r="A1365" s="4" t="inlineStr">
        <is>
          <t>Interview Questions</t>
        </is>
      </c>
      <c r="B1365" s="4" t="inlineStr">
        <is>
          <t>Java Developer Interview Preparation</t>
        </is>
      </c>
      <c r="C1365" s="4" t="inlineStr">
        <is>
          <t>Prepare for freshers interviews for Java developer roles. Practice your responses for commonly asked Interview questions.</t>
        </is>
      </c>
      <c r="D1365" s="4" t="inlineStr">
        <is>
          <t>Testing and DevOps - Testing and DevOps</t>
        </is>
      </c>
      <c r="E1365" s="4" t="n">
        <v>81</v>
      </c>
      <c r="F1365" s="4" t="inlineStr">
        <is>
          <t>TDD Login Test First</t>
        </is>
      </c>
      <c r="G1365" s="4" t="inlineStr">
        <is>
          <t>JVASHRTA54</t>
        </is>
      </c>
      <c r="H1365" s="4" t="inlineStr"/>
      <c r="I1365" s="4" t="inlineStr">
        <is>
          <t>Easy</t>
        </is>
      </c>
      <c r="J1365" s="5">
        <f>HYPERLINK("https://www.codechef.com/problems/JVASHRTA54", "https://www.codechef.com/problems/JVASHRTA54")</f>
        <v/>
      </c>
      <c r="K1365" s="4" t="inlineStr"/>
      <c r="L1365" s="4" t="inlineStr"/>
      <c r="M1365" s="4" t="inlineStr"/>
      <c r="N1365" s="4" t="inlineStr">
        <is>
          <t>No</t>
        </is>
      </c>
      <c r="O1365" s="4" t="inlineStr">
        <is>
          <t>Unattempted</t>
        </is>
      </c>
    </row>
    <row r="1366">
      <c r="A1366" s="2" t="inlineStr">
        <is>
          <t>Interview Questions</t>
        </is>
      </c>
      <c r="B1366" s="2" t="inlineStr">
        <is>
          <t>Java Developer Interview Preparation</t>
        </is>
      </c>
      <c r="C1366" s="2" t="inlineStr">
        <is>
          <t>Prepare for freshers interviews for Java developer roles. Practice your responses for commonly asked Interview questions.</t>
        </is>
      </c>
      <c r="D1366" s="2" t="inlineStr">
        <is>
          <t>Testing and DevOps - Testing and DevOps</t>
        </is>
      </c>
      <c r="E1366" s="2" t="n">
        <v>82</v>
      </c>
      <c r="F1366" s="2" t="inlineStr">
        <is>
          <t>Deployment Hell</t>
        </is>
      </c>
      <c r="G1366" s="2" t="inlineStr">
        <is>
          <t>JVASHRTA55</t>
        </is>
      </c>
      <c r="H1366" s="2" t="inlineStr"/>
      <c r="I1366" s="2" t="inlineStr">
        <is>
          <t>Easy</t>
        </is>
      </c>
      <c r="J1366" s="3">
        <f>HYPERLINK("https://www.codechef.com/problems/JVASHRTA55", "https://www.codechef.com/problems/JVASHRTA55")</f>
        <v/>
      </c>
      <c r="K1366" s="2" t="inlineStr"/>
      <c r="L1366" s="2" t="inlineStr"/>
      <c r="M1366" s="2" t="inlineStr"/>
      <c r="N1366" s="2" t="inlineStr">
        <is>
          <t>No</t>
        </is>
      </c>
      <c r="O1366" s="2" t="inlineStr">
        <is>
          <t>Unattempted</t>
        </is>
      </c>
    </row>
    <row r="1367">
      <c r="A1367" s="4" t="inlineStr">
        <is>
          <t>Interview Questions</t>
        </is>
      </c>
      <c r="B1367" s="4" t="inlineStr">
        <is>
          <t>Java Developer Interview Preparation</t>
        </is>
      </c>
      <c r="C1367" s="4" t="inlineStr">
        <is>
          <t>Prepare for freshers interviews for Java developer roles. Practice your responses for commonly asked Interview questions.</t>
        </is>
      </c>
      <c r="D1367" s="4" t="inlineStr">
        <is>
          <t>Testing and DevOps - Testing and DevOps</t>
        </is>
      </c>
      <c r="E1367" s="4" t="n">
        <v>83</v>
      </c>
      <c r="F1367" s="4" t="inlineStr">
        <is>
          <t>Containers vs VMs: A Quick Comparison</t>
        </is>
      </c>
      <c r="G1367" s="4" t="inlineStr">
        <is>
          <t>JVASHRTA56</t>
        </is>
      </c>
      <c r="H1367" s="4" t="inlineStr"/>
      <c r="I1367" s="4" t="inlineStr">
        <is>
          <t>Easy</t>
        </is>
      </c>
      <c r="J1367" s="5">
        <f>HYPERLINK("https://www.codechef.com/problems/JVASHRTA56", "https://www.codechef.com/problems/JVASHRTA56")</f>
        <v/>
      </c>
      <c r="K1367" s="4" t="inlineStr"/>
      <c r="L1367" s="4" t="inlineStr"/>
      <c r="M1367" s="4" t="inlineStr"/>
      <c r="N1367" s="4" t="inlineStr">
        <is>
          <t>No</t>
        </is>
      </c>
      <c r="O1367" s="4" t="inlineStr">
        <is>
          <t>Unattempted</t>
        </is>
      </c>
    </row>
    <row r="1368">
      <c r="A1368" s="2" t="inlineStr">
        <is>
          <t>Interview Questions</t>
        </is>
      </c>
      <c r="B1368" s="2" t="inlineStr">
        <is>
          <t>Java Developer Interview Preparation</t>
        </is>
      </c>
      <c r="C1368" s="2" t="inlineStr">
        <is>
          <t>Prepare for freshers interviews for Java developer roles. Practice your responses for commonly asked Interview questions.</t>
        </is>
      </c>
      <c r="D1368" s="2" t="inlineStr">
        <is>
          <t>Testing and DevOps - Testing and DevOps</t>
        </is>
      </c>
      <c r="E1368" s="2" t="n">
        <v>84</v>
      </c>
      <c r="F1368" s="2" t="inlineStr">
        <is>
          <t>Infrastructure as Code (IaC)</t>
        </is>
      </c>
      <c r="G1368" s="2" t="inlineStr">
        <is>
          <t>JVASHRTA57</t>
        </is>
      </c>
      <c r="H1368" s="2" t="inlineStr"/>
      <c r="I1368" s="2" t="inlineStr">
        <is>
          <t>Easy</t>
        </is>
      </c>
      <c r="J1368" s="3">
        <f>HYPERLINK("https://www.codechef.com/problems/JVASHRTA57", "https://www.codechef.com/problems/JVASHRTA57")</f>
        <v/>
      </c>
      <c r="K1368" s="2" t="inlineStr"/>
      <c r="L1368" s="2" t="inlineStr"/>
      <c r="M1368" s="2" t="inlineStr"/>
      <c r="N1368" s="2" t="inlineStr">
        <is>
          <t>No</t>
        </is>
      </c>
      <c r="O1368" s="2" t="inlineStr">
        <is>
          <t>Unattempted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2026-08-01T19:10:14Z</dcterms:created>
  <dcterms:modified xsi:type="dcterms:W3CDTF">2026-08-01T19:10:16Z</dcterms:modified>
</cp:coreProperties>
</file>