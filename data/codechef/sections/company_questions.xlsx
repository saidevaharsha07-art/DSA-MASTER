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Based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182" customWidth="1" min="3" max="3"/>
    <col width="74" customWidth="1" min="4" max="4"/>
    <col width="16" customWidth="1" min="5" max="5"/>
    <col width="53" customWidth="1" min="6" max="6"/>
    <col width="15" customWidth="1" min="7" max="7"/>
    <col width="20" customWidth="1" min="8" max="8"/>
    <col width="19" customWidth="1" min="9" max="9"/>
    <col width="15" customWidth="1" min="10" max="10"/>
    <col width="17" customWidth="1" min="11" max="11"/>
    <col width="34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Section</t>
        </is>
      </c>
      <c r="B1" s="1" t="inlineStr">
        <is>
          <t>Practice Path</t>
        </is>
      </c>
      <c r="C1" s="1" t="inlineStr">
        <is>
          <t>Description</t>
        </is>
      </c>
      <c r="D1" s="1" t="inlineStr">
        <is>
          <t>Lesson</t>
        </is>
      </c>
      <c r="E1" s="1" t="inlineStr">
        <is>
          <t>Problem Order</t>
        </is>
      </c>
      <c r="F1" s="1" t="inlineStr">
        <is>
          <t>Problem Name</t>
        </is>
      </c>
      <c r="G1" s="1" t="inlineStr">
        <is>
          <t>Problem Code</t>
        </is>
      </c>
      <c r="H1" s="1" t="inlineStr">
        <is>
          <t>Difficulty Rating</t>
        </is>
      </c>
      <c r="I1" s="1" t="inlineStr">
        <is>
          <t>Difficulty Label</t>
        </is>
      </c>
      <c r="J1" s="1" t="inlineStr">
        <is>
          <t>Official URL</t>
        </is>
      </c>
      <c r="K1" s="1" t="inlineStr">
        <is>
          <t>Estimated Time</t>
        </is>
      </c>
      <c r="L1" s="1" t="inlineStr">
        <is>
          <t>Tags</t>
        </is>
      </c>
      <c r="M1" s="1" t="inlineStr">
        <is>
          <t>Companies</t>
        </is>
      </c>
      <c r="N1" s="1" t="inlineStr">
        <is>
          <t>Certificate</t>
        </is>
      </c>
      <c r="O1" s="1" t="inlineStr">
        <is>
          <t>Status</t>
        </is>
      </c>
    </row>
    <row r="2">
      <c r="A2" s="2" t="inlineStr">
        <is>
          <t>Company Based Questions</t>
        </is>
      </c>
      <c r="B2" s="2" t="inlineStr">
        <is>
          <t>Amazon Coding Interview Questions</t>
        </is>
      </c>
      <c r="C2" s="2" t="inlineStr">
        <is>
          <t>Prepare for your Amazon online assessment and Interview with most commonly asked coding questions.</t>
        </is>
      </c>
      <c r="D2" s="2" t="inlineStr">
        <is>
          <t>Amazon Coding Questions - Amazon Interview Questions</t>
        </is>
      </c>
      <c r="E2" s="2" t="n">
        <v>1</v>
      </c>
      <c r="F2" s="2" t="inlineStr">
        <is>
          <t>Jump To The End</t>
        </is>
      </c>
      <c r="G2" s="2" t="inlineStr">
        <is>
          <t>JUMPEND</t>
        </is>
      </c>
      <c r="H2" s="2" t="inlineStr"/>
      <c r="I2" s="2" t="inlineStr">
        <is>
          <t>Medium</t>
        </is>
      </c>
      <c r="J2" s="3">
        <f>HYPERLINK("https://www.codechef.com/problems/JUMPEND", "https://www.codechef.com/problems/JUMPEND")</f>
        <v/>
      </c>
      <c r="K2" s="2" t="inlineStr"/>
      <c r="L2" s="2" t="inlineStr"/>
      <c r="M2" s="2" t="inlineStr"/>
      <c r="N2" s="2" t="inlineStr">
        <is>
          <t>No</t>
        </is>
      </c>
      <c r="O2" s="2" t="inlineStr">
        <is>
          <t>Unattempted</t>
        </is>
      </c>
    </row>
    <row r="3">
      <c r="A3" s="4" t="inlineStr">
        <is>
          <t>Company Based Questions</t>
        </is>
      </c>
      <c r="B3" s="4" t="inlineStr">
        <is>
          <t>Amazon Coding Interview Questions</t>
        </is>
      </c>
      <c r="C3" s="4" t="inlineStr">
        <is>
          <t>Prepare for your Amazon online assessment and Interview with most commonly asked coding questions.</t>
        </is>
      </c>
      <c r="D3" s="4" t="inlineStr">
        <is>
          <t>Amazon Coding Questions - Amazon Interview Questions</t>
        </is>
      </c>
      <c r="E3" s="4" t="n">
        <v>2</v>
      </c>
      <c r="F3" s="4" t="inlineStr">
        <is>
          <t>Necklace</t>
        </is>
      </c>
      <c r="G3" s="4" t="inlineStr">
        <is>
          <t>NEC</t>
        </is>
      </c>
      <c r="H3" s="4" t="inlineStr">
        <is>
          <t>800</t>
        </is>
      </c>
      <c r="I3" s="4" t="inlineStr">
        <is>
          <t>Easy</t>
        </is>
      </c>
      <c r="J3" s="5">
        <f>HYPERLINK("https://www.codechef.com/problems/NEC", "https://www.codechef.com/problems/NEC")</f>
        <v/>
      </c>
      <c r="K3" s="4" t="inlineStr"/>
      <c r="L3" s="4" t="inlineStr"/>
      <c r="M3" s="4" t="inlineStr"/>
      <c r="N3" s="4" t="inlineStr">
        <is>
          <t>No</t>
        </is>
      </c>
      <c r="O3" s="4" t="inlineStr">
        <is>
          <t>Unattempted</t>
        </is>
      </c>
    </row>
    <row r="4">
      <c r="A4" s="2" t="inlineStr">
        <is>
          <t>Company Based Questions</t>
        </is>
      </c>
      <c r="B4" s="2" t="inlineStr">
        <is>
          <t>Amazon Coding Interview Questions</t>
        </is>
      </c>
      <c r="C4" s="2" t="inlineStr">
        <is>
          <t>Prepare for your Amazon online assessment and Interview with most commonly asked coding questions.</t>
        </is>
      </c>
      <c r="D4" s="2" t="inlineStr">
        <is>
          <t>Amazon Coding Questions - Amazon Interview Questions</t>
        </is>
      </c>
      <c r="E4" s="2" t="n">
        <v>3</v>
      </c>
      <c r="F4" s="2" t="inlineStr">
        <is>
          <t>Stack Sort</t>
        </is>
      </c>
      <c r="G4" s="2" t="inlineStr">
        <is>
          <t>STKSORT</t>
        </is>
      </c>
      <c r="H4" s="2" t="inlineStr">
        <is>
          <t>1400</t>
        </is>
      </c>
      <c r="I4" s="2" t="inlineStr">
        <is>
          <t>Medium</t>
        </is>
      </c>
      <c r="J4" s="3">
        <f>HYPERLINK("https://www.codechef.com/problems/STKSORT", "https://www.codechef.com/problems/STKSORT")</f>
        <v/>
      </c>
      <c r="K4" s="2" t="inlineStr"/>
      <c r="L4" s="2" t="inlineStr"/>
      <c r="M4" s="2" t="inlineStr"/>
      <c r="N4" s="2" t="inlineStr">
        <is>
          <t>No</t>
        </is>
      </c>
      <c r="O4" s="2" t="inlineStr">
        <is>
          <t>Unattempted</t>
        </is>
      </c>
    </row>
    <row r="5">
      <c r="A5" s="4" t="inlineStr">
        <is>
          <t>Company Based Questions</t>
        </is>
      </c>
      <c r="B5" s="4" t="inlineStr">
        <is>
          <t>Amazon Coding Interview Questions</t>
        </is>
      </c>
      <c r="C5" s="4" t="inlineStr">
        <is>
          <t>Prepare for your Amazon online assessment and Interview with most commonly asked coding questions.</t>
        </is>
      </c>
      <c r="D5" s="4" t="inlineStr">
        <is>
          <t>Amazon Coding Questions - Amazon Interview Questions</t>
        </is>
      </c>
      <c r="E5" s="4" t="n">
        <v>4</v>
      </c>
      <c r="F5" s="4" t="inlineStr">
        <is>
          <t>Dispute Resolving</t>
        </is>
      </c>
      <c r="G5" s="4" t="inlineStr">
        <is>
          <t>PAL_STRING</t>
        </is>
      </c>
      <c r="H5" s="4" t="inlineStr"/>
      <c r="I5" s="4" t="inlineStr">
        <is>
          <t>Medium</t>
        </is>
      </c>
      <c r="J5" s="5">
        <f>HYPERLINK("https://www.codechef.com/problems/PAL_STRING", "https://www.codechef.com/problems/PAL_STRING")</f>
        <v/>
      </c>
      <c r="K5" s="4" t="inlineStr"/>
      <c r="L5" s="4" t="inlineStr"/>
      <c r="M5" s="4" t="inlineStr"/>
      <c r="N5" s="4" t="inlineStr">
        <is>
          <t>No</t>
        </is>
      </c>
      <c r="O5" s="4" t="inlineStr">
        <is>
          <t>Unattempted</t>
        </is>
      </c>
    </row>
    <row r="6">
      <c r="A6" s="2" t="inlineStr">
        <is>
          <t>Company Based Questions</t>
        </is>
      </c>
      <c r="B6" s="2" t="inlineStr">
        <is>
          <t>Amazon Coding Interview Questions</t>
        </is>
      </c>
      <c r="C6" s="2" t="inlineStr">
        <is>
          <t>Prepare for your Amazon online assessment and Interview with most commonly asked coding questions.</t>
        </is>
      </c>
      <c r="D6" s="2" t="inlineStr">
        <is>
          <t>Amazon Coding Questions - Amazon Interview Questions</t>
        </is>
      </c>
      <c r="E6" s="2" t="n">
        <v>5</v>
      </c>
      <c r="F6" s="2" t="inlineStr">
        <is>
          <t>Reverse the Segment</t>
        </is>
      </c>
      <c r="G6" s="2" t="inlineStr">
        <is>
          <t>REVSEG</t>
        </is>
      </c>
      <c r="H6" s="2" t="inlineStr">
        <is>
          <t>1500</t>
        </is>
      </c>
      <c r="I6" s="2" t="inlineStr">
        <is>
          <t>Medium</t>
        </is>
      </c>
      <c r="J6" s="3">
        <f>HYPERLINK("https://www.codechef.com/problems/REVSEG", "https://www.codechef.com/problems/REVSEG")</f>
        <v/>
      </c>
      <c r="K6" s="2" t="inlineStr"/>
      <c r="L6" s="2" t="inlineStr"/>
      <c r="M6" s="2" t="inlineStr"/>
      <c r="N6" s="2" t="inlineStr">
        <is>
          <t>No</t>
        </is>
      </c>
      <c r="O6" s="2" t="inlineStr">
        <is>
          <t>Unattempted</t>
        </is>
      </c>
    </row>
    <row r="7">
      <c r="A7" s="4" t="inlineStr">
        <is>
          <t>Company Based Questions</t>
        </is>
      </c>
      <c r="B7" s="4" t="inlineStr">
        <is>
          <t>Amazon Coding Interview Questions</t>
        </is>
      </c>
      <c r="C7" s="4" t="inlineStr">
        <is>
          <t>Prepare for your Amazon online assessment and Interview with most commonly asked coding questions.</t>
        </is>
      </c>
      <c r="D7" s="4" t="inlineStr">
        <is>
          <t>Amazon Coding Questions - Amazon Interview Questions</t>
        </is>
      </c>
      <c r="E7" s="4" t="n">
        <v>6</v>
      </c>
      <c r="F7" s="4" t="inlineStr">
        <is>
          <t>Find the Pattern</t>
        </is>
      </c>
      <c r="G7" s="4" t="inlineStr">
        <is>
          <t>PATSEARCH</t>
        </is>
      </c>
      <c r="H7" s="4" t="inlineStr"/>
      <c r="I7" s="4" t="inlineStr">
        <is>
          <t>Medium</t>
        </is>
      </c>
      <c r="J7" s="5">
        <f>HYPERLINK("https://www.codechef.com/problems/PATSEARCH", "https://www.codechef.com/problems/PATSEARCH")</f>
        <v/>
      </c>
      <c r="K7" s="4" t="inlineStr"/>
      <c r="L7" s="4" t="inlineStr"/>
      <c r="M7" s="4" t="inlineStr"/>
      <c r="N7" s="4" t="inlineStr">
        <is>
          <t>No</t>
        </is>
      </c>
      <c r="O7" s="4" t="inlineStr">
        <is>
          <t>Unattempted</t>
        </is>
      </c>
    </row>
    <row r="8">
      <c r="A8" s="2" t="inlineStr">
        <is>
          <t>Company Based Questions</t>
        </is>
      </c>
      <c r="B8" s="2" t="inlineStr">
        <is>
          <t>Amazon Coding Interview Questions</t>
        </is>
      </c>
      <c r="C8" s="2" t="inlineStr">
        <is>
          <t>Prepare for your Amazon online assessment and Interview with most commonly asked coding questions.</t>
        </is>
      </c>
      <c r="D8" s="2" t="inlineStr">
        <is>
          <t>Amazon Coding Questions - Amazon Interview Questions</t>
        </is>
      </c>
      <c r="E8" s="2" t="n">
        <v>7</v>
      </c>
      <c r="F8" s="2" t="inlineStr">
        <is>
          <t>Reverse m size groups</t>
        </is>
      </c>
      <c r="G8" s="2" t="inlineStr">
        <is>
          <t>KGRPREV</t>
        </is>
      </c>
      <c r="H8" s="2" t="inlineStr">
        <is>
          <t>1600</t>
        </is>
      </c>
      <c r="I8" s="2" t="inlineStr">
        <is>
          <t>Medium</t>
        </is>
      </c>
      <c r="J8" s="3">
        <f>HYPERLINK("https://www.codechef.com/problems/KGRPREV", "https://www.codechef.com/problems/KGRPREV")</f>
        <v/>
      </c>
      <c r="K8" s="2" t="inlineStr"/>
      <c r="L8" s="2" t="inlineStr"/>
      <c r="M8" s="2" t="inlineStr"/>
      <c r="N8" s="2" t="inlineStr">
        <is>
          <t>No</t>
        </is>
      </c>
      <c r="O8" s="2" t="inlineStr">
        <is>
          <t>Unattempted</t>
        </is>
      </c>
    </row>
    <row r="9">
      <c r="A9" s="4" t="inlineStr">
        <is>
          <t>Company Based Questions</t>
        </is>
      </c>
      <c r="B9" s="4" t="inlineStr">
        <is>
          <t>Amazon Coding Interview Questions</t>
        </is>
      </c>
      <c r="C9" s="4" t="inlineStr">
        <is>
          <t>Prepare for your Amazon online assessment and Interview with most commonly asked coding questions.</t>
        </is>
      </c>
      <c r="D9" s="4" t="inlineStr">
        <is>
          <t>Amazon Coding Questions - Amazon Interview Questions</t>
        </is>
      </c>
      <c r="E9" s="4" t="n">
        <v>8</v>
      </c>
      <c r="F9" s="4" t="inlineStr">
        <is>
          <t>Reconstruct the Tree</t>
        </is>
      </c>
      <c r="G9" s="4" t="inlineStr">
        <is>
          <t>RECTREE</t>
        </is>
      </c>
      <c r="H9" s="4" t="inlineStr"/>
      <c r="I9" s="4" t="inlineStr">
        <is>
          <t>Medium</t>
        </is>
      </c>
      <c r="J9" s="5">
        <f>HYPERLINK("https://www.codechef.com/problems/RECTREE", "https://www.codechef.com/problems/RECTREE")</f>
        <v/>
      </c>
      <c r="K9" s="4" t="inlineStr"/>
      <c r="L9" s="4" t="inlineStr"/>
      <c r="M9" s="4" t="inlineStr"/>
      <c r="N9" s="4" t="inlineStr">
        <is>
          <t>No</t>
        </is>
      </c>
      <c r="O9" s="4" t="inlineStr">
        <is>
          <t>Unattempted</t>
        </is>
      </c>
    </row>
    <row r="10">
      <c r="A10" s="2" t="inlineStr">
        <is>
          <t>Company Based Questions</t>
        </is>
      </c>
      <c r="B10" s="2" t="inlineStr">
        <is>
          <t>Amazon Coding Interview Questions</t>
        </is>
      </c>
      <c r="C10" s="2" t="inlineStr">
        <is>
          <t>Prepare for your Amazon online assessment and Interview with most commonly asked coding questions.</t>
        </is>
      </c>
      <c r="D10" s="2" t="inlineStr">
        <is>
          <t>Amazon Coding Questions - Amazon Interview Questions</t>
        </is>
      </c>
      <c r="E10" s="2" t="n">
        <v>9</v>
      </c>
      <c r="F10" s="2" t="inlineStr">
        <is>
          <t>Find the Subtree</t>
        </is>
      </c>
      <c r="G10" s="2" t="inlineStr">
        <is>
          <t>SUBTCH</t>
        </is>
      </c>
      <c r="H10" s="2" t="inlineStr"/>
      <c r="I10" s="2" t="inlineStr">
        <is>
          <t>Medium</t>
        </is>
      </c>
      <c r="J10" s="3">
        <f>HYPERLINK("https://www.codechef.com/problems/SUBTCH", "https://www.codechef.com/problems/SUBTCH")</f>
        <v/>
      </c>
      <c r="K10" s="2" t="inlineStr"/>
      <c r="L10" s="2" t="inlineStr"/>
      <c r="M10" s="2" t="inlineStr"/>
      <c r="N10" s="2" t="inlineStr">
        <is>
          <t>No</t>
        </is>
      </c>
      <c r="O10" s="2" t="inlineStr">
        <is>
          <t>Unattempted</t>
        </is>
      </c>
    </row>
    <row r="11">
      <c r="A11" s="4" t="inlineStr">
        <is>
          <t>Company Based Questions</t>
        </is>
      </c>
      <c r="B11" s="4" t="inlineStr">
        <is>
          <t>Amazon Coding Interview Questions</t>
        </is>
      </c>
      <c r="C11" s="4" t="inlineStr">
        <is>
          <t>Prepare for your Amazon online assessment and Interview with most commonly asked coding questions.</t>
        </is>
      </c>
      <c r="D11" s="4" t="inlineStr">
        <is>
          <t>Amazon Coding Questions - Amazon Interview Questions</t>
        </is>
      </c>
      <c r="E11" s="4" t="n">
        <v>10</v>
      </c>
      <c r="F11" s="4" t="inlineStr">
        <is>
          <t>Flatten a Linked List</t>
        </is>
      </c>
      <c r="G11" s="4" t="inlineStr">
        <is>
          <t>STRANGELIST</t>
        </is>
      </c>
      <c r="H11" s="4" t="inlineStr">
        <is>
          <t>1600</t>
        </is>
      </c>
      <c r="I11" s="4" t="inlineStr">
        <is>
          <t>Medium</t>
        </is>
      </c>
      <c r="J11" s="5">
        <f>HYPERLINK("https://www.codechef.com/problems/STRANGELIST", "https://www.codechef.com/problems/STRANGELIST")</f>
        <v/>
      </c>
      <c r="K11" s="4" t="inlineStr"/>
      <c r="L11" s="4" t="inlineStr"/>
      <c r="M11" s="4" t="inlineStr"/>
      <c r="N11" s="4" t="inlineStr">
        <is>
          <t>No</t>
        </is>
      </c>
      <c r="O11" s="4" t="inlineStr">
        <is>
          <t>Unattempted</t>
        </is>
      </c>
    </row>
    <row r="12">
      <c r="A12" s="2" t="inlineStr">
        <is>
          <t>Company Based Questions</t>
        </is>
      </c>
      <c r="B12" s="2" t="inlineStr">
        <is>
          <t>Amazon Coding Interview Questions</t>
        </is>
      </c>
      <c r="C12" s="2" t="inlineStr">
        <is>
          <t>Prepare for your Amazon online assessment and Interview with most commonly asked coding questions.</t>
        </is>
      </c>
      <c r="D12" s="2" t="inlineStr">
        <is>
          <t>Amazon Coding Questions - Amazon Interview Questions</t>
        </is>
      </c>
      <c r="E12" s="2" t="n">
        <v>11</v>
      </c>
      <c r="F12" s="2" t="inlineStr">
        <is>
          <t>Triplet LCA</t>
        </is>
      </c>
      <c r="G12" s="2" t="inlineStr">
        <is>
          <t>LCAN3</t>
        </is>
      </c>
      <c r="H12" s="2" t="inlineStr"/>
      <c r="I12" s="2" t="inlineStr">
        <is>
          <t>Medium</t>
        </is>
      </c>
      <c r="J12" s="3">
        <f>HYPERLINK("https://www.codechef.com/problems/LCAN3", "https://www.codechef.com/problems/LCAN3")</f>
        <v/>
      </c>
      <c r="K12" s="2" t="inlineStr"/>
      <c r="L12" s="2" t="inlineStr"/>
      <c r="M12" s="2" t="inlineStr"/>
      <c r="N12" s="2" t="inlineStr">
        <is>
          <t>No</t>
        </is>
      </c>
      <c r="O12" s="2" t="inlineStr">
        <is>
          <t>Unattempted</t>
        </is>
      </c>
    </row>
    <row r="13">
      <c r="A13" s="4" t="inlineStr">
        <is>
          <t>Company Based Questions</t>
        </is>
      </c>
      <c r="B13" s="4" t="inlineStr">
        <is>
          <t>Amazon Coding Interview Questions</t>
        </is>
      </c>
      <c r="C13" s="4" t="inlineStr">
        <is>
          <t>Prepare for your Amazon online assessment and Interview with most commonly asked coding questions.</t>
        </is>
      </c>
      <c r="D13" s="4" t="inlineStr">
        <is>
          <t>Amazon Coding Questions - Amazon Interview Questions</t>
        </is>
      </c>
      <c r="E13" s="4" t="n">
        <v>12</v>
      </c>
      <c r="F13" s="4" t="inlineStr">
        <is>
          <t>Reverse a Linked List</t>
        </is>
      </c>
      <c r="G13" s="4" t="inlineStr">
        <is>
          <t>RTLL</t>
        </is>
      </c>
      <c r="H13" s="4" t="inlineStr">
        <is>
          <t>1400</t>
        </is>
      </c>
      <c r="I13" s="4" t="inlineStr">
        <is>
          <t>Medium</t>
        </is>
      </c>
      <c r="J13" s="5">
        <f>HYPERLINK("https://www.codechef.com/problems/RTLL", "https://www.codechef.com/problems/RTLL")</f>
        <v/>
      </c>
      <c r="K13" s="4" t="inlineStr"/>
      <c r="L13" s="4" t="inlineStr"/>
      <c r="M13" s="4" t="inlineStr"/>
      <c r="N13" s="4" t="inlineStr">
        <is>
          <t>No</t>
        </is>
      </c>
      <c r="O13" s="4" t="inlineStr">
        <is>
          <t>Unattempted</t>
        </is>
      </c>
    </row>
    <row r="14">
      <c r="A14" s="2" t="inlineStr">
        <is>
          <t>Company Based Questions</t>
        </is>
      </c>
      <c r="B14" s="2" t="inlineStr">
        <is>
          <t>Amazon Coding Interview Questions</t>
        </is>
      </c>
      <c r="C14" s="2" t="inlineStr">
        <is>
          <t>Prepare for your Amazon online assessment and Interview with most commonly asked coding questions.</t>
        </is>
      </c>
      <c r="D14" s="2" t="inlineStr">
        <is>
          <t>Amazon Coding Questions - Amazon Interview Questions</t>
        </is>
      </c>
      <c r="E14" s="2" t="n">
        <v>13</v>
      </c>
      <c r="F14" s="2" t="inlineStr">
        <is>
          <t>Count loop length in Linked List</t>
        </is>
      </c>
      <c r="G14" s="2" t="inlineStr">
        <is>
          <t>LINKLP</t>
        </is>
      </c>
      <c r="H14" s="2" t="inlineStr">
        <is>
          <t>1300</t>
        </is>
      </c>
      <c r="I14" s="2" t="inlineStr">
        <is>
          <t>Easy</t>
        </is>
      </c>
      <c r="J14" s="3">
        <f>HYPERLINK("https://www.codechef.com/problems/LINKLP", "https://www.codechef.com/problems/LINKLP")</f>
        <v/>
      </c>
      <c r="K14" s="2" t="inlineStr"/>
      <c r="L14" s="2" t="inlineStr"/>
      <c r="M14" s="2" t="inlineStr"/>
      <c r="N14" s="2" t="inlineStr">
        <is>
          <t>No</t>
        </is>
      </c>
      <c r="O14" s="2" t="inlineStr">
        <is>
          <t>Unattempted</t>
        </is>
      </c>
    </row>
    <row r="15">
      <c r="A15" s="4" t="inlineStr">
        <is>
          <t>Company Based Questions</t>
        </is>
      </c>
      <c r="B15" s="4" t="inlineStr">
        <is>
          <t>Amazon Coding Interview Questions</t>
        </is>
      </c>
      <c r="C15" s="4" t="inlineStr">
        <is>
          <t>Prepare for your Amazon online assessment and Interview with most commonly asked coding questions.</t>
        </is>
      </c>
      <c r="D15" s="4" t="inlineStr">
        <is>
          <t>Amazon Coding Questions - Amazon Interview Questions</t>
        </is>
      </c>
      <c r="E15" s="4" t="n">
        <v>14</v>
      </c>
      <c r="F15" s="4" t="inlineStr">
        <is>
          <t>Separate Even and Odd values in a linked list</t>
        </is>
      </c>
      <c r="G15" s="4" t="inlineStr">
        <is>
          <t>SEGEO</t>
        </is>
      </c>
      <c r="H15" s="4" t="inlineStr">
        <is>
          <t>1300</t>
        </is>
      </c>
      <c r="I15" s="4" t="inlineStr">
        <is>
          <t>Easy</t>
        </is>
      </c>
      <c r="J15" s="5">
        <f>HYPERLINK("https://www.codechef.com/problems/SEGEO", "https://www.codechef.com/problems/SEGEO")</f>
        <v/>
      </c>
      <c r="K15" s="4" t="inlineStr"/>
      <c r="L15" s="4" t="inlineStr"/>
      <c r="M15" s="4" t="inlineStr"/>
      <c r="N15" s="4" t="inlineStr">
        <is>
          <t>No</t>
        </is>
      </c>
      <c r="O15" s="4" t="inlineStr">
        <is>
          <t>Unattempted</t>
        </is>
      </c>
    </row>
    <row r="16">
      <c r="A16" s="2" t="inlineStr">
        <is>
          <t>Company Based Questions</t>
        </is>
      </c>
      <c r="B16" s="2" t="inlineStr">
        <is>
          <t>Amazon Coding Interview Questions</t>
        </is>
      </c>
      <c r="C16" s="2" t="inlineStr">
        <is>
          <t>Prepare for your Amazon online assessment and Interview with most commonly asked coding questions.</t>
        </is>
      </c>
      <c r="D16" s="2" t="inlineStr">
        <is>
          <t>Amazon Coding Questions - Amazon Interview Questions</t>
        </is>
      </c>
      <c r="E16" s="2" t="n">
        <v>15</v>
      </c>
      <c r="F16" s="2" t="inlineStr">
        <is>
          <t>Array - Pascals or Khayyams triangle</t>
        </is>
      </c>
      <c r="G16" s="2" t="inlineStr">
        <is>
          <t>PREP01</t>
        </is>
      </c>
      <c r="H16" s="2" t="inlineStr"/>
      <c r="I16" s="2" t="inlineStr">
        <is>
          <t>Medium</t>
        </is>
      </c>
      <c r="J16" s="3">
        <f>HYPERLINK("https://www.codechef.com/problems/PREP01", "https://www.codechef.com/problems/PREP01")</f>
        <v/>
      </c>
      <c r="K16" s="2" t="inlineStr"/>
      <c r="L16" s="2" t="inlineStr"/>
      <c r="M16" s="2" t="inlineStr"/>
      <c r="N16" s="2" t="inlineStr">
        <is>
          <t>No</t>
        </is>
      </c>
      <c r="O16" s="2" t="inlineStr">
        <is>
          <t>Unattempted</t>
        </is>
      </c>
    </row>
    <row r="17">
      <c r="A17" s="4" t="inlineStr">
        <is>
          <t>Company Based Questions</t>
        </is>
      </c>
      <c r="B17" s="4" t="inlineStr">
        <is>
          <t>Amazon Coding Interview Questions</t>
        </is>
      </c>
      <c r="C17" s="4" t="inlineStr">
        <is>
          <t>Prepare for your Amazon online assessment and Interview with most commonly asked coding questions.</t>
        </is>
      </c>
      <c r="D17" s="4" t="inlineStr">
        <is>
          <t>Amazon Coding Questions - Amazon Interview Questions</t>
        </is>
      </c>
      <c r="E17" s="4" t="n">
        <v>16</v>
      </c>
      <c r="F17" s="4" t="inlineStr">
        <is>
          <t>Sliding Window Maximum</t>
        </is>
      </c>
      <c r="G17" s="4" t="inlineStr">
        <is>
          <t>PREP23</t>
        </is>
      </c>
      <c r="H17" s="4" t="inlineStr">
        <is>
          <t>1600</t>
        </is>
      </c>
      <c r="I17" s="4" t="inlineStr">
        <is>
          <t>Medium</t>
        </is>
      </c>
      <c r="J17" s="5">
        <f>HYPERLINK("https://www.codechef.com/problems/PREP23", "https://www.codechef.com/problems/PREP23")</f>
        <v/>
      </c>
      <c r="K17" s="4" t="inlineStr"/>
      <c r="L17" s="4" t="inlineStr"/>
      <c r="M17" s="4" t="inlineStr"/>
      <c r="N17" s="4" t="inlineStr">
        <is>
          <t>No</t>
        </is>
      </c>
      <c r="O17" s="4" t="inlineStr">
        <is>
          <t>Unattempted</t>
        </is>
      </c>
    </row>
    <row r="18">
      <c r="A18" s="2" t="inlineStr">
        <is>
          <t>Company Based Questions</t>
        </is>
      </c>
      <c r="B18" s="2" t="inlineStr">
        <is>
          <t>Amazon Coding Interview Questions</t>
        </is>
      </c>
      <c r="C18" s="2" t="inlineStr">
        <is>
          <t>Prepare for your Amazon online assessment and Interview with most commonly asked coding questions.</t>
        </is>
      </c>
      <c r="D18" s="2" t="inlineStr">
        <is>
          <t>Amazon Coding Questions - Amazon Interview Questions</t>
        </is>
      </c>
      <c r="E18" s="2" t="n">
        <v>17</v>
      </c>
      <c r="F18" s="2" t="inlineStr">
        <is>
          <t>Dynamic Programming - String Distance</t>
        </is>
      </c>
      <c r="G18" s="2" t="inlineStr">
        <is>
          <t>PREP32</t>
        </is>
      </c>
      <c r="H18" s="2" t="inlineStr"/>
      <c r="I18" s="2" t="inlineStr">
        <is>
          <t>Medium</t>
        </is>
      </c>
      <c r="J18" s="3">
        <f>HYPERLINK("https://www.codechef.com/problems/PREP32", "https://www.codechef.com/problems/PREP32")</f>
        <v/>
      </c>
      <c r="K18" s="2" t="inlineStr"/>
      <c r="L18" s="2" t="inlineStr"/>
      <c r="M18" s="2" t="inlineStr"/>
      <c r="N18" s="2" t="inlineStr">
        <is>
          <t>No</t>
        </is>
      </c>
      <c r="O18" s="2" t="inlineStr">
        <is>
          <t>Unattempted</t>
        </is>
      </c>
    </row>
    <row r="19">
      <c r="A19" s="4" t="inlineStr">
        <is>
          <t>Company Based Questions</t>
        </is>
      </c>
      <c r="B19" s="4" t="inlineStr">
        <is>
          <t>Amazon Coding Interview Questions</t>
        </is>
      </c>
      <c r="C19" s="4" t="inlineStr">
        <is>
          <t>Prepare for your Amazon online assessment and Interview with most commonly asked coding questions.</t>
        </is>
      </c>
      <c r="D19" s="4" t="inlineStr">
        <is>
          <t>Amazon Coding Questions - Amazon Interview Questions</t>
        </is>
      </c>
      <c r="E19" s="4" t="n">
        <v>18</v>
      </c>
      <c r="F19" s="4" t="inlineStr">
        <is>
          <t>Hashing - Four Sum</t>
        </is>
      </c>
      <c r="G19" s="4" t="inlineStr">
        <is>
          <t>PREP27</t>
        </is>
      </c>
      <c r="H19" s="4" t="inlineStr"/>
      <c r="I19" s="4" t="inlineStr">
        <is>
          <t>Medium</t>
        </is>
      </c>
      <c r="J19" s="5">
        <f>HYPERLINK("https://www.codechef.com/problems/PREP27", "https://www.codechef.com/problems/PREP27")</f>
        <v/>
      </c>
      <c r="K19" s="4" t="inlineStr"/>
      <c r="L19" s="4" t="inlineStr"/>
      <c r="M19" s="4" t="inlineStr"/>
      <c r="N19" s="4" t="inlineStr">
        <is>
          <t>No</t>
        </is>
      </c>
      <c r="O19" s="4" t="inlineStr">
        <is>
          <t>Unattempted</t>
        </is>
      </c>
    </row>
    <row r="20">
      <c r="A20" s="2" t="inlineStr">
        <is>
          <t>Company Based Questions</t>
        </is>
      </c>
      <c r="B20" s="2" t="inlineStr">
        <is>
          <t>Amazon Coding Interview Questions</t>
        </is>
      </c>
      <c r="C20" s="2" t="inlineStr">
        <is>
          <t>Prepare for your Amazon online assessment and Interview with most commonly asked coding questions.</t>
        </is>
      </c>
      <c r="D20" s="2" t="inlineStr">
        <is>
          <t>Amazon Coding Questions - Amazon Interview Questions</t>
        </is>
      </c>
      <c r="E20" s="2" t="n">
        <v>19</v>
      </c>
      <c r="F20" s="2" t="inlineStr">
        <is>
          <t>Largest Rectangle in Histogram</t>
        </is>
      </c>
      <c r="G20" s="2" t="inlineStr">
        <is>
          <t>PREP22</t>
        </is>
      </c>
      <c r="H20" s="2" t="inlineStr">
        <is>
          <t>1700</t>
        </is>
      </c>
      <c r="I20" s="2" t="inlineStr">
        <is>
          <t>Medium</t>
        </is>
      </c>
      <c r="J20" s="3">
        <f>HYPERLINK("https://www.codechef.com/problems/PREP22", "https://www.codechef.com/problems/PREP22")</f>
        <v/>
      </c>
      <c r="K20" s="2" t="inlineStr"/>
      <c r="L20" s="2" t="inlineStr">
        <is>
          <t>Data Structures, Queues, Stacks</t>
        </is>
      </c>
      <c r="M20" s="2" t="inlineStr"/>
      <c r="N20" s="2" t="inlineStr">
        <is>
          <t>No</t>
        </is>
      </c>
      <c r="O20" s="2" t="inlineStr">
        <is>
          <t>Unattempted</t>
        </is>
      </c>
    </row>
    <row r="21">
      <c r="A21" s="4" t="inlineStr">
        <is>
          <t>Company Based Questions</t>
        </is>
      </c>
      <c r="B21" s="4" t="inlineStr">
        <is>
          <t>Amazon Coding Interview Questions</t>
        </is>
      </c>
      <c r="C21" s="4" t="inlineStr">
        <is>
          <t>Prepare for your Amazon online assessment and Interview with most commonly asked coding questions.</t>
        </is>
      </c>
      <c r="D21" s="4" t="inlineStr">
        <is>
          <t>Amazon Coding Questions - Amazon Interview Questions</t>
        </is>
      </c>
      <c r="E21" s="4" t="n">
        <v>20</v>
      </c>
      <c r="F21" s="4" t="inlineStr">
        <is>
          <t>Graphs - Word Ladder</t>
        </is>
      </c>
      <c r="G21" s="4" t="inlineStr">
        <is>
          <t>PREP36</t>
        </is>
      </c>
      <c r="H21" s="4" t="inlineStr"/>
      <c r="I21" s="4" t="inlineStr">
        <is>
          <t>Hard</t>
        </is>
      </c>
      <c r="J21" s="5">
        <f>HYPERLINK("https://www.codechef.com/problems/PREP36", "https://www.codechef.com/problems/PREP36")</f>
        <v/>
      </c>
      <c r="K21" s="4" t="inlineStr"/>
      <c r="L21" s="4" t="inlineStr"/>
      <c r="M21" s="4" t="inlineStr"/>
      <c r="N21" s="4" t="inlineStr">
        <is>
          <t>No</t>
        </is>
      </c>
      <c r="O21" s="4" t="inlineStr">
        <is>
          <t>Unattempted</t>
        </is>
      </c>
    </row>
    <row r="22">
      <c r="A22" s="2" t="inlineStr">
        <is>
          <t>Company Based Questions</t>
        </is>
      </c>
      <c r="B22" s="2" t="inlineStr">
        <is>
          <t>Amazon Coding Interview Questions</t>
        </is>
      </c>
      <c r="C22" s="2" t="inlineStr">
        <is>
          <t>Prepare for your Amazon online assessment and Interview with most commonly asked coding questions.</t>
        </is>
      </c>
      <c r="D22" s="2" t="inlineStr">
        <is>
          <t>Amazon Coding Questions - Amazon Interview Questions</t>
        </is>
      </c>
      <c r="E22" s="2" t="n">
        <v>21</v>
      </c>
      <c r="F22" s="2" t="inlineStr">
        <is>
          <t>Previous smaller element</t>
        </is>
      </c>
      <c r="G22" s="2" t="inlineStr">
        <is>
          <t>PREP60</t>
        </is>
      </c>
      <c r="H22" s="2" t="inlineStr">
        <is>
          <t>1200</t>
        </is>
      </c>
      <c r="I22" s="2" t="inlineStr">
        <is>
          <t>Easy</t>
        </is>
      </c>
      <c r="J22" s="3">
        <f>HYPERLINK("https://www.codechef.com/problems/PREP60", "https://www.codechef.com/problems/PREP60")</f>
        <v/>
      </c>
      <c r="K22" s="2" t="inlineStr"/>
      <c r="L22" s="2" t="inlineStr"/>
      <c r="M22" s="2" t="inlineStr"/>
      <c r="N22" s="2" t="inlineStr">
        <is>
          <t>No</t>
        </is>
      </c>
      <c r="O22" s="2" t="inlineStr">
        <is>
          <t>Unattempted</t>
        </is>
      </c>
    </row>
    <row r="23">
      <c r="A23" s="4" t="inlineStr">
        <is>
          <t>Company Based Questions</t>
        </is>
      </c>
      <c r="B23" s="4" t="inlineStr">
        <is>
          <t>Amazon Coding Interview Questions</t>
        </is>
      </c>
      <c r="C23" s="4" t="inlineStr">
        <is>
          <t>Prepare for your Amazon online assessment and Interview with most commonly asked coding questions.</t>
        </is>
      </c>
      <c r="D23" s="4" t="inlineStr">
        <is>
          <t>Amazon Coding Questions - Amazon Interview Questions</t>
        </is>
      </c>
      <c r="E23" s="4" t="n">
        <v>22</v>
      </c>
      <c r="F23" s="4" t="inlineStr">
        <is>
          <t>Linked List - Swap nodes in pairs</t>
        </is>
      </c>
      <c r="G23" s="4" t="inlineStr">
        <is>
          <t>PREP54</t>
        </is>
      </c>
      <c r="H23" s="4" t="inlineStr"/>
      <c r="I23" s="4" t="inlineStr">
        <is>
          <t>Medium</t>
        </is>
      </c>
      <c r="J23" s="5">
        <f>HYPERLINK("https://www.codechef.com/problems/PREP54", "https://www.codechef.com/problems/PREP54")</f>
        <v/>
      </c>
      <c r="K23" s="4" t="inlineStr"/>
      <c r="L23" s="4" t="inlineStr"/>
      <c r="M23" s="4" t="inlineStr"/>
      <c r="N23" s="4" t="inlineStr">
        <is>
          <t>No</t>
        </is>
      </c>
      <c r="O23" s="4" t="inlineStr">
        <is>
          <t>Unattempted</t>
        </is>
      </c>
    </row>
    <row r="24">
      <c r="A24" s="2" t="inlineStr">
        <is>
          <t>Company Based Questions</t>
        </is>
      </c>
      <c r="B24" s="2" t="inlineStr">
        <is>
          <t>Amazon Coding Interview Questions</t>
        </is>
      </c>
      <c r="C24" s="2" t="inlineStr">
        <is>
          <t>Prepare for your Amazon online assessment and Interview with most commonly asked coding questions.</t>
        </is>
      </c>
      <c r="D24" s="2" t="inlineStr">
        <is>
          <t>Amazon Coding Questions - Amazon Interview Questions</t>
        </is>
      </c>
      <c r="E24" s="2" t="n">
        <v>23</v>
      </c>
      <c r="F24" s="2" t="inlineStr">
        <is>
          <t>Cycle in a linked list</t>
        </is>
      </c>
      <c r="G24" s="2" t="inlineStr">
        <is>
          <t>PREP58</t>
        </is>
      </c>
      <c r="H24" s="2" t="inlineStr">
        <is>
          <t>1100</t>
        </is>
      </c>
      <c r="I24" s="2" t="inlineStr">
        <is>
          <t>Easy</t>
        </is>
      </c>
      <c r="J24" s="3">
        <f>HYPERLINK("https://www.codechef.com/problems/PREP58", "https://www.codechef.com/problems/PREP58")</f>
        <v/>
      </c>
      <c r="K24" s="2" t="inlineStr"/>
      <c r="L24" s="2" t="inlineStr"/>
      <c r="M24" s="2" t="inlineStr"/>
      <c r="N24" s="2" t="inlineStr">
        <is>
          <t>No</t>
        </is>
      </c>
      <c r="O24" s="2" t="inlineStr">
        <is>
          <t>Unattempted</t>
        </is>
      </c>
    </row>
    <row r="25">
      <c r="A25" s="4" t="inlineStr">
        <is>
          <t>Company Based Questions</t>
        </is>
      </c>
      <c r="B25" s="4" t="inlineStr">
        <is>
          <t>Amazon Coding Interview Questions</t>
        </is>
      </c>
      <c r="C25" s="4" t="inlineStr">
        <is>
          <t>Prepare for your Amazon online assessment and Interview with most commonly asked coding questions.</t>
        </is>
      </c>
      <c r="D25" s="4" t="inlineStr">
        <is>
          <t>Amazon Coding Questions - Amazon Interview Questions</t>
        </is>
      </c>
      <c r="E25" s="4" t="n">
        <v>24</v>
      </c>
      <c r="F25" s="4" t="inlineStr">
        <is>
          <t>Linked List - Add Two Numbers As Lists</t>
        </is>
      </c>
      <c r="G25" s="4" t="inlineStr">
        <is>
          <t>PREP57</t>
        </is>
      </c>
      <c r="H25" s="4" t="inlineStr"/>
      <c r="I25" s="4" t="inlineStr">
        <is>
          <t>Medium</t>
        </is>
      </c>
      <c r="J25" s="5">
        <f>HYPERLINK("https://www.codechef.com/problems/PREP57", "https://www.codechef.com/problems/PREP57")</f>
        <v/>
      </c>
      <c r="K25" s="4" t="inlineStr"/>
      <c r="L25" s="4" t="inlineStr"/>
      <c r="M25" s="4" t="inlineStr"/>
      <c r="N25" s="4" t="inlineStr">
        <is>
          <t>No</t>
        </is>
      </c>
      <c r="O25" s="4" t="inlineStr">
        <is>
          <t>Unattempted</t>
        </is>
      </c>
    </row>
    <row r="26">
      <c r="A26" s="2" t="inlineStr">
        <is>
          <t>Company Based Questions</t>
        </is>
      </c>
      <c r="B26" s="2" t="inlineStr">
        <is>
          <t>Amazon Coding Interview Questions</t>
        </is>
      </c>
      <c r="C26" s="2" t="inlineStr">
        <is>
          <t>Prepare for your Amazon online assessment and Interview with most commonly asked coding questions.</t>
        </is>
      </c>
      <c r="D26" s="2" t="inlineStr">
        <is>
          <t>Amazon Coding Questions - Amazon Interview Questions</t>
        </is>
      </c>
      <c r="E26" s="2" t="n">
        <v>25</v>
      </c>
      <c r="F26" s="2" t="inlineStr">
        <is>
          <t>Hashing - Minimum Window Substring</t>
        </is>
      </c>
      <c r="G26" s="2" t="inlineStr">
        <is>
          <t>PREP51</t>
        </is>
      </c>
      <c r="H26" s="2" t="inlineStr"/>
      <c r="I26" s="2" t="inlineStr">
        <is>
          <t>Medium</t>
        </is>
      </c>
      <c r="J26" s="3">
        <f>HYPERLINK("https://www.codechef.com/problems/PREP51", "https://www.codechef.com/problems/PREP51")</f>
        <v/>
      </c>
      <c r="K26" s="2" t="inlineStr"/>
      <c r="L26" s="2" t="inlineStr">
        <is>
          <t>admin</t>
        </is>
      </c>
      <c r="M26" s="2" t="inlineStr"/>
      <c r="N26" s="2" t="inlineStr">
        <is>
          <t>No</t>
        </is>
      </c>
      <c r="O26" s="2" t="inlineStr">
        <is>
          <t>Unattempted</t>
        </is>
      </c>
    </row>
    <row r="27">
      <c r="A27" s="4" t="inlineStr">
        <is>
          <t>Company Based Questions</t>
        </is>
      </c>
      <c r="B27" s="4" t="inlineStr">
        <is>
          <t>Amazon Coding Interview Questions</t>
        </is>
      </c>
      <c r="C27" s="4" t="inlineStr">
        <is>
          <t>Prepare for your Amazon online assessment and Interview with most commonly asked coding questions.</t>
        </is>
      </c>
      <c r="D27" s="4" t="inlineStr">
        <is>
          <t>Amazon Coding Questions - Amazon Interview Questions</t>
        </is>
      </c>
      <c r="E27" s="4" t="n">
        <v>26</v>
      </c>
      <c r="F27" s="4" t="inlineStr">
        <is>
          <t>Graphs - Valid Path</t>
        </is>
      </c>
      <c r="G27" s="4" t="inlineStr">
        <is>
          <t>PREP49</t>
        </is>
      </c>
      <c r="H27" s="4" t="inlineStr"/>
      <c r="I27" s="4" t="inlineStr">
        <is>
          <t>Hard</t>
        </is>
      </c>
      <c r="J27" s="5">
        <f>HYPERLINK("https://www.codechef.com/problems/PREP49", "https://www.codechef.com/problems/PREP49")</f>
        <v/>
      </c>
      <c r="K27" s="4" t="inlineStr"/>
      <c r="L27" s="4" t="inlineStr"/>
      <c r="M27" s="4" t="inlineStr"/>
      <c r="N27" s="4" t="inlineStr">
        <is>
          <t>No</t>
        </is>
      </c>
      <c r="O27" s="4" t="inlineStr">
        <is>
          <t>Unattempted</t>
        </is>
      </c>
    </row>
    <row r="28">
      <c r="A28" s="2" t="inlineStr">
        <is>
          <t>Company Based Questions</t>
        </is>
      </c>
      <c r="B28" s="2" t="inlineStr">
        <is>
          <t>Microsoft Coding Interview Questions</t>
        </is>
      </c>
      <c r="C28" s="2" t="inlineStr">
        <is>
          <t>Prepare for your Microsoft online assessment and Interview with most commonly asked coding questions.</t>
        </is>
      </c>
      <c r="D28" s="2" t="inlineStr">
        <is>
          <t>Microsoft Coding Questions - Interview Problems</t>
        </is>
      </c>
      <c r="E28" s="2" t="n">
        <v>1</v>
      </c>
      <c r="F28" s="2" t="inlineStr">
        <is>
          <t>Petrol ki Problem</t>
        </is>
      </c>
      <c r="G28" s="2" t="inlineStr">
        <is>
          <t>PTRLP</t>
        </is>
      </c>
      <c r="H28" s="2" t="inlineStr"/>
      <c r="I28" s="2" t="inlineStr">
        <is>
          <t>Medium</t>
        </is>
      </c>
      <c r="J28" s="3">
        <f>HYPERLINK("https://www.codechef.com/problems/PTRLP", "https://www.codechef.com/problems/PTRLP")</f>
        <v/>
      </c>
      <c r="K28" s="2" t="inlineStr"/>
      <c r="L28" s="2" t="inlineStr"/>
      <c r="M28" s="2" t="inlineStr"/>
      <c r="N28" s="2" t="inlineStr">
        <is>
          <t>No</t>
        </is>
      </c>
      <c r="O28" s="2" t="inlineStr">
        <is>
          <t>Unattempted</t>
        </is>
      </c>
    </row>
    <row r="29">
      <c r="A29" s="4" t="inlineStr">
        <is>
          <t>Company Based Questions</t>
        </is>
      </c>
      <c r="B29" s="4" t="inlineStr">
        <is>
          <t>Microsoft Coding Interview Questions</t>
        </is>
      </c>
      <c r="C29" s="4" t="inlineStr">
        <is>
          <t>Prepare for your Microsoft online assessment and Interview with most commonly asked coding questions.</t>
        </is>
      </c>
      <c r="D29" s="4" t="inlineStr">
        <is>
          <t>Microsoft Coding Questions - Interview Problems</t>
        </is>
      </c>
      <c r="E29" s="4" t="n">
        <v>2</v>
      </c>
      <c r="F29" s="4" t="inlineStr">
        <is>
          <t>Dispute Resolving</t>
        </is>
      </c>
      <c r="G29" s="4" t="inlineStr">
        <is>
          <t>PAL_STRING</t>
        </is>
      </c>
      <c r="H29" s="4" t="inlineStr"/>
      <c r="I29" s="4" t="inlineStr">
        <is>
          <t>Medium</t>
        </is>
      </c>
      <c r="J29" s="5">
        <f>HYPERLINK("https://www.codechef.com/problems/PAL_STRING", "https://www.codechef.com/problems/PAL_STRING")</f>
        <v/>
      </c>
      <c r="K29" s="4" t="inlineStr"/>
      <c r="L29" s="4" t="inlineStr"/>
      <c r="M29" s="4" t="inlineStr"/>
      <c r="N29" s="4" t="inlineStr">
        <is>
          <t>No</t>
        </is>
      </c>
      <c r="O29" s="4" t="inlineStr">
        <is>
          <t>Unattempted</t>
        </is>
      </c>
    </row>
    <row r="30">
      <c r="A30" s="2" t="inlineStr">
        <is>
          <t>Company Based Questions</t>
        </is>
      </c>
      <c r="B30" s="2" t="inlineStr">
        <is>
          <t>Microsoft Coding Interview Questions</t>
        </is>
      </c>
      <c r="C30" s="2" t="inlineStr">
        <is>
          <t>Prepare for your Microsoft online assessment and Interview with most commonly asked coding questions.</t>
        </is>
      </c>
      <c r="D30" s="2" t="inlineStr">
        <is>
          <t>Microsoft Coding Questions - Interview Problems</t>
        </is>
      </c>
      <c r="E30" s="2" t="n">
        <v>3</v>
      </c>
      <c r="F30" s="2" t="inlineStr">
        <is>
          <t>Find Middle Element of Linked List</t>
        </is>
      </c>
      <c r="G30" s="2" t="inlineStr">
        <is>
          <t>LLMID</t>
        </is>
      </c>
      <c r="H30" s="2" t="inlineStr">
        <is>
          <t>1200</t>
        </is>
      </c>
      <c r="I30" s="2" t="inlineStr">
        <is>
          <t>Easy</t>
        </is>
      </c>
      <c r="J30" s="3">
        <f>HYPERLINK("https://www.codechef.com/problems/LLMID", "https://www.codechef.com/problems/LLMID")</f>
        <v/>
      </c>
      <c r="K30" s="2" t="inlineStr"/>
      <c r="L30" s="2" t="inlineStr"/>
      <c r="M30" s="2" t="inlineStr"/>
      <c r="N30" s="2" t="inlineStr">
        <is>
          <t>No</t>
        </is>
      </c>
      <c r="O30" s="2" t="inlineStr">
        <is>
          <t>Unattempted</t>
        </is>
      </c>
    </row>
    <row r="31">
      <c r="A31" s="4" t="inlineStr">
        <is>
          <t>Company Based Questions</t>
        </is>
      </c>
      <c r="B31" s="4" t="inlineStr">
        <is>
          <t>Microsoft Coding Interview Questions</t>
        </is>
      </c>
      <c r="C31" s="4" t="inlineStr">
        <is>
          <t>Prepare for your Microsoft online assessment and Interview with most commonly asked coding questions.</t>
        </is>
      </c>
      <c r="D31" s="4" t="inlineStr">
        <is>
          <t>Microsoft Coding Questions - Interview Problems</t>
        </is>
      </c>
      <c r="E31" s="4" t="n">
        <v>4</v>
      </c>
      <c r="F31" s="4" t="inlineStr">
        <is>
          <t>Reconstruct the Tree</t>
        </is>
      </c>
      <c r="G31" s="4" t="inlineStr">
        <is>
          <t>RECTREE</t>
        </is>
      </c>
      <c r="H31" s="4" t="inlineStr"/>
      <c r="I31" s="4" t="inlineStr">
        <is>
          <t>Medium</t>
        </is>
      </c>
      <c r="J31" s="5">
        <f>HYPERLINK("https://www.codechef.com/problems/RECTREE", "https://www.codechef.com/problems/RECTREE")</f>
        <v/>
      </c>
      <c r="K31" s="4" t="inlineStr"/>
      <c r="L31" s="4" t="inlineStr"/>
      <c r="M31" s="4" t="inlineStr"/>
      <c r="N31" s="4" t="inlineStr">
        <is>
          <t>No</t>
        </is>
      </c>
      <c r="O31" s="4" t="inlineStr">
        <is>
          <t>Unattempted</t>
        </is>
      </c>
    </row>
    <row r="32">
      <c r="A32" s="2" t="inlineStr">
        <is>
          <t>Company Based Questions</t>
        </is>
      </c>
      <c r="B32" s="2" t="inlineStr">
        <is>
          <t>Microsoft Coding Interview Questions</t>
        </is>
      </c>
      <c r="C32" s="2" t="inlineStr">
        <is>
          <t>Prepare for your Microsoft online assessment and Interview with most commonly asked coding questions.</t>
        </is>
      </c>
      <c r="D32" s="2" t="inlineStr">
        <is>
          <t>Microsoft Coding Questions - Interview Problems</t>
        </is>
      </c>
      <c r="E32" s="2" t="n">
        <v>5</v>
      </c>
      <c r="F32" s="2" t="inlineStr">
        <is>
          <t>Find the Subtree</t>
        </is>
      </c>
      <c r="G32" s="2" t="inlineStr">
        <is>
          <t>SUBTCH</t>
        </is>
      </c>
      <c r="H32" s="2" t="inlineStr"/>
      <c r="I32" s="2" t="inlineStr">
        <is>
          <t>Medium</t>
        </is>
      </c>
      <c r="J32" s="3">
        <f>HYPERLINK("https://www.codechef.com/problems/SUBTCH", "https://www.codechef.com/problems/SUBTCH")</f>
        <v/>
      </c>
      <c r="K32" s="2" t="inlineStr"/>
      <c r="L32" s="2" t="inlineStr"/>
      <c r="M32" s="2" t="inlineStr"/>
      <c r="N32" s="2" t="inlineStr">
        <is>
          <t>No</t>
        </is>
      </c>
      <c r="O32" s="2" t="inlineStr">
        <is>
          <t>Unattempted</t>
        </is>
      </c>
    </row>
    <row r="33">
      <c r="A33" s="4" t="inlineStr">
        <is>
          <t>Company Based Questions</t>
        </is>
      </c>
      <c r="B33" s="4" t="inlineStr">
        <is>
          <t>Microsoft Coding Interview Questions</t>
        </is>
      </c>
      <c r="C33" s="4" t="inlineStr">
        <is>
          <t>Prepare for your Microsoft online assessment and Interview with most commonly asked coding questions.</t>
        </is>
      </c>
      <c r="D33" s="4" t="inlineStr">
        <is>
          <t>Microsoft Coding Questions - Interview Problems</t>
        </is>
      </c>
      <c r="E33" s="4" t="n">
        <v>6</v>
      </c>
      <c r="F33" s="4" t="inlineStr">
        <is>
          <t>Find Next Smaller value in Linked List</t>
        </is>
      </c>
      <c r="G33" s="4" t="inlineStr">
        <is>
          <t>NSELL</t>
        </is>
      </c>
      <c r="H33" s="4" t="inlineStr">
        <is>
          <t>1600</t>
        </is>
      </c>
      <c r="I33" s="4" t="inlineStr">
        <is>
          <t>Medium</t>
        </is>
      </c>
      <c r="J33" s="5">
        <f>HYPERLINK("https://www.codechef.com/problems/NSELL", "https://www.codechef.com/problems/NSELL")</f>
        <v/>
      </c>
      <c r="K33" s="4" t="inlineStr"/>
      <c r="L33" s="4" t="inlineStr"/>
      <c r="M33" s="4" t="inlineStr"/>
      <c r="N33" s="4" t="inlineStr">
        <is>
          <t>No</t>
        </is>
      </c>
      <c r="O33" s="4" t="inlineStr">
        <is>
          <t>Unattempted</t>
        </is>
      </c>
    </row>
    <row r="34">
      <c r="A34" s="2" t="inlineStr">
        <is>
          <t>Company Based Questions</t>
        </is>
      </c>
      <c r="B34" s="2" t="inlineStr">
        <is>
          <t>Microsoft Coding Interview Questions</t>
        </is>
      </c>
      <c r="C34" s="2" t="inlineStr">
        <is>
          <t>Prepare for your Microsoft online assessment and Interview with most commonly asked coding questions.</t>
        </is>
      </c>
      <c r="D34" s="2" t="inlineStr">
        <is>
          <t>Microsoft Coding Questions - Interview Problems</t>
        </is>
      </c>
      <c r="E34" s="2" t="n">
        <v>7</v>
      </c>
      <c r="F34" s="2" t="inlineStr">
        <is>
          <t>Train Loop</t>
        </is>
      </c>
      <c r="G34" s="2" t="inlineStr">
        <is>
          <t>TRAINLOOP</t>
        </is>
      </c>
      <c r="H34" s="2" t="inlineStr"/>
      <c r="I34" s="2" t="inlineStr">
        <is>
          <t>Medium</t>
        </is>
      </c>
      <c r="J34" s="3">
        <f>HYPERLINK("https://www.codechef.com/problems/TRAINLOOP", "https://www.codechef.com/problems/TRAINLOOP")</f>
        <v/>
      </c>
      <c r="K34" s="2" t="inlineStr"/>
      <c r="L34" s="2" t="inlineStr"/>
      <c r="M34" s="2" t="inlineStr"/>
      <c r="N34" s="2" t="inlineStr">
        <is>
          <t>No</t>
        </is>
      </c>
      <c r="O34" s="2" t="inlineStr">
        <is>
          <t>Unattempted</t>
        </is>
      </c>
    </row>
    <row r="35">
      <c r="A35" s="4" t="inlineStr">
        <is>
          <t>Company Based Questions</t>
        </is>
      </c>
      <c r="B35" s="4" t="inlineStr">
        <is>
          <t>Microsoft Coding Interview Questions</t>
        </is>
      </c>
      <c r="C35" s="4" t="inlineStr">
        <is>
          <t>Prepare for your Microsoft online assessment and Interview with most commonly asked coding questions.</t>
        </is>
      </c>
      <c r="D35" s="4" t="inlineStr">
        <is>
          <t>Microsoft Coding Questions - Interview Problems</t>
        </is>
      </c>
      <c r="E35" s="4" t="n">
        <v>8</v>
      </c>
      <c r="F35" s="4" t="inlineStr">
        <is>
          <t>Flatten a Linked List</t>
        </is>
      </c>
      <c r="G35" s="4" t="inlineStr">
        <is>
          <t>STRANGELIST</t>
        </is>
      </c>
      <c r="H35" s="4" t="inlineStr">
        <is>
          <t>1600</t>
        </is>
      </c>
      <c r="I35" s="4" t="inlineStr">
        <is>
          <t>Medium</t>
        </is>
      </c>
      <c r="J35" s="5">
        <f>HYPERLINK("https://www.codechef.com/problems/STRANGELIST", "https://www.codechef.com/problems/STRANGELIST")</f>
        <v/>
      </c>
      <c r="K35" s="4" t="inlineStr"/>
      <c r="L35" s="4" t="inlineStr"/>
      <c r="M35" s="4" t="inlineStr"/>
      <c r="N35" s="4" t="inlineStr">
        <is>
          <t>No</t>
        </is>
      </c>
      <c r="O35" s="4" t="inlineStr">
        <is>
          <t>Unattempted</t>
        </is>
      </c>
    </row>
    <row r="36">
      <c r="A36" s="2" t="inlineStr">
        <is>
          <t>Company Based Questions</t>
        </is>
      </c>
      <c r="B36" s="2" t="inlineStr">
        <is>
          <t>Microsoft Coding Interview Questions</t>
        </is>
      </c>
      <c r="C36" s="2" t="inlineStr">
        <is>
          <t>Prepare for your Microsoft online assessment and Interview with most commonly asked coding questions.</t>
        </is>
      </c>
      <c r="D36" s="2" t="inlineStr">
        <is>
          <t>Microsoft Coding Questions - Interview Problems</t>
        </is>
      </c>
      <c r="E36" s="2" t="n">
        <v>9</v>
      </c>
      <c r="F36" s="2" t="inlineStr">
        <is>
          <t>Reverse a Linked List</t>
        </is>
      </c>
      <c r="G36" s="2" t="inlineStr">
        <is>
          <t>RTLL</t>
        </is>
      </c>
      <c r="H36" s="2" t="inlineStr">
        <is>
          <t>1400</t>
        </is>
      </c>
      <c r="I36" s="2" t="inlineStr">
        <is>
          <t>Medium</t>
        </is>
      </c>
      <c r="J36" s="3">
        <f>HYPERLINK("https://www.codechef.com/problems/RTLL", "https://www.codechef.com/problems/RTLL")</f>
        <v/>
      </c>
      <c r="K36" s="2" t="inlineStr"/>
      <c r="L36" s="2" t="inlineStr"/>
      <c r="M36" s="2" t="inlineStr"/>
      <c r="N36" s="2" t="inlineStr">
        <is>
          <t>No</t>
        </is>
      </c>
      <c r="O36" s="2" t="inlineStr">
        <is>
          <t>Unattempted</t>
        </is>
      </c>
    </row>
    <row r="37">
      <c r="A37" s="4" t="inlineStr">
        <is>
          <t>Company Based Questions</t>
        </is>
      </c>
      <c r="B37" s="4" t="inlineStr">
        <is>
          <t>Microsoft Coding Interview Questions</t>
        </is>
      </c>
      <c r="C37" s="4" t="inlineStr">
        <is>
          <t>Prepare for your Microsoft online assessment and Interview with most commonly asked coding questions.</t>
        </is>
      </c>
      <c r="D37" s="4" t="inlineStr">
        <is>
          <t>Microsoft Coding Questions - Interview Problems</t>
        </is>
      </c>
      <c r="E37" s="4" t="n">
        <v>10</v>
      </c>
      <c r="F37" s="4" t="inlineStr">
        <is>
          <t>Array - Addition</t>
        </is>
      </c>
      <c r="G37" s="4" t="inlineStr">
        <is>
          <t>PREP05</t>
        </is>
      </c>
      <c r="H37" s="4" t="inlineStr"/>
      <c r="I37" s="4" t="inlineStr">
        <is>
          <t>Easy</t>
        </is>
      </c>
      <c r="J37" s="5">
        <f>HYPERLINK("https://www.codechef.com/problems/PREP05", "https://www.codechef.com/problems/PREP05")</f>
        <v/>
      </c>
      <c r="K37" s="4" t="inlineStr"/>
      <c r="L37" s="4" t="inlineStr"/>
      <c r="M37" s="4" t="inlineStr"/>
      <c r="N37" s="4" t="inlineStr">
        <is>
          <t>No</t>
        </is>
      </c>
      <c r="O37" s="4" t="inlineStr">
        <is>
          <t>Unattempted</t>
        </is>
      </c>
    </row>
    <row r="38">
      <c r="A38" s="2" t="inlineStr">
        <is>
          <t>Company Based Questions</t>
        </is>
      </c>
      <c r="B38" s="2" t="inlineStr">
        <is>
          <t>Microsoft Coding Interview Questions</t>
        </is>
      </c>
      <c r="C38" s="2" t="inlineStr">
        <is>
          <t>Prepare for your Microsoft online assessment and Interview with most commonly asked coding questions.</t>
        </is>
      </c>
      <c r="D38" s="2" t="inlineStr">
        <is>
          <t>Microsoft Coding Questions - Interview Problems</t>
        </is>
      </c>
      <c r="E38" s="2" t="n">
        <v>11</v>
      </c>
      <c r="F38" s="2" t="inlineStr">
        <is>
          <t>Hashing - Four Sum</t>
        </is>
      </c>
      <c r="G38" s="2" t="inlineStr">
        <is>
          <t>PREP27</t>
        </is>
      </c>
      <c r="H38" s="2" t="inlineStr"/>
      <c r="I38" s="2" t="inlineStr">
        <is>
          <t>Medium</t>
        </is>
      </c>
      <c r="J38" s="3">
        <f>HYPERLINK("https://www.codechef.com/problems/PREP27", "https://www.codechef.com/problems/PREP27")</f>
        <v/>
      </c>
      <c r="K38" s="2" t="inlineStr"/>
      <c r="L38" s="2" t="inlineStr"/>
      <c r="M38" s="2" t="inlineStr"/>
      <c r="N38" s="2" t="inlineStr">
        <is>
          <t>No</t>
        </is>
      </c>
      <c r="O38" s="2" t="inlineStr">
        <is>
          <t>Unattempted</t>
        </is>
      </c>
    </row>
    <row r="39">
      <c r="A39" s="4" t="inlineStr">
        <is>
          <t>Company Based Questions</t>
        </is>
      </c>
      <c r="B39" s="4" t="inlineStr">
        <is>
          <t>Microsoft Coding Interview Questions</t>
        </is>
      </c>
      <c r="C39" s="4" t="inlineStr">
        <is>
          <t>Prepare for your Microsoft online assessment and Interview with most commonly asked coding questions.</t>
        </is>
      </c>
      <c r="D39" s="4" t="inlineStr">
        <is>
          <t>Microsoft Coding Questions - Interview Problems</t>
        </is>
      </c>
      <c r="E39" s="4" t="n">
        <v>12</v>
      </c>
      <c r="F39" s="4" t="inlineStr">
        <is>
          <t>Largest Rectangle in Histogram</t>
        </is>
      </c>
      <c r="G39" s="4" t="inlineStr">
        <is>
          <t>PREP22</t>
        </is>
      </c>
      <c r="H39" s="4" t="inlineStr">
        <is>
          <t>1700</t>
        </is>
      </c>
      <c r="I39" s="4" t="inlineStr">
        <is>
          <t>Medium</t>
        </is>
      </c>
      <c r="J39" s="5">
        <f>HYPERLINK("https://www.codechef.com/problems/PREP22", "https://www.codechef.com/problems/PREP22")</f>
        <v/>
      </c>
      <c r="K39" s="4" t="inlineStr"/>
      <c r="L39" s="4" t="inlineStr">
        <is>
          <t>Data Structures, Queues, Stacks</t>
        </is>
      </c>
      <c r="M39" s="4" t="inlineStr"/>
      <c r="N39" s="4" t="inlineStr">
        <is>
          <t>No</t>
        </is>
      </c>
      <c r="O39" s="4" t="inlineStr">
        <is>
          <t>Unattempted</t>
        </is>
      </c>
    </row>
    <row r="40">
      <c r="A40" s="2" t="inlineStr">
        <is>
          <t>Company Based Questions</t>
        </is>
      </c>
      <c r="B40" s="2" t="inlineStr">
        <is>
          <t>Microsoft Coding Interview Questions</t>
        </is>
      </c>
      <c r="C40" s="2" t="inlineStr">
        <is>
          <t>Prepare for your Microsoft online assessment and Interview with most commonly asked coding questions.</t>
        </is>
      </c>
      <c r="D40" s="2" t="inlineStr">
        <is>
          <t>Microsoft Coding Questions - Interview Problems</t>
        </is>
      </c>
      <c r="E40" s="2" t="n">
        <v>13</v>
      </c>
      <c r="F40" s="2" t="inlineStr">
        <is>
          <t>Linked List - Swap nodes in pairs</t>
        </is>
      </c>
      <c r="G40" s="2" t="inlineStr">
        <is>
          <t>PREP54</t>
        </is>
      </c>
      <c r="H40" s="2" t="inlineStr"/>
      <c r="I40" s="2" t="inlineStr">
        <is>
          <t>Medium</t>
        </is>
      </c>
      <c r="J40" s="3">
        <f>HYPERLINK("https://www.codechef.com/problems/PREP54", "https://www.codechef.com/problems/PREP54")</f>
        <v/>
      </c>
      <c r="K40" s="2" t="inlineStr"/>
      <c r="L40" s="2" t="inlineStr"/>
      <c r="M40" s="2" t="inlineStr"/>
      <c r="N40" s="2" t="inlineStr">
        <is>
          <t>No</t>
        </is>
      </c>
      <c r="O40" s="2" t="inlineStr">
        <is>
          <t>Unattempted</t>
        </is>
      </c>
    </row>
    <row r="41">
      <c r="A41" s="4" t="inlineStr">
        <is>
          <t>Company Based Questions</t>
        </is>
      </c>
      <c r="B41" s="4" t="inlineStr">
        <is>
          <t>Microsoft Coding Interview Questions</t>
        </is>
      </c>
      <c r="C41" s="4" t="inlineStr">
        <is>
          <t>Prepare for your Microsoft online assessment and Interview with most commonly asked coding questions.</t>
        </is>
      </c>
      <c r="D41" s="4" t="inlineStr">
        <is>
          <t>Microsoft Coding Questions - Interview Problems</t>
        </is>
      </c>
      <c r="E41" s="4" t="n">
        <v>14</v>
      </c>
      <c r="F41" s="4" t="inlineStr">
        <is>
          <t>Trees - Path Sum</t>
        </is>
      </c>
      <c r="G41" s="4" t="inlineStr">
        <is>
          <t>PREP65</t>
        </is>
      </c>
      <c r="H41" s="4" t="inlineStr"/>
      <c r="I41" s="4" t="inlineStr">
        <is>
          <t>Medium</t>
        </is>
      </c>
      <c r="J41" s="5">
        <f>HYPERLINK("https://www.codechef.com/problems/PREP65", "https://www.codechef.com/problems/PREP65")</f>
        <v/>
      </c>
      <c r="K41" s="4" t="inlineStr"/>
      <c r="L41" s="4" t="inlineStr"/>
      <c r="M41" s="4" t="inlineStr"/>
      <c r="N41" s="4" t="inlineStr">
        <is>
          <t>No</t>
        </is>
      </c>
      <c r="O41" s="4" t="inlineStr">
        <is>
          <t>Unattempted</t>
        </is>
      </c>
    </row>
    <row r="42">
      <c r="A42" s="2" t="inlineStr">
        <is>
          <t>Company Based Questions</t>
        </is>
      </c>
      <c r="B42" s="2" t="inlineStr">
        <is>
          <t>Google Interview Questions</t>
        </is>
      </c>
      <c r="C42" s="2" t="inlineStr">
        <is>
          <t>Prepare for your Google online assessment and Interview with most commonly asked coding questions.</t>
        </is>
      </c>
      <c r="D42" s="2" t="inlineStr">
        <is>
          <t>Google Coding Questions - Practice Problem</t>
        </is>
      </c>
      <c r="E42" s="2" t="n">
        <v>1</v>
      </c>
      <c r="F42" s="2" t="inlineStr">
        <is>
          <t>Sub-array Sum</t>
        </is>
      </c>
      <c r="G42" s="2" t="inlineStr">
        <is>
          <t>SUBASUM</t>
        </is>
      </c>
      <c r="H42" s="2" t="inlineStr"/>
      <c r="I42" s="2" t="inlineStr">
        <is>
          <t>Hard</t>
        </is>
      </c>
      <c r="J42" s="3">
        <f>HYPERLINK("https://www.codechef.com/problems/SUBASUM", "https://www.codechef.com/problems/SUBASUM")</f>
        <v/>
      </c>
      <c r="K42" s="2" t="inlineStr"/>
      <c r="L42" s="2" t="inlineStr"/>
      <c r="M42" s="2" t="inlineStr"/>
      <c r="N42" s="2" t="inlineStr">
        <is>
          <t>No</t>
        </is>
      </c>
      <c r="O42" s="2" t="inlineStr">
        <is>
          <t>Unattempted</t>
        </is>
      </c>
    </row>
    <row r="43">
      <c r="A43" s="4" t="inlineStr">
        <is>
          <t>Company Based Questions</t>
        </is>
      </c>
      <c r="B43" s="4" t="inlineStr">
        <is>
          <t>Google Interview Questions</t>
        </is>
      </c>
      <c r="C43" s="4" t="inlineStr">
        <is>
          <t>Prepare for your Google online assessment and Interview with most commonly asked coding questions.</t>
        </is>
      </c>
      <c r="D43" s="4" t="inlineStr">
        <is>
          <t>Google Coding Questions - Practice Problem</t>
        </is>
      </c>
      <c r="E43" s="4" t="n">
        <v>2</v>
      </c>
      <c r="F43" s="4" t="inlineStr">
        <is>
          <t>Petrol ki Problem</t>
        </is>
      </c>
      <c r="G43" s="4" t="inlineStr">
        <is>
          <t>PTRLP</t>
        </is>
      </c>
      <c r="H43" s="4" t="inlineStr"/>
      <c r="I43" s="4" t="inlineStr">
        <is>
          <t>Medium</t>
        </is>
      </c>
      <c r="J43" s="5">
        <f>HYPERLINK("https://www.codechef.com/problems/PTRLP", "https://www.codechef.com/problems/PTRLP")</f>
        <v/>
      </c>
      <c r="K43" s="4" t="inlineStr"/>
      <c r="L43" s="4" t="inlineStr"/>
      <c r="M43" s="4" t="inlineStr"/>
      <c r="N43" s="4" t="inlineStr">
        <is>
          <t>No</t>
        </is>
      </c>
      <c r="O43" s="4" t="inlineStr">
        <is>
          <t>Unattempted</t>
        </is>
      </c>
    </row>
    <row r="44">
      <c r="A44" s="2" t="inlineStr">
        <is>
          <t>Company Based Questions</t>
        </is>
      </c>
      <c r="B44" s="2" t="inlineStr">
        <is>
          <t>Google Interview Questions</t>
        </is>
      </c>
      <c r="C44" s="2" t="inlineStr">
        <is>
          <t>Prepare for your Google online assessment and Interview with most commonly asked coding questions.</t>
        </is>
      </c>
      <c r="D44" s="2" t="inlineStr">
        <is>
          <t>Google Coding Questions - Practice Problem</t>
        </is>
      </c>
      <c r="E44" s="2" t="n">
        <v>3</v>
      </c>
      <c r="F44" s="2" t="inlineStr">
        <is>
          <t>Maximum Area</t>
        </is>
      </c>
      <c r="G44" s="2" t="inlineStr">
        <is>
          <t>MAXREC</t>
        </is>
      </c>
      <c r="H44" s="2" t="inlineStr">
        <is>
          <t>1800</t>
        </is>
      </c>
      <c r="I44" s="2" t="inlineStr">
        <is>
          <t>Medium</t>
        </is>
      </c>
      <c r="J44" s="3">
        <f>HYPERLINK("https://www.codechef.com/problems/MAXREC", "https://www.codechef.com/problems/MAXREC")</f>
        <v/>
      </c>
      <c r="K44" s="2" t="inlineStr"/>
      <c r="L44" s="2" t="inlineStr"/>
      <c r="M44" s="2" t="inlineStr"/>
      <c r="N44" s="2" t="inlineStr">
        <is>
          <t>No</t>
        </is>
      </c>
      <c r="O44" s="2" t="inlineStr">
        <is>
          <t>Unattempted</t>
        </is>
      </c>
    </row>
    <row r="45">
      <c r="A45" s="4" t="inlineStr">
        <is>
          <t>Company Based Questions</t>
        </is>
      </c>
      <c r="B45" s="4" t="inlineStr">
        <is>
          <t>Google Interview Questions</t>
        </is>
      </c>
      <c r="C45" s="4" t="inlineStr">
        <is>
          <t>Prepare for your Google online assessment and Interview with most commonly asked coding questions.</t>
        </is>
      </c>
      <c r="D45" s="4" t="inlineStr">
        <is>
          <t>Google Coding Questions - Practice Problem</t>
        </is>
      </c>
      <c r="E45" s="4" t="n">
        <v>4</v>
      </c>
      <c r="F45" s="4" t="inlineStr">
        <is>
          <t>Counting Nodes</t>
        </is>
      </c>
      <c r="G45" s="4" t="inlineStr">
        <is>
          <t>CNTND</t>
        </is>
      </c>
      <c r="H45" s="4" t="inlineStr"/>
      <c r="I45" s="4" t="inlineStr">
        <is>
          <t>Medium</t>
        </is>
      </c>
      <c r="J45" s="5">
        <f>HYPERLINK("https://www.codechef.com/problems/CNTND", "https://www.codechef.com/problems/CNTND")</f>
        <v/>
      </c>
      <c r="K45" s="4" t="inlineStr"/>
      <c r="L45" s="4" t="inlineStr"/>
      <c r="M45" s="4" t="inlineStr"/>
      <c r="N45" s="4" t="inlineStr">
        <is>
          <t>No</t>
        </is>
      </c>
      <c r="O45" s="4" t="inlineStr">
        <is>
          <t>Unattempted</t>
        </is>
      </c>
    </row>
    <row r="46">
      <c r="A46" s="2" t="inlineStr">
        <is>
          <t>Company Based Questions</t>
        </is>
      </c>
      <c r="B46" s="2" t="inlineStr">
        <is>
          <t>Google Interview Questions</t>
        </is>
      </c>
      <c r="C46" s="2" t="inlineStr">
        <is>
          <t>Prepare for your Google online assessment and Interview with most commonly asked coding questions.</t>
        </is>
      </c>
      <c r="D46" s="2" t="inlineStr">
        <is>
          <t>Google Coding Questions - Practice Problem</t>
        </is>
      </c>
      <c r="E46" s="2" t="n">
        <v>5</v>
      </c>
      <c r="F46" s="2" t="inlineStr">
        <is>
          <t>Trapping Rainwater</t>
        </is>
      </c>
      <c r="G46" s="2" t="inlineStr">
        <is>
          <t>PREP19</t>
        </is>
      </c>
      <c r="H46" s="2" t="inlineStr"/>
      <c r="I46" s="2" t="inlineStr">
        <is>
          <t>Medium</t>
        </is>
      </c>
      <c r="J46" s="3">
        <f>HYPERLINK("https://www.codechef.com/problems/PREP19", "https://www.codechef.com/problems/PREP19")</f>
        <v/>
      </c>
      <c r="K46" s="2" t="inlineStr"/>
      <c r="L46" s="2" t="inlineStr"/>
      <c r="M46" s="2" t="inlineStr"/>
      <c r="N46" s="2" t="inlineStr">
        <is>
          <t>No</t>
        </is>
      </c>
      <c r="O46" s="2" t="inlineStr">
        <is>
          <t>Unattempted</t>
        </is>
      </c>
    </row>
    <row r="47">
      <c r="A47" s="4" t="inlineStr">
        <is>
          <t>Company Based Questions</t>
        </is>
      </c>
      <c r="B47" s="4" t="inlineStr">
        <is>
          <t>Google Interview Questions</t>
        </is>
      </c>
      <c r="C47" s="4" t="inlineStr">
        <is>
          <t>Prepare for your Google online assessment and Interview with most commonly asked coding questions.</t>
        </is>
      </c>
      <c r="D47" s="4" t="inlineStr">
        <is>
          <t>Google Coding Questions - Practice Problem</t>
        </is>
      </c>
      <c r="E47" s="4" t="n">
        <v>6</v>
      </c>
      <c r="F47" s="4" t="inlineStr">
        <is>
          <t>Dynamic Programming - String Distance</t>
        </is>
      </c>
      <c r="G47" s="4" t="inlineStr">
        <is>
          <t>PREP32</t>
        </is>
      </c>
      <c r="H47" s="4" t="inlineStr"/>
      <c r="I47" s="4" t="inlineStr">
        <is>
          <t>Medium</t>
        </is>
      </c>
      <c r="J47" s="5">
        <f>HYPERLINK("https://www.codechef.com/problems/PREP32", "https://www.codechef.com/problems/PREP32")</f>
        <v/>
      </c>
      <c r="K47" s="4" t="inlineStr"/>
      <c r="L47" s="4" t="inlineStr"/>
      <c r="M47" s="4" t="inlineStr"/>
      <c r="N47" s="4" t="inlineStr">
        <is>
          <t>No</t>
        </is>
      </c>
      <c r="O47" s="4" t="inlineStr">
        <is>
          <t>Unattempted</t>
        </is>
      </c>
    </row>
    <row r="48">
      <c r="A48" s="2" t="inlineStr">
        <is>
          <t>Company Based Questions</t>
        </is>
      </c>
      <c r="B48" s="2" t="inlineStr">
        <is>
          <t>Google Interview Questions</t>
        </is>
      </c>
      <c r="C48" s="2" t="inlineStr">
        <is>
          <t>Prepare for your Google online assessment and Interview with most commonly asked coding questions.</t>
        </is>
      </c>
      <c r="D48" s="2" t="inlineStr">
        <is>
          <t>Google Coding Questions - Practice Problem</t>
        </is>
      </c>
      <c r="E48" s="2" t="n">
        <v>7</v>
      </c>
      <c r="F48" s="2" t="inlineStr">
        <is>
          <t>Hashing - Four Sum</t>
        </is>
      </c>
      <c r="G48" s="2" t="inlineStr">
        <is>
          <t>PREP27</t>
        </is>
      </c>
      <c r="H48" s="2" t="inlineStr"/>
      <c r="I48" s="2" t="inlineStr">
        <is>
          <t>Medium</t>
        </is>
      </c>
      <c r="J48" s="3">
        <f>HYPERLINK("https://www.codechef.com/problems/PREP27", "https://www.codechef.com/problems/PREP27")</f>
        <v/>
      </c>
      <c r="K48" s="2" t="inlineStr"/>
      <c r="L48" s="2" t="inlineStr"/>
      <c r="M48" s="2" t="inlineStr"/>
      <c r="N48" s="2" t="inlineStr">
        <is>
          <t>No</t>
        </is>
      </c>
      <c r="O48" s="2" t="inlineStr">
        <is>
          <t>Unattempted</t>
        </is>
      </c>
    </row>
    <row r="49">
      <c r="A49" s="4" t="inlineStr">
        <is>
          <t>Company Based Questions</t>
        </is>
      </c>
      <c r="B49" s="4" t="inlineStr">
        <is>
          <t>Google Interview Questions</t>
        </is>
      </c>
      <c r="C49" s="4" t="inlineStr">
        <is>
          <t>Prepare for your Google online assessment and Interview with most commonly asked coding questions.</t>
        </is>
      </c>
      <c r="D49" s="4" t="inlineStr">
        <is>
          <t>Google Coding Questions - Practice Problem</t>
        </is>
      </c>
      <c r="E49" s="4" t="n">
        <v>8</v>
      </c>
      <c r="F49" s="4" t="inlineStr">
        <is>
          <t>Graphs - Word Ladder</t>
        </is>
      </c>
      <c r="G49" s="4" t="inlineStr">
        <is>
          <t>PREP36</t>
        </is>
      </c>
      <c r="H49" s="4" t="inlineStr"/>
      <c r="I49" s="4" t="inlineStr">
        <is>
          <t>Hard</t>
        </is>
      </c>
      <c r="J49" s="5">
        <f>HYPERLINK("https://www.codechef.com/problems/PREP36", "https://www.codechef.com/problems/PREP36")</f>
        <v/>
      </c>
      <c r="K49" s="4" t="inlineStr"/>
      <c r="L49" s="4" t="inlineStr"/>
      <c r="M49" s="4" t="inlineStr"/>
      <c r="N49" s="4" t="inlineStr">
        <is>
          <t>No</t>
        </is>
      </c>
      <c r="O49" s="4" t="inlineStr">
        <is>
          <t>Unattempted</t>
        </is>
      </c>
    </row>
    <row r="50">
      <c r="A50" s="2" t="inlineStr">
        <is>
          <t>Company Based Questions</t>
        </is>
      </c>
      <c r="B50" s="2" t="inlineStr">
        <is>
          <t>Google Interview Questions</t>
        </is>
      </c>
      <c r="C50" s="2" t="inlineStr">
        <is>
          <t>Prepare for your Google online assessment and Interview with most commonly asked coding questions.</t>
        </is>
      </c>
      <c r="D50" s="2" t="inlineStr">
        <is>
          <t>Google Coding Questions - Practice Problem</t>
        </is>
      </c>
      <c r="E50" s="2" t="n">
        <v>9</v>
      </c>
      <c r="F50" s="2" t="inlineStr">
        <is>
          <t>Graphs - Red Blue Lakes</t>
        </is>
      </c>
      <c r="G50" s="2" t="inlineStr">
        <is>
          <t>PREP37</t>
        </is>
      </c>
      <c r="H50" s="2" t="inlineStr"/>
      <c r="I50" s="2" t="inlineStr">
        <is>
          <t>Medium</t>
        </is>
      </c>
      <c r="J50" s="3">
        <f>HYPERLINK("https://www.codechef.com/problems/PREP37", "https://www.codechef.com/problems/PREP37")</f>
        <v/>
      </c>
      <c r="K50" s="2" t="inlineStr"/>
      <c r="L50" s="2" t="inlineStr"/>
      <c r="M50" s="2" t="inlineStr"/>
      <c r="N50" s="2" t="inlineStr">
        <is>
          <t>No</t>
        </is>
      </c>
      <c r="O50" s="2" t="inlineStr">
        <is>
          <t>Unattempted</t>
        </is>
      </c>
    </row>
    <row r="51">
      <c r="A51" s="4" t="inlineStr">
        <is>
          <t>Company Based Questions</t>
        </is>
      </c>
      <c r="B51" s="4" t="inlineStr">
        <is>
          <t>Google Interview Questions</t>
        </is>
      </c>
      <c r="C51" s="4" t="inlineStr">
        <is>
          <t>Prepare for your Google online assessment and Interview with most commonly asked coding questions.</t>
        </is>
      </c>
      <c r="D51" s="4" t="inlineStr">
        <is>
          <t>Google Coding Questions - Practice Problem</t>
        </is>
      </c>
      <c r="E51" s="4" t="n">
        <v>10</v>
      </c>
      <c r="F51" s="4" t="inlineStr">
        <is>
          <t>Maximum Product Subarray</t>
        </is>
      </c>
      <c r="G51" s="4" t="inlineStr">
        <is>
          <t>PREP48</t>
        </is>
      </c>
      <c r="H51" s="4" t="inlineStr"/>
      <c r="I51" s="4" t="inlineStr">
        <is>
          <t>Medium</t>
        </is>
      </c>
      <c r="J51" s="5">
        <f>HYPERLINK("https://www.codechef.com/problems/PREP48", "https://www.codechef.com/problems/PREP48")</f>
        <v/>
      </c>
      <c r="K51" s="4" t="inlineStr"/>
      <c r="L51" s="4" t="inlineStr"/>
      <c r="M51" s="4" t="inlineStr"/>
      <c r="N51" s="4" t="inlineStr">
        <is>
          <t>No</t>
        </is>
      </c>
      <c r="O51" s="4" t="inlineStr">
        <is>
          <t>Unattempted</t>
        </is>
      </c>
    </row>
    <row r="52">
      <c r="A52" s="2" t="inlineStr">
        <is>
          <t>Company Based Questions</t>
        </is>
      </c>
      <c r="B52" s="2" t="inlineStr">
        <is>
          <t>Google Interview Questions</t>
        </is>
      </c>
      <c r="C52" s="2" t="inlineStr">
        <is>
          <t>Prepare for your Google online assessment and Interview with most commonly asked coding questions.</t>
        </is>
      </c>
      <c r="D52" s="2" t="inlineStr">
        <is>
          <t>Google Coding Questions - Practice Problem</t>
        </is>
      </c>
      <c r="E52" s="2" t="n">
        <v>11</v>
      </c>
      <c r="F52" s="2" t="inlineStr">
        <is>
          <t>Backtracking - Find Valid Parenthesis</t>
        </is>
      </c>
      <c r="G52" s="2" t="inlineStr">
        <is>
          <t>PREP41</t>
        </is>
      </c>
      <c r="H52" s="2" t="inlineStr"/>
      <c r="I52" s="2" t="inlineStr">
        <is>
          <t>Hard</t>
        </is>
      </c>
      <c r="J52" s="3">
        <f>HYPERLINK("https://www.codechef.com/problems/PREP41", "https://www.codechef.com/problems/PREP41")</f>
        <v/>
      </c>
      <c r="K52" s="2" t="inlineStr"/>
      <c r="L52" s="2" t="inlineStr"/>
      <c r="M52" s="2" t="inlineStr"/>
      <c r="N52" s="2" t="inlineStr">
        <is>
          <t>No</t>
        </is>
      </c>
      <c r="O52" s="2" t="inlineStr">
        <is>
          <t>Unattempted</t>
        </is>
      </c>
    </row>
    <row r="53">
      <c r="A53" s="4" t="inlineStr">
        <is>
          <t>Company Based Questions</t>
        </is>
      </c>
      <c r="B53" s="4" t="inlineStr">
        <is>
          <t>Adobe Coding Interview Questions</t>
        </is>
      </c>
      <c r="C53" s="4" t="inlineStr">
        <is>
          <t>Prepare for your Adobe online assessment and Interview with most commonly asked coding questions.</t>
        </is>
      </c>
      <c r="D53" s="4" t="inlineStr">
        <is>
          <t>Adobe Coding Questions - Practice Problems</t>
        </is>
      </c>
      <c r="E53" s="4" t="n">
        <v>1</v>
      </c>
      <c r="F53" s="4" t="inlineStr">
        <is>
          <t>Jump To The End</t>
        </is>
      </c>
      <c r="G53" s="4" t="inlineStr">
        <is>
          <t>JUMPEND</t>
        </is>
      </c>
      <c r="H53" s="4" t="inlineStr"/>
      <c r="I53" s="4" t="inlineStr">
        <is>
          <t>Medium</t>
        </is>
      </c>
      <c r="J53" s="5">
        <f>HYPERLINK("https://www.codechef.com/problems/JUMPEND", "https://www.codechef.com/problems/JUMPEND")</f>
        <v/>
      </c>
      <c r="K53" s="4" t="inlineStr"/>
      <c r="L53" s="4" t="inlineStr"/>
      <c r="M53" s="4" t="inlineStr"/>
      <c r="N53" s="4" t="inlineStr">
        <is>
          <t>No</t>
        </is>
      </c>
      <c r="O53" s="4" t="inlineStr">
        <is>
          <t>Unattempted</t>
        </is>
      </c>
    </row>
    <row r="54">
      <c r="A54" s="2" t="inlineStr">
        <is>
          <t>Company Based Questions</t>
        </is>
      </c>
      <c r="B54" s="2" t="inlineStr">
        <is>
          <t>Adobe Coding Interview Questions</t>
        </is>
      </c>
      <c r="C54" s="2" t="inlineStr">
        <is>
          <t>Prepare for your Adobe online assessment and Interview with most commonly asked coding questions.</t>
        </is>
      </c>
      <c r="D54" s="2" t="inlineStr">
        <is>
          <t>Adobe Coding Questions - Practice Problems</t>
        </is>
      </c>
      <c r="E54" s="2" t="n">
        <v>2</v>
      </c>
      <c r="F54" s="2" t="inlineStr">
        <is>
          <t>Petrol ki Problem</t>
        </is>
      </c>
      <c r="G54" s="2" t="inlineStr">
        <is>
          <t>PTRLP</t>
        </is>
      </c>
      <c r="H54" s="2" t="inlineStr"/>
      <c r="I54" s="2" t="inlineStr">
        <is>
          <t>Medium</t>
        </is>
      </c>
      <c r="J54" s="3">
        <f>HYPERLINK("https://www.codechef.com/problems/PTRLP", "https://www.codechef.com/problems/PTRLP")</f>
        <v/>
      </c>
      <c r="K54" s="2" t="inlineStr"/>
      <c r="L54" s="2" t="inlineStr"/>
      <c r="M54" s="2" t="inlineStr"/>
      <c r="N54" s="2" t="inlineStr">
        <is>
          <t>No</t>
        </is>
      </c>
      <c r="O54" s="2" t="inlineStr">
        <is>
          <t>Unattempted</t>
        </is>
      </c>
    </row>
    <row r="55">
      <c r="A55" s="4" t="inlineStr">
        <is>
          <t>Company Based Questions</t>
        </is>
      </c>
      <c r="B55" s="4" t="inlineStr">
        <is>
          <t>Adobe Coding Interview Questions</t>
        </is>
      </c>
      <c r="C55" s="4" t="inlineStr">
        <is>
          <t>Prepare for your Adobe online assessment and Interview with most commonly asked coding questions.</t>
        </is>
      </c>
      <c r="D55" s="4" t="inlineStr">
        <is>
          <t>Adobe Coding Questions - Practice Problems</t>
        </is>
      </c>
      <c r="E55" s="4" t="n">
        <v>3</v>
      </c>
      <c r="F55" s="4" t="inlineStr">
        <is>
          <t>Find Middle Element of Linked List</t>
        </is>
      </c>
      <c r="G55" s="4" t="inlineStr">
        <is>
          <t>LLMID</t>
        </is>
      </c>
      <c r="H55" s="4" t="inlineStr">
        <is>
          <t>1200</t>
        </is>
      </c>
      <c r="I55" s="4" t="inlineStr">
        <is>
          <t>Easy</t>
        </is>
      </c>
      <c r="J55" s="5">
        <f>HYPERLINK("https://www.codechef.com/problems/LLMID", "https://www.codechef.com/problems/LLMID")</f>
        <v/>
      </c>
      <c r="K55" s="4" t="inlineStr"/>
      <c r="L55" s="4" t="inlineStr"/>
      <c r="M55" s="4" t="inlineStr"/>
      <c r="N55" s="4" t="inlineStr">
        <is>
          <t>No</t>
        </is>
      </c>
      <c r="O55" s="4" t="inlineStr">
        <is>
          <t>Unattempted</t>
        </is>
      </c>
    </row>
    <row r="56">
      <c r="A56" s="2" t="inlineStr">
        <is>
          <t>Company Based Questions</t>
        </is>
      </c>
      <c r="B56" s="2" t="inlineStr">
        <is>
          <t>Adobe Coding Interview Questions</t>
        </is>
      </c>
      <c r="C56" s="2" t="inlineStr">
        <is>
          <t>Prepare for your Adobe online assessment and Interview with most commonly asked coding questions.</t>
        </is>
      </c>
      <c r="D56" s="2" t="inlineStr">
        <is>
          <t>Adobe Coding Questions - Practice Problems</t>
        </is>
      </c>
      <c r="E56" s="2" t="n">
        <v>4</v>
      </c>
      <c r="F56" s="2" t="inlineStr">
        <is>
          <t>Find the Subtree</t>
        </is>
      </c>
      <c r="G56" s="2" t="inlineStr">
        <is>
          <t>SUBTCH</t>
        </is>
      </c>
      <c r="H56" s="2" t="inlineStr"/>
      <c r="I56" s="2" t="inlineStr">
        <is>
          <t>Medium</t>
        </is>
      </c>
      <c r="J56" s="3">
        <f>HYPERLINK("https://www.codechef.com/problems/SUBTCH", "https://www.codechef.com/problems/SUBTCH")</f>
        <v/>
      </c>
      <c r="K56" s="2" t="inlineStr"/>
      <c r="L56" s="2" t="inlineStr"/>
      <c r="M56" s="2" t="inlineStr"/>
      <c r="N56" s="2" t="inlineStr">
        <is>
          <t>No</t>
        </is>
      </c>
      <c r="O56" s="2" t="inlineStr">
        <is>
          <t>Unattempted</t>
        </is>
      </c>
    </row>
    <row r="57">
      <c r="A57" s="4" t="inlineStr">
        <is>
          <t>Company Based Questions</t>
        </is>
      </c>
      <c r="B57" s="4" t="inlineStr">
        <is>
          <t>Adobe Coding Interview Questions</t>
        </is>
      </c>
      <c r="C57" s="4" t="inlineStr">
        <is>
          <t>Prepare for your Adobe online assessment and Interview with most commonly asked coding questions.</t>
        </is>
      </c>
      <c r="D57" s="4" t="inlineStr">
        <is>
          <t>Adobe Coding Questions - Practice Problems</t>
        </is>
      </c>
      <c r="E57" s="4" t="n">
        <v>5</v>
      </c>
      <c r="F57" s="4" t="inlineStr">
        <is>
          <t>Remove Duplicates</t>
        </is>
      </c>
      <c r="G57" s="4" t="inlineStr">
        <is>
          <t>REMDUP</t>
        </is>
      </c>
      <c r="H57" s="4" t="inlineStr">
        <is>
          <t>1100</t>
        </is>
      </c>
      <c r="I57" s="4" t="inlineStr">
        <is>
          <t>Easy</t>
        </is>
      </c>
      <c r="J57" s="5">
        <f>HYPERLINK("https://www.codechef.com/problems/REMDUP", "https://www.codechef.com/problems/REMDUP")</f>
        <v/>
      </c>
      <c r="K57" s="4" t="inlineStr"/>
      <c r="L57" s="4" t="inlineStr"/>
      <c r="M57" s="4" t="inlineStr"/>
      <c r="N57" s="4" t="inlineStr">
        <is>
          <t>No</t>
        </is>
      </c>
      <c r="O57" s="4" t="inlineStr">
        <is>
          <t>Unattempted</t>
        </is>
      </c>
    </row>
    <row r="58">
      <c r="A58" s="2" t="inlineStr">
        <is>
          <t>Company Based Questions</t>
        </is>
      </c>
      <c r="B58" s="2" t="inlineStr">
        <is>
          <t>Adobe Coding Interview Questions</t>
        </is>
      </c>
      <c r="C58" s="2" t="inlineStr">
        <is>
          <t>Prepare for your Adobe online assessment and Interview with most commonly asked coding questions.</t>
        </is>
      </c>
      <c r="D58" s="2" t="inlineStr">
        <is>
          <t>Adobe Coding Questions - Practice Problems</t>
        </is>
      </c>
      <c r="E58" s="2" t="n">
        <v>6</v>
      </c>
      <c r="F58" s="2" t="inlineStr">
        <is>
          <t>Alice and Bob</t>
        </is>
      </c>
      <c r="G58" s="2" t="inlineStr">
        <is>
          <t>TOYDESIRE</t>
        </is>
      </c>
      <c r="H58" s="2" t="inlineStr"/>
      <c r="I58" s="2" t="inlineStr">
        <is>
          <t>Medium</t>
        </is>
      </c>
      <c r="J58" s="3">
        <f>HYPERLINK("https://www.codechef.com/problems/TOYDESIRE", "https://www.codechef.com/problems/TOYDESIRE")</f>
        <v/>
      </c>
      <c r="K58" s="2" t="inlineStr"/>
      <c r="L58" s="2" t="inlineStr"/>
      <c r="M58" s="2" t="inlineStr"/>
      <c r="N58" s="2" t="inlineStr">
        <is>
          <t>No</t>
        </is>
      </c>
      <c r="O58" s="2" t="inlineStr">
        <is>
          <t>Unattempted</t>
        </is>
      </c>
    </row>
    <row r="59">
      <c r="A59" s="4" t="inlineStr">
        <is>
          <t>Company Based Questions</t>
        </is>
      </c>
      <c r="B59" s="4" t="inlineStr">
        <is>
          <t>Adobe Coding Interview Questions</t>
        </is>
      </c>
      <c r="C59" s="4" t="inlineStr">
        <is>
          <t>Prepare for your Adobe online assessment and Interview with most commonly asked coding questions.</t>
        </is>
      </c>
      <c r="D59" s="4" t="inlineStr">
        <is>
          <t>Adobe Coding Questions - Practice Problems</t>
        </is>
      </c>
      <c r="E59" s="4" t="n">
        <v>7</v>
      </c>
      <c r="F59" s="4" t="inlineStr">
        <is>
          <t>Reverse a Linked List</t>
        </is>
      </c>
      <c r="G59" s="4" t="inlineStr">
        <is>
          <t>RTLL</t>
        </is>
      </c>
      <c r="H59" s="4" t="inlineStr">
        <is>
          <t>1400</t>
        </is>
      </c>
      <c r="I59" s="4" t="inlineStr">
        <is>
          <t>Medium</t>
        </is>
      </c>
      <c r="J59" s="5">
        <f>HYPERLINK("https://www.codechef.com/problems/RTLL", "https://www.codechef.com/problems/RTLL")</f>
        <v/>
      </c>
      <c r="K59" s="4" t="inlineStr"/>
      <c r="L59" s="4" t="inlineStr"/>
      <c r="M59" s="4" t="inlineStr"/>
      <c r="N59" s="4" t="inlineStr">
        <is>
          <t>No</t>
        </is>
      </c>
      <c r="O59" s="4" t="inlineStr">
        <is>
          <t>Unattempted</t>
        </is>
      </c>
    </row>
    <row r="60">
      <c r="A60" s="2" t="inlineStr">
        <is>
          <t>Company Based Questions</t>
        </is>
      </c>
      <c r="B60" s="2" t="inlineStr">
        <is>
          <t>Adobe Coding Interview Questions</t>
        </is>
      </c>
      <c r="C60" s="2" t="inlineStr">
        <is>
          <t>Prepare for your Adobe online assessment and Interview with most commonly asked coding questions.</t>
        </is>
      </c>
      <c r="D60" s="2" t="inlineStr">
        <is>
          <t>Adobe Coding Questions - Practice Problems</t>
        </is>
      </c>
      <c r="E60" s="2" t="n">
        <v>8</v>
      </c>
      <c r="F60" s="2" t="inlineStr">
        <is>
          <t>Array - Pascals or Khayyams triangle</t>
        </is>
      </c>
      <c r="G60" s="2" t="inlineStr">
        <is>
          <t>PREP01</t>
        </is>
      </c>
      <c r="H60" s="2" t="inlineStr"/>
      <c r="I60" s="2" t="inlineStr">
        <is>
          <t>Medium</t>
        </is>
      </c>
      <c r="J60" s="3">
        <f>HYPERLINK("https://www.codechef.com/problems/PREP01", "https://www.codechef.com/problems/PREP01")</f>
        <v/>
      </c>
      <c r="K60" s="2" t="inlineStr"/>
      <c r="L60" s="2" t="inlineStr"/>
      <c r="M60" s="2" t="inlineStr"/>
      <c r="N60" s="2" t="inlineStr">
        <is>
          <t>No</t>
        </is>
      </c>
      <c r="O60" s="2" t="inlineStr">
        <is>
          <t>Unattempted</t>
        </is>
      </c>
    </row>
    <row r="61">
      <c r="A61" s="4" t="inlineStr">
        <is>
          <t>Company Based Questions</t>
        </is>
      </c>
      <c r="B61" s="4" t="inlineStr">
        <is>
          <t>Adobe Coding Interview Questions</t>
        </is>
      </c>
      <c r="C61" s="4" t="inlineStr">
        <is>
          <t>Prepare for your Adobe online assessment and Interview with most commonly asked coding questions.</t>
        </is>
      </c>
      <c r="D61" s="4" t="inlineStr">
        <is>
          <t>Adobe Coding Questions - Practice Problems</t>
        </is>
      </c>
      <c r="E61" s="4" t="n">
        <v>9</v>
      </c>
      <c r="F61" s="4" t="inlineStr">
        <is>
          <t>Array - Matrix operations</t>
        </is>
      </c>
      <c r="G61" s="4" t="inlineStr">
        <is>
          <t>PREP02</t>
        </is>
      </c>
      <c r="H61" s="4" t="inlineStr"/>
      <c r="I61" s="4" t="inlineStr">
        <is>
          <t>Easy</t>
        </is>
      </c>
      <c r="J61" s="5">
        <f>HYPERLINK("https://www.codechef.com/problems/PREP02", "https://www.codechef.com/problems/PREP02")</f>
        <v/>
      </c>
      <c r="K61" s="4" t="inlineStr"/>
      <c r="L61" s="4" t="inlineStr"/>
      <c r="M61" s="4" t="inlineStr"/>
      <c r="N61" s="4" t="inlineStr">
        <is>
          <t>No</t>
        </is>
      </c>
      <c r="O61" s="4" t="inlineStr">
        <is>
          <t>Unattempted</t>
        </is>
      </c>
    </row>
    <row r="62">
      <c r="A62" s="2" t="inlineStr">
        <is>
          <t>Company Based Questions</t>
        </is>
      </c>
      <c r="B62" s="2" t="inlineStr">
        <is>
          <t>Adobe Coding Interview Questions</t>
        </is>
      </c>
      <c r="C62" s="2" t="inlineStr">
        <is>
          <t>Prepare for your Adobe online assessment and Interview with most commonly asked coding questions.</t>
        </is>
      </c>
      <c r="D62" s="2" t="inlineStr">
        <is>
          <t>Adobe Coding Questions - Practice Problems</t>
        </is>
      </c>
      <c r="E62" s="2" t="n">
        <v>10</v>
      </c>
      <c r="F62" s="2" t="inlineStr">
        <is>
          <t>Graphs - Word Ladder</t>
        </is>
      </c>
      <c r="G62" s="2" t="inlineStr">
        <is>
          <t>PREP36</t>
        </is>
      </c>
      <c r="H62" s="2" t="inlineStr"/>
      <c r="I62" s="2" t="inlineStr">
        <is>
          <t>Hard</t>
        </is>
      </c>
      <c r="J62" s="3">
        <f>HYPERLINK("https://www.codechef.com/problems/PREP36", "https://www.codechef.com/problems/PREP36")</f>
        <v/>
      </c>
      <c r="K62" s="2" t="inlineStr"/>
      <c r="L62" s="2" t="inlineStr"/>
      <c r="M62" s="2" t="inlineStr"/>
      <c r="N62" s="2" t="inlineStr">
        <is>
          <t>No</t>
        </is>
      </c>
      <c r="O62" s="2" t="inlineStr">
        <is>
          <t>Unattempted</t>
        </is>
      </c>
    </row>
    <row r="63">
      <c r="A63" s="4" t="inlineStr">
        <is>
          <t>Company Based Questions</t>
        </is>
      </c>
      <c r="B63" s="4" t="inlineStr">
        <is>
          <t>Adobe Coding Interview Questions</t>
        </is>
      </c>
      <c r="C63" s="4" t="inlineStr">
        <is>
          <t>Prepare for your Adobe online assessment and Interview with most commonly asked coding questions.</t>
        </is>
      </c>
      <c r="D63" s="4" t="inlineStr">
        <is>
          <t>Adobe Coding Questions - Practice Problems</t>
        </is>
      </c>
      <c r="E63" s="4" t="n">
        <v>11</v>
      </c>
      <c r="F63" s="4" t="inlineStr">
        <is>
          <t>Backtracking - Unique Combinations Sum</t>
        </is>
      </c>
      <c r="G63" s="4" t="inlineStr">
        <is>
          <t>PREP40</t>
        </is>
      </c>
      <c r="H63" s="4" t="inlineStr"/>
      <c r="I63" s="4" t="inlineStr">
        <is>
          <t>Medium</t>
        </is>
      </c>
      <c r="J63" s="5">
        <f>HYPERLINK("https://www.codechef.com/problems/PREP40", "https://www.codechef.com/problems/PREP40")</f>
        <v/>
      </c>
      <c r="K63" s="4" t="inlineStr"/>
      <c r="L63" s="4" t="inlineStr"/>
      <c r="M63" s="4" t="inlineStr"/>
      <c r="N63" s="4" t="inlineStr">
        <is>
          <t>No</t>
        </is>
      </c>
      <c r="O63" s="4" t="inlineStr">
        <is>
          <t>Unattempted</t>
        </is>
      </c>
    </row>
    <row r="64">
      <c r="A64" s="2" t="inlineStr">
        <is>
          <t>Company Based Questions</t>
        </is>
      </c>
      <c r="B64" s="2" t="inlineStr">
        <is>
          <t>Adobe Coding Interview Questions</t>
        </is>
      </c>
      <c r="C64" s="2" t="inlineStr">
        <is>
          <t>Prepare for your Adobe online assessment and Interview with most commonly asked coding questions.</t>
        </is>
      </c>
      <c r="D64" s="2" t="inlineStr">
        <is>
          <t>Adobe Coding Questions - Practice Problems</t>
        </is>
      </c>
      <c r="E64" s="2" t="n">
        <v>12</v>
      </c>
      <c r="F64" s="2" t="inlineStr">
        <is>
          <t>Bit Manipulation - Count set bits</t>
        </is>
      </c>
      <c r="G64" s="2" t="inlineStr">
        <is>
          <t>PREP44</t>
        </is>
      </c>
      <c r="H64" s="2" t="inlineStr"/>
      <c r="I64" s="2" t="inlineStr">
        <is>
          <t>Easy</t>
        </is>
      </c>
      <c r="J64" s="3">
        <f>HYPERLINK("https://www.codechef.com/problems/PREP44", "https://www.codechef.com/problems/PREP44")</f>
        <v/>
      </c>
      <c r="K64" s="2" t="inlineStr"/>
      <c r="L64" s="2" t="inlineStr"/>
      <c r="M64" s="2" t="inlineStr"/>
      <c r="N64" s="2" t="inlineStr">
        <is>
          <t>No</t>
        </is>
      </c>
      <c r="O64" s="2" t="inlineStr">
        <is>
          <t>Unattempted</t>
        </is>
      </c>
    </row>
    <row r="65">
      <c r="A65" s="4" t="inlineStr">
        <is>
          <t>Company Based Questions</t>
        </is>
      </c>
      <c r="B65" s="4" t="inlineStr">
        <is>
          <t>Adobe Coding Interview Questions</t>
        </is>
      </c>
      <c r="C65" s="4" t="inlineStr">
        <is>
          <t>Prepare for your Adobe online assessment and Interview with most commonly asked coding questions.</t>
        </is>
      </c>
      <c r="D65" s="4" t="inlineStr">
        <is>
          <t>Adobe Coding Questions - Practice Problems</t>
        </is>
      </c>
      <c r="E65" s="4" t="n">
        <v>13</v>
      </c>
      <c r="F65" s="4" t="inlineStr">
        <is>
          <t>Trees - Path Sum</t>
        </is>
      </c>
      <c r="G65" s="4" t="inlineStr">
        <is>
          <t>PREP65</t>
        </is>
      </c>
      <c r="H65" s="4" t="inlineStr"/>
      <c r="I65" s="4" t="inlineStr">
        <is>
          <t>Medium</t>
        </is>
      </c>
      <c r="J65" s="5">
        <f>HYPERLINK("https://www.codechef.com/problems/PREP65", "https://www.codechef.com/problems/PREP65")</f>
        <v/>
      </c>
      <c r="K65" s="4" t="inlineStr"/>
      <c r="L65" s="4" t="inlineStr"/>
      <c r="M65" s="4" t="inlineStr"/>
      <c r="N65" s="4" t="inlineStr">
        <is>
          <t>No</t>
        </is>
      </c>
      <c r="O65" s="4" t="inlineStr">
        <is>
          <t>Unattempted</t>
        </is>
      </c>
    </row>
    <row r="66">
      <c r="A66" s="2" t="inlineStr">
        <is>
          <t>Company Based Questions</t>
        </is>
      </c>
      <c r="B66" s="2" t="inlineStr">
        <is>
          <t>Flipkart Coding Interview Questions</t>
        </is>
      </c>
      <c r="C66" s="2" t="inlineStr">
        <is>
          <t>Prepare for your Flipkart online assessment and Interview with most commonly asked coding questions.</t>
        </is>
      </c>
      <c r="D66" s="2" t="inlineStr">
        <is>
          <t>Flipkart Coding Questions - Practice Problems</t>
        </is>
      </c>
      <c r="E66" s="2" t="n">
        <v>1</v>
      </c>
      <c r="F66" s="2" t="inlineStr">
        <is>
          <t>Attack on Kingdom</t>
        </is>
      </c>
      <c r="G66" s="2" t="inlineStr">
        <is>
          <t>KNGATK</t>
        </is>
      </c>
      <c r="H66" s="2" t="inlineStr"/>
      <c r="I66" s="2" t="inlineStr">
        <is>
          <t>Easy</t>
        </is>
      </c>
      <c r="J66" s="3">
        <f>HYPERLINK("https://www.codechef.com/problems/KNGATK", "https://www.codechef.com/problems/KNGATK")</f>
        <v/>
      </c>
      <c r="K66" s="2" t="inlineStr"/>
      <c r="L66" s="2" t="inlineStr"/>
      <c r="M66" s="2" t="inlineStr"/>
      <c r="N66" s="2" t="inlineStr">
        <is>
          <t>No</t>
        </is>
      </c>
      <c r="O66" s="2" t="inlineStr">
        <is>
          <t>Unattempted</t>
        </is>
      </c>
    </row>
    <row r="67">
      <c r="A67" s="4" t="inlineStr">
        <is>
          <t>Company Based Questions</t>
        </is>
      </c>
      <c r="B67" s="4" t="inlineStr">
        <is>
          <t>Flipkart Coding Interview Questions</t>
        </is>
      </c>
      <c r="C67" s="4" t="inlineStr">
        <is>
          <t>Prepare for your Flipkart online assessment and Interview with most commonly asked coding questions.</t>
        </is>
      </c>
      <c r="D67" s="4" t="inlineStr">
        <is>
          <t>Flipkart Coding Questions - Practice Problems</t>
        </is>
      </c>
      <c r="E67" s="4" t="n">
        <v>2</v>
      </c>
      <c r="F67" s="4" t="inlineStr">
        <is>
          <t>Find Middle Element of Linked List</t>
        </is>
      </c>
      <c r="G67" s="4" t="inlineStr">
        <is>
          <t>LLMID</t>
        </is>
      </c>
      <c r="H67" s="4" t="inlineStr">
        <is>
          <t>1200</t>
        </is>
      </c>
      <c r="I67" s="4" t="inlineStr">
        <is>
          <t>Easy</t>
        </is>
      </c>
      <c r="J67" s="5">
        <f>HYPERLINK("https://www.codechef.com/problems/LLMID", "https://www.codechef.com/problems/LLMID")</f>
        <v/>
      </c>
      <c r="K67" s="4" t="inlineStr"/>
      <c r="L67" s="4" t="inlineStr"/>
      <c r="M67" s="4" t="inlineStr"/>
      <c r="N67" s="4" t="inlineStr">
        <is>
          <t>No</t>
        </is>
      </c>
      <c r="O67" s="4" t="inlineStr">
        <is>
          <t>Unattempted</t>
        </is>
      </c>
    </row>
    <row r="68">
      <c r="A68" s="2" t="inlineStr">
        <is>
          <t>Company Based Questions</t>
        </is>
      </c>
      <c r="B68" s="2" t="inlineStr">
        <is>
          <t>Flipkart Coding Interview Questions</t>
        </is>
      </c>
      <c r="C68" s="2" t="inlineStr">
        <is>
          <t>Prepare for your Flipkart online assessment and Interview with most commonly asked coding questions.</t>
        </is>
      </c>
      <c r="D68" s="2" t="inlineStr">
        <is>
          <t>Flipkart Coding Questions - Practice Problems</t>
        </is>
      </c>
      <c r="E68" s="2" t="n">
        <v>3</v>
      </c>
      <c r="F68" s="2" t="inlineStr">
        <is>
          <t>Alice and Bob</t>
        </is>
      </c>
      <c r="G68" s="2" t="inlineStr">
        <is>
          <t>TOYDESIRE</t>
        </is>
      </c>
      <c r="H68" s="2" t="inlineStr"/>
      <c r="I68" s="2" t="inlineStr">
        <is>
          <t>Medium</t>
        </is>
      </c>
      <c r="J68" s="3">
        <f>HYPERLINK("https://www.codechef.com/problems/TOYDESIRE", "https://www.codechef.com/problems/TOYDESIRE")</f>
        <v/>
      </c>
      <c r="K68" s="2" t="inlineStr"/>
      <c r="L68" s="2" t="inlineStr"/>
      <c r="M68" s="2" t="inlineStr"/>
      <c r="N68" s="2" t="inlineStr">
        <is>
          <t>No</t>
        </is>
      </c>
      <c r="O68" s="2" t="inlineStr">
        <is>
          <t>Unattempted</t>
        </is>
      </c>
    </row>
    <row r="69">
      <c r="A69" s="4" t="inlineStr">
        <is>
          <t>Company Based Questions</t>
        </is>
      </c>
      <c r="B69" s="4" t="inlineStr">
        <is>
          <t>Flipkart Coding Interview Questions</t>
        </is>
      </c>
      <c r="C69" s="4" t="inlineStr">
        <is>
          <t>Prepare for your Flipkart online assessment and Interview with most commonly asked coding questions.</t>
        </is>
      </c>
      <c r="D69" s="4" t="inlineStr">
        <is>
          <t>Flipkart Coding Questions - Practice Problems</t>
        </is>
      </c>
      <c r="E69" s="4" t="n">
        <v>4</v>
      </c>
      <c r="F69" s="4" t="inlineStr">
        <is>
          <t>Flatten a Linked List</t>
        </is>
      </c>
      <c r="G69" s="4" t="inlineStr">
        <is>
          <t>STRANGELIST</t>
        </is>
      </c>
      <c r="H69" s="4" t="inlineStr">
        <is>
          <t>1600</t>
        </is>
      </c>
      <c r="I69" s="4" t="inlineStr">
        <is>
          <t>Medium</t>
        </is>
      </c>
      <c r="J69" s="5">
        <f>HYPERLINK("https://www.codechef.com/problems/STRANGELIST", "https://www.codechef.com/problems/STRANGELIST")</f>
        <v/>
      </c>
      <c r="K69" s="4" t="inlineStr"/>
      <c r="L69" s="4" t="inlineStr"/>
      <c r="M69" s="4" t="inlineStr"/>
      <c r="N69" s="4" t="inlineStr">
        <is>
          <t>No</t>
        </is>
      </c>
      <c r="O69" s="4" t="inlineStr">
        <is>
          <t>Unattempted</t>
        </is>
      </c>
    </row>
    <row r="70">
      <c r="A70" s="2" t="inlineStr">
        <is>
          <t>Company Based Questions</t>
        </is>
      </c>
      <c r="B70" s="2" t="inlineStr">
        <is>
          <t>Flipkart Coding Interview Questions</t>
        </is>
      </c>
      <c r="C70" s="2" t="inlineStr">
        <is>
          <t>Prepare for your Flipkart online assessment and Interview with most commonly asked coding questions.</t>
        </is>
      </c>
      <c r="D70" s="2" t="inlineStr">
        <is>
          <t>Flipkart Coding Questions - Practice Problems</t>
        </is>
      </c>
      <c r="E70" s="2" t="n">
        <v>5</v>
      </c>
      <c r="F70" s="2" t="inlineStr">
        <is>
          <t>Critical points in a Linked List</t>
        </is>
      </c>
      <c r="G70" s="2" t="inlineStr">
        <is>
          <t>CRITLIST</t>
        </is>
      </c>
      <c r="H70" s="2" t="inlineStr">
        <is>
          <t>1000</t>
        </is>
      </c>
      <c r="I70" s="2" t="inlineStr">
        <is>
          <t>Easy</t>
        </is>
      </c>
      <c r="J70" s="3">
        <f>HYPERLINK("https://www.codechef.com/problems/CRITLIST", "https://www.codechef.com/problems/CRITLIST")</f>
        <v/>
      </c>
      <c r="K70" s="2" t="inlineStr"/>
      <c r="L70" s="2" t="inlineStr"/>
      <c r="M70" s="2" t="inlineStr"/>
      <c r="N70" s="2" t="inlineStr">
        <is>
          <t>No</t>
        </is>
      </c>
      <c r="O70" s="2" t="inlineStr">
        <is>
          <t>Unattempted</t>
        </is>
      </c>
    </row>
    <row r="71">
      <c r="A71" s="4" t="inlineStr">
        <is>
          <t>Company Based Questions</t>
        </is>
      </c>
      <c r="B71" s="4" t="inlineStr">
        <is>
          <t>Flipkart Coding Interview Questions</t>
        </is>
      </c>
      <c r="C71" s="4" t="inlineStr">
        <is>
          <t>Prepare for your Flipkart online assessment and Interview with most commonly asked coding questions.</t>
        </is>
      </c>
      <c r="D71" s="4" t="inlineStr">
        <is>
          <t>Flipkart Coding Questions - Practice Problems</t>
        </is>
      </c>
      <c r="E71" s="4" t="n">
        <v>6</v>
      </c>
      <c r="F71" s="4" t="inlineStr">
        <is>
          <t>Array - Matrix operations</t>
        </is>
      </c>
      <c r="G71" s="4" t="inlineStr">
        <is>
          <t>PREP02</t>
        </is>
      </c>
      <c r="H71" s="4" t="inlineStr"/>
      <c r="I71" s="4" t="inlineStr">
        <is>
          <t>Easy</t>
        </is>
      </c>
      <c r="J71" s="5">
        <f>HYPERLINK("https://www.codechef.com/problems/PREP02", "https://www.codechef.com/problems/PREP02")</f>
        <v/>
      </c>
      <c r="K71" s="4" t="inlineStr"/>
      <c r="L71" s="4" t="inlineStr"/>
      <c r="M71" s="4" t="inlineStr"/>
      <c r="N71" s="4" t="inlineStr">
        <is>
          <t>No</t>
        </is>
      </c>
      <c r="O71" s="4" t="inlineStr">
        <is>
          <t>Unattempted</t>
        </is>
      </c>
    </row>
    <row r="72">
      <c r="A72" s="2" t="inlineStr">
        <is>
          <t>Company Based Questions</t>
        </is>
      </c>
      <c r="B72" s="2" t="inlineStr">
        <is>
          <t>Flipkart Coding Interview Questions</t>
        </is>
      </c>
      <c r="C72" s="2" t="inlineStr">
        <is>
          <t>Prepare for your Flipkart online assessment and Interview with most commonly asked coding questions.</t>
        </is>
      </c>
      <c r="D72" s="2" t="inlineStr">
        <is>
          <t>Flipkart Coding Questions - Practice Problems</t>
        </is>
      </c>
      <c r="E72" s="2" t="n">
        <v>7</v>
      </c>
      <c r="F72" s="2" t="inlineStr">
        <is>
          <t>Array - Addition</t>
        </is>
      </c>
      <c r="G72" s="2" t="inlineStr">
        <is>
          <t>PREP05</t>
        </is>
      </c>
      <c r="H72" s="2" t="inlineStr"/>
      <c r="I72" s="2" t="inlineStr">
        <is>
          <t>Easy</t>
        </is>
      </c>
      <c r="J72" s="3">
        <f>HYPERLINK("https://www.codechef.com/problems/PREP05", "https://www.codechef.com/problems/PREP05")</f>
        <v/>
      </c>
      <c r="K72" s="2" t="inlineStr"/>
      <c r="L72" s="2" t="inlineStr"/>
      <c r="M72" s="2" t="inlineStr"/>
      <c r="N72" s="2" t="inlineStr">
        <is>
          <t>No</t>
        </is>
      </c>
      <c r="O72" s="2" t="inlineStr">
        <is>
          <t>Unattempted</t>
        </is>
      </c>
    </row>
    <row r="73">
      <c r="A73" s="4" t="inlineStr">
        <is>
          <t>Company Based Questions</t>
        </is>
      </c>
      <c r="B73" s="4" t="inlineStr">
        <is>
          <t>Flipkart Coding Interview Questions</t>
        </is>
      </c>
      <c r="C73" s="4" t="inlineStr">
        <is>
          <t>Prepare for your Flipkart online assessment and Interview with most commonly asked coding questions.</t>
        </is>
      </c>
      <c r="D73" s="4" t="inlineStr">
        <is>
          <t>Flipkart Coding Questions - Practice Problems</t>
        </is>
      </c>
      <c r="E73" s="4" t="n">
        <v>8</v>
      </c>
      <c r="F73" s="4" t="inlineStr">
        <is>
          <t>Sliding Window Maximum</t>
        </is>
      </c>
      <c r="G73" s="4" t="inlineStr">
        <is>
          <t>PREP23</t>
        </is>
      </c>
      <c r="H73" s="4" t="inlineStr">
        <is>
          <t>1600</t>
        </is>
      </c>
      <c r="I73" s="4" t="inlineStr">
        <is>
          <t>Medium</t>
        </is>
      </c>
      <c r="J73" s="5">
        <f>HYPERLINK("https://www.codechef.com/problems/PREP23", "https://www.codechef.com/problems/PREP23")</f>
        <v/>
      </c>
      <c r="K73" s="4" t="inlineStr"/>
      <c r="L73" s="4" t="inlineStr"/>
      <c r="M73" s="4" t="inlineStr"/>
      <c r="N73" s="4" t="inlineStr">
        <is>
          <t>No</t>
        </is>
      </c>
      <c r="O73" s="4" t="inlineStr">
        <is>
          <t>Unattempted</t>
        </is>
      </c>
    </row>
    <row r="74">
      <c r="A74" s="2" t="inlineStr">
        <is>
          <t>Company Based Questions</t>
        </is>
      </c>
      <c r="B74" s="2" t="inlineStr">
        <is>
          <t>Flipkart Coding Interview Questions</t>
        </is>
      </c>
      <c r="C74" s="2" t="inlineStr">
        <is>
          <t>Prepare for your Flipkart online assessment and Interview with most commonly asked coding questions.</t>
        </is>
      </c>
      <c r="D74" s="2" t="inlineStr">
        <is>
          <t>Flipkart Coding Questions - Practice Problems</t>
        </is>
      </c>
      <c r="E74" s="2" t="n">
        <v>9</v>
      </c>
      <c r="F74" s="2" t="inlineStr">
        <is>
          <t>Graphs - Word Ladder</t>
        </is>
      </c>
      <c r="G74" s="2" t="inlineStr">
        <is>
          <t>PREP36</t>
        </is>
      </c>
      <c r="H74" s="2" t="inlineStr"/>
      <c r="I74" s="2" t="inlineStr">
        <is>
          <t>Hard</t>
        </is>
      </c>
      <c r="J74" s="3">
        <f>HYPERLINK("https://www.codechef.com/problems/PREP36", "https://www.codechef.com/problems/PREP36")</f>
        <v/>
      </c>
      <c r="K74" s="2" t="inlineStr"/>
      <c r="L74" s="2" t="inlineStr"/>
      <c r="M74" s="2" t="inlineStr"/>
      <c r="N74" s="2" t="inlineStr">
        <is>
          <t>No</t>
        </is>
      </c>
      <c r="O74" s="2" t="inlineStr">
        <is>
          <t>Unattempted</t>
        </is>
      </c>
    </row>
    <row r="75">
      <c r="A75" s="4" t="inlineStr">
        <is>
          <t>Company Based Questions</t>
        </is>
      </c>
      <c r="B75" s="4" t="inlineStr">
        <is>
          <t>Flipkart Coding Interview Questions</t>
        </is>
      </c>
      <c r="C75" s="4" t="inlineStr">
        <is>
          <t>Prepare for your Flipkart online assessment and Interview with most commonly asked coding questions.</t>
        </is>
      </c>
      <c r="D75" s="4" t="inlineStr">
        <is>
          <t>Flipkart Coding Questions - Practice Problems</t>
        </is>
      </c>
      <c r="E75" s="4" t="n">
        <v>10</v>
      </c>
      <c r="F75" s="4" t="inlineStr">
        <is>
          <t>Graphs - Clone a graph</t>
        </is>
      </c>
      <c r="G75" s="4" t="inlineStr">
        <is>
          <t>PREP50</t>
        </is>
      </c>
      <c r="H75" s="4" t="inlineStr"/>
      <c r="I75" s="4" t="inlineStr">
        <is>
          <t>Hard</t>
        </is>
      </c>
      <c r="J75" s="5">
        <f>HYPERLINK("https://www.codechef.com/problems/PREP50", "https://www.codechef.com/problems/PREP50")</f>
        <v/>
      </c>
      <c r="K75" s="4" t="inlineStr"/>
      <c r="L75" s="4" t="inlineStr"/>
      <c r="M75" s="4" t="inlineStr"/>
      <c r="N75" s="4" t="inlineStr">
        <is>
          <t>No</t>
        </is>
      </c>
      <c r="O75" s="4" t="inlineStr">
        <is>
          <t>Unattempted</t>
        </is>
      </c>
    </row>
    <row r="76">
      <c r="A76" s="2" t="inlineStr">
        <is>
          <t>Company Based Questions</t>
        </is>
      </c>
      <c r="B76" s="2" t="inlineStr">
        <is>
          <t>Flipkart Coding Interview Questions</t>
        </is>
      </c>
      <c r="C76" s="2" t="inlineStr">
        <is>
          <t>Prepare for your Flipkart online assessment and Interview with most commonly asked coding questions.</t>
        </is>
      </c>
      <c r="D76" s="2" t="inlineStr">
        <is>
          <t>Flipkart Coding Questions - Practice Problems</t>
        </is>
      </c>
      <c r="E76" s="2" t="n">
        <v>11</v>
      </c>
      <c r="F76" s="2" t="inlineStr">
        <is>
          <t>Linked List - Add Two Numbers As Lists</t>
        </is>
      </c>
      <c r="G76" s="2" t="inlineStr">
        <is>
          <t>PREP57</t>
        </is>
      </c>
      <c r="H76" s="2" t="inlineStr"/>
      <c r="I76" s="2" t="inlineStr">
        <is>
          <t>Medium</t>
        </is>
      </c>
      <c r="J76" s="3">
        <f>HYPERLINK("https://www.codechef.com/problems/PREP57", "https://www.codechef.com/problems/PREP57")</f>
        <v/>
      </c>
      <c r="K76" s="2" t="inlineStr"/>
      <c r="L76" s="2" t="inlineStr"/>
      <c r="M76" s="2" t="inlineStr"/>
      <c r="N76" s="2" t="inlineStr">
        <is>
          <t>No</t>
        </is>
      </c>
      <c r="O76" s="2" t="inlineStr">
        <is>
          <t>Unattempted</t>
        </is>
      </c>
    </row>
    <row r="77">
      <c r="A77" s="4" t="inlineStr">
        <is>
          <t>Company Based Questions</t>
        </is>
      </c>
      <c r="B77" s="4" t="inlineStr">
        <is>
          <t>Flipkart Coding Interview Questions</t>
        </is>
      </c>
      <c r="C77" s="4" t="inlineStr">
        <is>
          <t>Prepare for your Flipkart online assessment and Interview with most commonly asked coding questions.</t>
        </is>
      </c>
      <c r="D77" s="4" t="inlineStr">
        <is>
          <t>Flipkart Coding Questions - Practice Problems</t>
        </is>
      </c>
      <c r="E77" s="4" t="n">
        <v>12</v>
      </c>
      <c r="F77" s="4" t="inlineStr">
        <is>
          <t>Remove Duplicates from Sorted List</t>
        </is>
      </c>
      <c r="G77" s="4" t="inlineStr">
        <is>
          <t>PREP55</t>
        </is>
      </c>
      <c r="H77" s="4" t="inlineStr">
        <is>
          <t>900</t>
        </is>
      </c>
      <c r="I77" s="4" t="inlineStr">
        <is>
          <t>Easy</t>
        </is>
      </c>
      <c r="J77" s="5">
        <f>HYPERLINK("https://www.codechef.com/problems/PREP55", "https://www.codechef.com/problems/PREP55")</f>
        <v/>
      </c>
      <c r="K77" s="4" t="inlineStr"/>
      <c r="L77" s="4" t="inlineStr"/>
      <c r="M77" s="4" t="inlineStr"/>
      <c r="N77" s="4" t="inlineStr">
        <is>
          <t>No</t>
        </is>
      </c>
      <c r="O77" s="4" t="inlineStr">
        <is>
          <t>Unattempted</t>
        </is>
      </c>
    </row>
    <row r="78">
      <c r="A78" s="2" t="inlineStr">
        <is>
          <t>Company Based Questions</t>
        </is>
      </c>
      <c r="B78" s="2" t="inlineStr">
        <is>
          <t>Flipkart Coding Interview Questions</t>
        </is>
      </c>
      <c r="C78" s="2" t="inlineStr">
        <is>
          <t>Prepare for your Flipkart online assessment and Interview with most commonly asked coding questions.</t>
        </is>
      </c>
      <c r="D78" s="2" t="inlineStr">
        <is>
          <t>Flipkart Coding Questions - Practice Problems</t>
        </is>
      </c>
      <c r="E78" s="2" t="n">
        <v>13</v>
      </c>
      <c r="F78" s="2" t="inlineStr">
        <is>
          <t>Petrol ki Problem</t>
        </is>
      </c>
      <c r="G78" s="2" t="inlineStr">
        <is>
          <t>PTRLP</t>
        </is>
      </c>
      <c r="H78" s="2" t="inlineStr"/>
      <c r="I78" s="2" t="inlineStr">
        <is>
          <t>Medium</t>
        </is>
      </c>
      <c r="J78" s="3">
        <f>HYPERLINK("https://www.codechef.com/problems/PTRLP", "https://www.codechef.com/problems/PTRLP")</f>
        <v/>
      </c>
      <c r="K78" s="2" t="inlineStr"/>
      <c r="L78" s="2" t="inlineStr"/>
      <c r="M78" s="2" t="inlineStr"/>
      <c r="N78" s="2" t="inlineStr">
        <is>
          <t>No</t>
        </is>
      </c>
      <c r="O78" s="2" t="inlineStr">
        <is>
          <t>Unattempted</t>
        </is>
      </c>
    </row>
    <row r="79">
      <c r="A79" s="4" t="inlineStr">
        <is>
          <t>Company Based Questions</t>
        </is>
      </c>
      <c r="B79" s="4" t="inlineStr">
        <is>
          <t>Flipkart Coding Interview Questions</t>
        </is>
      </c>
      <c r="C79" s="4" t="inlineStr">
        <is>
          <t>Prepare for your Flipkart online assessment and Interview with most commonly asked coding questions.</t>
        </is>
      </c>
      <c r="D79" s="4" t="inlineStr">
        <is>
          <t>Flipkart Coding Questions - Practice Problems</t>
        </is>
      </c>
      <c r="E79" s="4" t="n">
        <v>14</v>
      </c>
      <c r="F79" s="4" t="inlineStr">
        <is>
          <t>Trees - Height of a Tree</t>
        </is>
      </c>
      <c r="G79" s="4" t="inlineStr">
        <is>
          <t>PREP66</t>
        </is>
      </c>
      <c r="H79" s="4" t="inlineStr"/>
      <c r="I79" s="4" t="inlineStr">
        <is>
          <t>Medium</t>
        </is>
      </c>
      <c r="J79" s="5">
        <f>HYPERLINK("https://www.codechef.com/problems/PREP66", "https://www.codechef.com/problems/PREP66")</f>
        <v/>
      </c>
      <c r="K79" s="4" t="inlineStr"/>
      <c r="L79" s="4" t="inlineStr"/>
      <c r="M79" s="4" t="inlineStr"/>
      <c r="N79" s="4" t="inlineStr">
        <is>
          <t>No</t>
        </is>
      </c>
      <c r="O79" s="4" t="inlineStr">
        <is>
          <t>Unattempted</t>
        </is>
      </c>
    </row>
    <row r="80">
      <c r="A80" s="2" t="inlineStr">
        <is>
          <t>Company Based Questions</t>
        </is>
      </c>
      <c r="B80" s="2" t="inlineStr">
        <is>
          <t>Flipkart Coding Interview Questions</t>
        </is>
      </c>
      <c r="C80" s="2" t="inlineStr">
        <is>
          <t>Prepare for your Flipkart online assessment and Interview with most commonly asked coding questions.</t>
        </is>
      </c>
      <c r="D80" s="2" t="inlineStr">
        <is>
          <t>Flipkart Coding Questions - Practice Problems</t>
        </is>
      </c>
      <c r="E80" s="2" t="n">
        <v>15</v>
      </c>
      <c r="F80" s="2" t="inlineStr">
        <is>
          <t>Backtracking - Find Unique Permutations</t>
        </is>
      </c>
      <c r="G80" s="2" t="inlineStr">
        <is>
          <t>PREP24</t>
        </is>
      </c>
      <c r="H80" s="2" t="inlineStr"/>
      <c r="I80" s="2" t="inlineStr">
        <is>
          <t>Hard</t>
        </is>
      </c>
      <c r="J80" s="3">
        <f>HYPERLINK("https://www.codechef.com/problems/PREP24", "https://www.codechef.com/problems/PREP24")</f>
        <v/>
      </c>
      <c r="K80" s="2" t="inlineStr"/>
      <c r="L80" s="2" t="inlineStr"/>
      <c r="M80" s="2" t="inlineStr"/>
      <c r="N80" s="2" t="inlineStr">
        <is>
          <t>No</t>
        </is>
      </c>
      <c r="O80" s="2" t="inlineStr">
        <is>
          <t>Unattempted</t>
        </is>
      </c>
    </row>
    <row r="81">
      <c r="A81" s="4" t="inlineStr">
        <is>
          <t>Company Based Questions</t>
        </is>
      </c>
      <c r="B81" s="4" t="inlineStr">
        <is>
          <t>TCS Codevita Problems</t>
        </is>
      </c>
      <c r="C81" s="4" t="inlineStr">
        <is>
          <t>Prepare for TCS CodeVita and TCS Interview with most commonly asked coding problems. Solve the previous year Code Vita questions and get ready for for Codevita 2024.</t>
        </is>
      </c>
      <c r="D81" s="4" t="inlineStr">
        <is>
          <t>2020 Problems - CodeVita 2020 Problems</t>
        </is>
      </c>
      <c r="E81" s="4" t="n">
        <v>1</v>
      </c>
      <c r="F81" s="4" t="inlineStr">
        <is>
          <t>Consecutive Prime Sum</t>
        </is>
      </c>
      <c r="G81" s="4" t="inlineStr">
        <is>
          <t>CONSPRIMESUM</t>
        </is>
      </c>
      <c r="H81" s="4" t="inlineStr"/>
      <c r="I81" s="4" t="inlineStr">
        <is>
          <t>Medium</t>
        </is>
      </c>
      <c r="J81" s="5">
        <f>HYPERLINK("https://www.codechef.com/problems/CONSPRIMESUM", "https://www.codechef.com/problems/CONSPRIMESUM")</f>
        <v/>
      </c>
      <c r="K81" s="4" t="inlineStr"/>
      <c r="L81" s="4" t="inlineStr"/>
      <c r="M81" s="4" t="inlineStr"/>
      <c r="N81" s="4" t="inlineStr">
        <is>
          <t>No</t>
        </is>
      </c>
      <c r="O81" s="4" t="inlineStr">
        <is>
          <t>Unattempted</t>
        </is>
      </c>
    </row>
    <row r="82">
      <c r="A82" s="2" t="inlineStr">
        <is>
          <t>Company Based Questions</t>
        </is>
      </c>
      <c r="B82" s="2" t="inlineStr">
        <is>
          <t>TCS Codevita Problems</t>
        </is>
      </c>
      <c r="C82" s="2" t="inlineStr">
        <is>
          <t>Prepare for TCS CodeVita and TCS Interview with most commonly asked coding problems. Solve the previous year Code Vita questions and get ready for for Codevita 2024.</t>
        </is>
      </c>
      <c r="D82" s="2" t="inlineStr">
        <is>
          <t>2020 Problems - CodeVita 2020 Problems</t>
        </is>
      </c>
      <c r="E82" s="2" t="n">
        <v>2</v>
      </c>
      <c r="F82" s="2" t="inlineStr">
        <is>
          <t>Constellation Problem</t>
        </is>
      </c>
      <c r="G82" s="2" t="inlineStr">
        <is>
          <t>CONSTPROB</t>
        </is>
      </c>
      <c r="H82" s="2" t="inlineStr"/>
      <c r="I82" s="2" t="inlineStr">
        <is>
          <t>Medium</t>
        </is>
      </c>
      <c r="J82" s="3">
        <f>HYPERLINK("https://www.codechef.com/problems/CONSTPROB", "https://www.codechef.com/problems/CONSTPROB")</f>
        <v/>
      </c>
      <c r="K82" s="2" t="inlineStr"/>
      <c r="L82" s="2" t="inlineStr"/>
      <c r="M82" s="2" t="inlineStr"/>
      <c r="N82" s="2" t="inlineStr">
        <is>
          <t>No</t>
        </is>
      </c>
      <c r="O82" s="2" t="inlineStr">
        <is>
          <t>Unattempted</t>
        </is>
      </c>
    </row>
    <row r="83">
      <c r="A83" s="4" t="inlineStr">
        <is>
          <t>Company Based Questions</t>
        </is>
      </c>
      <c r="B83" s="4" t="inlineStr">
        <is>
          <t>TCS Codevita Problems</t>
        </is>
      </c>
      <c r="C83" s="4" t="inlineStr">
        <is>
          <t>Prepare for TCS CodeVita and TCS Interview with most commonly asked coding problems. Solve the previous year Code Vita questions and get ready for for Codevita 2024.</t>
        </is>
      </c>
      <c r="D83" s="4" t="inlineStr">
        <is>
          <t>2020 Problems - CodeVita 2020 Problems</t>
        </is>
      </c>
      <c r="E83" s="4" t="n">
        <v>3</v>
      </c>
      <c r="F83" s="4" t="inlineStr">
        <is>
          <t>Distance Traveled by Beetle</t>
        </is>
      </c>
      <c r="G83" s="4" t="inlineStr">
        <is>
          <t>BEETLE</t>
        </is>
      </c>
      <c r="H83" s="4" t="inlineStr"/>
      <c r="I83" s="4" t="inlineStr">
        <is>
          <t>Hard</t>
        </is>
      </c>
      <c r="J83" s="5">
        <f>HYPERLINK("https://www.codechef.com/problems/BEETLE", "https://www.codechef.com/problems/BEETLE")</f>
        <v/>
      </c>
      <c r="K83" s="4" t="inlineStr"/>
      <c r="L83" s="4" t="inlineStr"/>
      <c r="M83" s="4" t="inlineStr"/>
      <c r="N83" s="4" t="inlineStr">
        <is>
          <t>No</t>
        </is>
      </c>
      <c r="O83" s="4" t="inlineStr">
        <is>
          <t>Unattempted</t>
        </is>
      </c>
    </row>
    <row r="84">
      <c r="A84" s="2" t="inlineStr">
        <is>
          <t>Company Based Questions</t>
        </is>
      </c>
      <c r="B84" s="2" t="inlineStr">
        <is>
          <t>TCS Codevita Problems</t>
        </is>
      </c>
      <c r="C84" s="2" t="inlineStr">
        <is>
          <t>Prepare for TCS CodeVita and TCS Interview with most commonly asked coding problems. Solve the previous year Code Vita questions and get ready for for Codevita 2024.</t>
        </is>
      </c>
      <c r="D84" s="2" t="inlineStr">
        <is>
          <t>2020 Problems - CodeVita 2020 Problems</t>
        </is>
      </c>
      <c r="E84" s="2" t="n">
        <v>4</v>
      </c>
      <c r="F84" s="2" t="inlineStr">
        <is>
          <t>Counting Rock Samples</t>
        </is>
      </c>
      <c r="G84" s="2" t="inlineStr">
        <is>
          <t>RCKCNT</t>
        </is>
      </c>
      <c r="H84" s="2" t="inlineStr"/>
      <c r="I84" s="2" t="inlineStr">
        <is>
          <t>Medium</t>
        </is>
      </c>
      <c r="J84" s="3">
        <f>HYPERLINK("https://www.codechef.com/problems/RCKCNT", "https://www.codechef.com/problems/RCKCNT")</f>
        <v/>
      </c>
      <c r="K84" s="2" t="inlineStr"/>
      <c r="L84" s="2" t="inlineStr"/>
      <c r="M84" s="2" t="inlineStr"/>
      <c r="N84" s="2" t="inlineStr">
        <is>
          <t>No</t>
        </is>
      </c>
      <c r="O84" s="2" t="inlineStr">
        <is>
          <t>Unattempted</t>
        </is>
      </c>
    </row>
    <row r="85">
      <c r="A85" s="4" t="inlineStr">
        <is>
          <t>Company Based Questions</t>
        </is>
      </c>
      <c r="B85" s="4" t="inlineStr">
        <is>
          <t>TCS Codevita Problems</t>
        </is>
      </c>
      <c r="C85" s="4" t="inlineStr">
        <is>
          <t>Prepare for TCS CodeVita and TCS Interview with most commonly asked coding problems. Solve the previous year Code Vita questions and get ready for for Codevita 2024.</t>
        </is>
      </c>
      <c r="D85" s="4" t="inlineStr">
        <is>
          <t>2020 Problems - CodeVita 2020 Problems</t>
        </is>
      </c>
      <c r="E85" s="4" t="n">
        <v>5</v>
      </c>
      <c r="F85" s="4" t="inlineStr">
        <is>
          <t>Maneuvering a Cave</t>
        </is>
      </c>
      <c r="G85" s="4" t="inlineStr">
        <is>
          <t>CAVEPATH</t>
        </is>
      </c>
      <c r="H85" s="4" t="inlineStr"/>
      <c r="I85" s="4" t="inlineStr">
        <is>
          <t>Medium</t>
        </is>
      </c>
      <c r="J85" s="5">
        <f>HYPERLINK("https://www.codechef.com/problems/CAVEPATH", "https://www.codechef.com/problems/CAVEPATH")</f>
        <v/>
      </c>
      <c r="K85" s="4" t="inlineStr"/>
      <c r="L85" s="4" t="inlineStr"/>
      <c r="M85" s="4" t="inlineStr"/>
      <c r="N85" s="4" t="inlineStr">
        <is>
          <t>No</t>
        </is>
      </c>
      <c r="O85" s="4" t="inlineStr">
        <is>
          <t>Unattempted</t>
        </is>
      </c>
    </row>
    <row r="86">
      <c r="A86" s="2" t="inlineStr">
        <is>
          <t>Company Based Questions</t>
        </is>
      </c>
      <c r="B86" s="2" t="inlineStr">
        <is>
          <t>TCS Codevita Problems</t>
        </is>
      </c>
      <c r="C86" s="2" t="inlineStr">
        <is>
          <t>Prepare for TCS CodeVita and TCS Interview with most commonly asked coding problems. Solve the previous year Code Vita questions and get ready for for Codevita 2024.</t>
        </is>
      </c>
      <c r="D86" s="2" t="inlineStr">
        <is>
          <t>2020 Problems - CodeVita 2020 Problems</t>
        </is>
      </c>
      <c r="E86" s="2" t="n">
        <v>6</v>
      </c>
      <c r="F86" s="2" t="inlineStr">
        <is>
          <t>Constellation</t>
        </is>
      </c>
      <c r="G86" s="2" t="inlineStr">
        <is>
          <t>CODEVITA20A</t>
        </is>
      </c>
      <c r="H86" s="2" t="inlineStr"/>
      <c r="I86" s="2" t="inlineStr">
        <is>
          <t>Medium</t>
        </is>
      </c>
      <c r="J86" s="3">
        <f>HYPERLINK("https://www.codechef.com/problems/CODEVITA20A", "https://www.codechef.com/problems/CODEVITA20A")</f>
        <v/>
      </c>
      <c r="K86" s="2" t="inlineStr"/>
      <c r="L86" s="2" t="inlineStr"/>
      <c r="M86" s="2" t="inlineStr"/>
      <c r="N86" s="2" t="inlineStr">
        <is>
          <t>No</t>
        </is>
      </c>
      <c r="O86" s="2" t="inlineStr">
        <is>
          <t>Unattempted</t>
        </is>
      </c>
    </row>
    <row r="87">
      <c r="A87" s="4" t="inlineStr">
        <is>
          <t>Company Based Questions</t>
        </is>
      </c>
      <c r="B87" s="4" t="inlineStr">
        <is>
          <t>TCS Codevita Problems</t>
        </is>
      </c>
      <c r="C87" s="4" t="inlineStr">
        <is>
          <t>Prepare for TCS CodeVita and TCS Interview with most commonly asked coding problems. Solve the previous year Code Vita questions and get ready for for Codevita 2024.</t>
        </is>
      </c>
      <c r="D87" s="4" t="inlineStr">
        <is>
          <t>2020 Problems - CodeVita 2020 Problems</t>
        </is>
      </c>
      <c r="E87" s="4" t="n">
        <v>7</v>
      </c>
      <c r="F87" s="4" t="inlineStr">
        <is>
          <t>Prime Time Again</t>
        </is>
      </c>
      <c r="G87" s="4" t="inlineStr">
        <is>
          <t>CODEVITA20B</t>
        </is>
      </c>
      <c r="H87" s="4" t="inlineStr"/>
      <c r="I87" s="4" t="inlineStr">
        <is>
          <t>Medium</t>
        </is>
      </c>
      <c r="J87" s="5">
        <f>HYPERLINK("https://www.codechef.com/problems/CODEVITA20B", "https://www.codechef.com/problems/CODEVITA20B")</f>
        <v/>
      </c>
      <c r="K87" s="4" t="inlineStr"/>
      <c r="L87" s="4" t="inlineStr"/>
      <c r="M87" s="4" t="inlineStr"/>
      <c r="N87" s="4" t="inlineStr">
        <is>
          <t>No</t>
        </is>
      </c>
      <c r="O87" s="4" t="inlineStr">
        <is>
          <t>Unattempted</t>
        </is>
      </c>
    </row>
    <row r="88">
      <c r="A88" s="2" t="inlineStr">
        <is>
          <t>Company Based Questions</t>
        </is>
      </c>
      <c r="B88" s="2" t="inlineStr">
        <is>
          <t>TCS Codevita Problems</t>
        </is>
      </c>
      <c r="C88" s="2" t="inlineStr">
        <is>
          <t>Prepare for TCS CodeVita and TCS Interview with most commonly asked coding problems. Solve the previous year Code Vita questions and get ready for for Codevita 2024.</t>
        </is>
      </c>
      <c r="D88" s="2" t="inlineStr">
        <is>
          <t>2020 Problems - CodeVita 2020 Problems</t>
        </is>
      </c>
      <c r="E88" s="2" t="n">
        <v>8</v>
      </c>
      <c r="F88" s="2" t="inlineStr">
        <is>
          <t>Minimum Gifts</t>
        </is>
      </c>
      <c r="G88" s="2" t="inlineStr">
        <is>
          <t>CODEVITA20C</t>
        </is>
      </c>
      <c r="H88" s="2" t="inlineStr"/>
      <c r="I88" s="2" t="inlineStr">
        <is>
          <t>Hard</t>
        </is>
      </c>
      <c r="J88" s="3">
        <f>HYPERLINK("https://www.codechef.com/problems/CODEVITA20C", "https://www.codechef.com/problems/CODEVITA20C")</f>
        <v/>
      </c>
      <c r="K88" s="2" t="inlineStr"/>
      <c r="L88" s="2" t="inlineStr"/>
      <c r="M88" s="2" t="inlineStr"/>
      <c r="N88" s="2" t="inlineStr">
        <is>
          <t>No</t>
        </is>
      </c>
      <c r="O88" s="2" t="inlineStr">
        <is>
          <t>Unattempted</t>
        </is>
      </c>
    </row>
    <row r="89">
      <c r="A89" s="4" t="inlineStr">
        <is>
          <t>Company Based Questions</t>
        </is>
      </c>
      <c r="B89" s="4" t="inlineStr">
        <is>
          <t>TCS Codevita Problems</t>
        </is>
      </c>
      <c r="C89" s="4" t="inlineStr">
        <is>
          <t>Prepare for TCS CodeVita and TCS Interview with most commonly asked coding problems. Solve the previous year Code Vita questions and get ready for for Codevita 2024.</t>
        </is>
      </c>
      <c r="D89" s="4" t="inlineStr">
        <is>
          <t>2021 Problems - CodeVita 2021 Problems</t>
        </is>
      </c>
      <c r="E89" s="4" t="n">
        <v>9</v>
      </c>
      <c r="F89" s="4" t="inlineStr">
        <is>
          <t>The Diet Plan</t>
        </is>
      </c>
      <c r="G89" s="4" t="inlineStr">
        <is>
          <t>CODEVITA21A</t>
        </is>
      </c>
      <c r="H89" s="4" t="inlineStr"/>
      <c r="I89" s="4" t="inlineStr">
        <is>
          <t>Hard</t>
        </is>
      </c>
      <c r="J89" s="5">
        <f>HYPERLINK("https://www.codechef.com/problems/CODEVITA21A", "https://www.codechef.com/problems/CODEVITA21A")</f>
        <v/>
      </c>
      <c r="K89" s="4" t="inlineStr"/>
      <c r="L89" s="4" t="inlineStr"/>
      <c r="M89" s="4" t="inlineStr"/>
      <c r="N89" s="4" t="inlineStr">
        <is>
          <t>No</t>
        </is>
      </c>
      <c r="O89" s="4" t="inlineStr">
        <is>
          <t>Unattempted</t>
        </is>
      </c>
    </row>
    <row r="90">
      <c r="A90" s="2" t="inlineStr">
        <is>
          <t>Company Based Questions</t>
        </is>
      </c>
      <c r="B90" s="2" t="inlineStr">
        <is>
          <t>TCS Codevita Problems</t>
        </is>
      </c>
      <c r="C90" s="2" t="inlineStr">
        <is>
          <t>Prepare for TCS CodeVita and TCS Interview with most commonly asked coding problems. Solve the previous year Code Vita questions and get ready for for Codevita 2024.</t>
        </is>
      </c>
      <c r="D90" s="2" t="inlineStr">
        <is>
          <t>2021 Problems - CodeVita 2021 Problems</t>
        </is>
      </c>
      <c r="E90" s="2" t="n">
        <v>10</v>
      </c>
      <c r="F90" s="2" t="inlineStr">
        <is>
          <t>Minimize the sum</t>
        </is>
      </c>
      <c r="G90" s="2" t="inlineStr">
        <is>
          <t>CODEVITA21B</t>
        </is>
      </c>
      <c r="H90" s="2" t="inlineStr"/>
      <c r="I90" s="2" t="inlineStr">
        <is>
          <t>Medium</t>
        </is>
      </c>
      <c r="J90" s="3">
        <f>HYPERLINK("https://www.codechef.com/problems/CODEVITA21B", "https://www.codechef.com/problems/CODEVITA21B")</f>
        <v/>
      </c>
      <c r="K90" s="2" t="inlineStr"/>
      <c r="L90" s="2" t="inlineStr"/>
      <c r="M90" s="2" t="inlineStr"/>
      <c r="N90" s="2" t="inlineStr">
        <is>
          <t>No</t>
        </is>
      </c>
      <c r="O90" s="2" t="inlineStr">
        <is>
          <t>Unattempted</t>
        </is>
      </c>
    </row>
    <row r="91">
      <c r="A91" s="4" t="inlineStr">
        <is>
          <t>Company Based Questions</t>
        </is>
      </c>
      <c r="B91" s="4" t="inlineStr">
        <is>
          <t>TCS Codevita Problems</t>
        </is>
      </c>
      <c r="C91" s="4" t="inlineStr">
        <is>
          <t>Prepare for TCS CodeVita and TCS Interview with most commonly asked coding problems. Solve the previous year Code Vita questions and get ready for for Codevita 2024.</t>
        </is>
      </c>
      <c r="D91" s="4" t="inlineStr">
        <is>
          <t>2021 Problems - CodeVita 2021 Problems</t>
        </is>
      </c>
      <c r="E91" s="4" t="n">
        <v>11</v>
      </c>
      <c r="F91" s="4" t="inlineStr">
        <is>
          <t>Railway Station</t>
        </is>
      </c>
      <c r="G91" s="4" t="inlineStr">
        <is>
          <t>CODEVITA21C</t>
        </is>
      </c>
      <c r="H91" s="4" t="inlineStr"/>
      <c r="I91" s="4" t="inlineStr">
        <is>
          <t>Medium</t>
        </is>
      </c>
      <c r="J91" s="5">
        <f>HYPERLINK("https://www.codechef.com/problems/CODEVITA21C", "https://www.codechef.com/problems/CODEVITA21C")</f>
        <v/>
      </c>
      <c r="K91" s="4" t="inlineStr"/>
      <c r="L91" s="4" t="inlineStr"/>
      <c r="M91" s="4" t="inlineStr"/>
      <c r="N91" s="4" t="inlineStr">
        <is>
          <t>No</t>
        </is>
      </c>
      <c r="O91" s="4" t="inlineStr">
        <is>
          <t>Unattempted</t>
        </is>
      </c>
    </row>
    <row r="92">
      <c r="A92" s="2" t="inlineStr">
        <is>
          <t>Company Based Questions</t>
        </is>
      </c>
      <c r="B92" s="2" t="inlineStr">
        <is>
          <t>TCS Codevita Problems</t>
        </is>
      </c>
      <c r="C92" s="2" t="inlineStr">
        <is>
          <t>Prepare for TCS CodeVita and TCS Interview with most commonly asked coding problems. Solve the previous year Code Vita questions and get ready for for Codevita 2024.</t>
        </is>
      </c>
      <c r="D92" s="2" t="inlineStr">
        <is>
          <t>2022 Problems - CodeVita 2022 Problems</t>
        </is>
      </c>
      <c r="E92" s="2" t="n">
        <v>12</v>
      </c>
      <c r="F92" s="2" t="inlineStr">
        <is>
          <t>Count Pairs</t>
        </is>
      </c>
      <c r="G92" s="2" t="inlineStr">
        <is>
          <t>CODEVITA22A</t>
        </is>
      </c>
      <c r="H92" s="2" t="inlineStr"/>
      <c r="I92" s="2" t="inlineStr">
        <is>
          <t>Medium</t>
        </is>
      </c>
      <c r="J92" s="3">
        <f>HYPERLINK("https://www.codechef.com/problems/CODEVITA22A", "https://www.codechef.com/problems/CODEVITA22A")</f>
        <v/>
      </c>
      <c r="K92" s="2" t="inlineStr"/>
      <c r="L92" s="2" t="inlineStr"/>
      <c r="M92" s="2" t="inlineStr"/>
      <c r="N92" s="2" t="inlineStr">
        <is>
          <t>No</t>
        </is>
      </c>
      <c r="O92" s="2" t="inlineStr">
        <is>
          <t>Unattempted</t>
        </is>
      </c>
    </row>
    <row r="93">
      <c r="A93" s="4" t="inlineStr">
        <is>
          <t>Company Based Questions</t>
        </is>
      </c>
      <c r="B93" s="4" t="inlineStr">
        <is>
          <t>TCS Codevita Problems</t>
        </is>
      </c>
      <c r="C93" s="4" t="inlineStr">
        <is>
          <t>Prepare for TCS CodeVita and TCS Interview with most commonly asked coding problems. Solve the previous year Code Vita questions and get ready for for Codevita 2024.</t>
        </is>
      </c>
      <c r="D93" s="4" t="inlineStr">
        <is>
          <t>2022 Problems - CodeVita 2022 Problems</t>
        </is>
      </c>
      <c r="E93" s="4" t="n">
        <v>13</v>
      </c>
      <c r="F93" s="4" t="inlineStr">
        <is>
          <t>Critical Planets</t>
        </is>
      </c>
      <c r="G93" s="4" t="inlineStr">
        <is>
          <t>CODEVITA22B</t>
        </is>
      </c>
      <c r="H93" s="4" t="inlineStr"/>
      <c r="I93" s="4" t="inlineStr">
        <is>
          <t>Hard</t>
        </is>
      </c>
      <c r="J93" s="5">
        <f>HYPERLINK("https://www.codechef.com/problems/CODEVITA22B", "https://www.codechef.com/problems/CODEVITA22B")</f>
        <v/>
      </c>
      <c r="K93" s="4" t="inlineStr"/>
      <c r="L93" s="4" t="inlineStr"/>
      <c r="M93" s="4" t="inlineStr"/>
      <c r="N93" s="4" t="inlineStr">
        <is>
          <t>No</t>
        </is>
      </c>
      <c r="O93" s="4" t="inlineStr">
        <is>
          <t>Unattempted</t>
        </is>
      </c>
    </row>
    <row r="94">
      <c r="A94" s="2" t="inlineStr">
        <is>
          <t>Company Based Questions</t>
        </is>
      </c>
      <c r="B94" s="2" t="inlineStr">
        <is>
          <t>TCS Codevita Problems</t>
        </is>
      </c>
      <c r="C94" s="2" t="inlineStr">
        <is>
          <t>Prepare for TCS CodeVita and TCS Interview with most commonly asked coding problems. Solve the previous year Code Vita questions and get ready for for Codevita 2024.</t>
        </is>
      </c>
      <c r="D94" s="2" t="inlineStr">
        <is>
          <t>2022 Problems - CodeVita 2022 Problems</t>
        </is>
      </c>
      <c r="E94" s="2" t="n">
        <v>14</v>
      </c>
      <c r="F94" s="2" t="inlineStr">
        <is>
          <t>String Pair</t>
        </is>
      </c>
      <c r="G94" s="2" t="inlineStr">
        <is>
          <t>CODEVITA22C</t>
        </is>
      </c>
      <c r="H94" s="2" t="inlineStr"/>
      <c r="I94" s="2" t="inlineStr">
        <is>
          <t>Medium</t>
        </is>
      </c>
      <c r="J94" s="3">
        <f>HYPERLINK("https://www.codechef.com/problems/CODEVITA22C", "https://www.codechef.com/problems/CODEVITA22C")</f>
        <v/>
      </c>
      <c r="K94" s="2" t="inlineStr"/>
      <c r="L94" s="2" t="inlineStr"/>
      <c r="M94" s="2" t="inlineStr"/>
      <c r="N94" s="2" t="inlineStr">
        <is>
          <t>No</t>
        </is>
      </c>
      <c r="O94" s="2" t="inlineStr">
        <is>
          <t>Unattempted</t>
        </is>
      </c>
    </row>
    <row r="95">
      <c r="A95" s="4" t="inlineStr">
        <is>
          <t>Company Based Questions</t>
        </is>
      </c>
      <c r="B95" s="4" t="inlineStr">
        <is>
          <t>TCS Codevita Problems</t>
        </is>
      </c>
      <c r="C95" s="4" t="inlineStr">
        <is>
          <t>Prepare for TCS CodeVita and TCS Interview with most commonly asked coding problems. Solve the previous year Code Vita questions and get ready for for Codevita 2024.</t>
        </is>
      </c>
      <c r="D95" s="4" t="inlineStr">
        <is>
          <t>2023 Problems - CodeVita 2023 Problems</t>
        </is>
      </c>
      <c r="E95" s="4" t="n">
        <v>15</v>
      </c>
      <c r="F95" s="4" t="inlineStr">
        <is>
          <t>Zero Count</t>
        </is>
      </c>
      <c r="G95" s="4" t="inlineStr">
        <is>
          <t>CODEVITA23A</t>
        </is>
      </c>
      <c r="H95" s="4" t="inlineStr"/>
      <c r="I95" s="4" t="inlineStr">
        <is>
          <t>Medium</t>
        </is>
      </c>
      <c r="J95" s="5">
        <f>HYPERLINK("https://www.codechef.com/problems/CODEVITA23A", "https://www.codechef.com/problems/CODEVITA23A")</f>
        <v/>
      </c>
      <c r="K95" s="4" t="inlineStr"/>
      <c r="L95" s="4" t="inlineStr"/>
      <c r="M95" s="4" t="inlineStr"/>
      <c r="N95" s="4" t="inlineStr">
        <is>
          <t>No</t>
        </is>
      </c>
      <c r="O95" s="4" t="inlineStr">
        <is>
          <t>Unattempted</t>
        </is>
      </c>
    </row>
    <row r="96">
      <c r="A96" s="2" t="inlineStr">
        <is>
          <t>Company Based Questions</t>
        </is>
      </c>
      <c r="B96" s="2" t="inlineStr">
        <is>
          <t>TCS Codevita Problems</t>
        </is>
      </c>
      <c r="C96" s="2" t="inlineStr">
        <is>
          <t>Prepare for TCS CodeVita and TCS Interview with most commonly asked coding problems. Solve the previous year Code Vita questions and get ready for for Codevita 2024.</t>
        </is>
      </c>
      <c r="D96" s="2" t="inlineStr">
        <is>
          <t>2023 Problems - CodeVita 2023 Problems</t>
        </is>
      </c>
      <c r="E96" s="2" t="n">
        <v>16</v>
      </c>
      <c r="F96" s="2" t="inlineStr">
        <is>
          <t>String From Rank</t>
        </is>
      </c>
      <c r="G96" s="2" t="inlineStr">
        <is>
          <t>CODEVITA23B</t>
        </is>
      </c>
      <c r="H96" s="2" t="inlineStr"/>
      <c r="I96" s="2" t="inlineStr">
        <is>
          <t>Medium</t>
        </is>
      </c>
      <c r="J96" s="3">
        <f>HYPERLINK("https://www.codechef.com/problems/CODEVITA23B", "https://www.codechef.com/problems/CODEVITA23B")</f>
        <v/>
      </c>
      <c r="K96" s="2" t="inlineStr"/>
      <c r="L96" s="2" t="inlineStr"/>
      <c r="M96" s="2" t="inlineStr"/>
      <c r="N96" s="2" t="inlineStr">
        <is>
          <t>No</t>
        </is>
      </c>
      <c r="O96" s="2" t="inlineStr">
        <is>
          <t>Unattempted</t>
        </is>
      </c>
    </row>
    <row r="97">
      <c r="A97" s="4" t="inlineStr">
        <is>
          <t>Company Based Questions</t>
        </is>
      </c>
      <c r="B97" s="4" t="inlineStr">
        <is>
          <t>TCS Codevita Problems</t>
        </is>
      </c>
      <c r="C97" s="4" t="inlineStr">
        <is>
          <t>Prepare for TCS CodeVita and TCS Interview with most commonly asked coding problems. Solve the previous year Code Vita questions and get ready for for Codevita 2024.</t>
        </is>
      </c>
      <c r="D97" s="4" t="inlineStr">
        <is>
          <t>2023 Problems - CodeVita 2023 Problems</t>
        </is>
      </c>
      <c r="E97" s="4" t="n">
        <v>17</v>
      </c>
      <c r="F97" s="4" t="inlineStr">
        <is>
          <t>Good String</t>
        </is>
      </c>
      <c r="G97" s="4" t="inlineStr">
        <is>
          <t>CODEVITA23C</t>
        </is>
      </c>
      <c r="H97" s="4" t="inlineStr"/>
      <c r="I97" s="4" t="inlineStr">
        <is>
          <t>Medium</t>
        </is>
      </c>
      <c r="J97" s="5">
        <f>HYPERLINK("https://www.codechef.com/problems/CODEVITA23C", "https://www.codechef.com/problems/CODEVITA23C")</f>
        <v/>
      </c>
      <c r="K97" s="4" t="inlineStr"/>
      <c r="L97" s="4" t="inlineStr"/>
      <c r="M97" s="4" t="inlineStr"/>
      <c r="N97" s="4" t="inlineStr">
        <is>
          <t>No</t>
        </is>
      </c>
      <c r="O97" s="4" t="inlineStr">
        <is>
          <t>Unattempted</t>
        </is>
      </c>
    </row>
    <row r="98">
      <c r="A98" s="2" t="inlineStr">
        <is>
          <t>Company Based Questions</t>
        </is>
      </c>
      <c r="B98" s="2" t="inlineStr">
        <is>
          <t>TCS Codevita Problems</t>
        </is>
      </c>
      <c r="C98" s="2" t="inlineStr">
        <is>
          <t>Prepare for TCS CodeVita and TCS Interview with most commonly asked coding problems. Solve the previous year Code Vita questions and get ready for for Codevita 2024.</t>
        </is>
      </c>
      <c r="D98" s="2" t="inlineStr">
        <is>
          <t>2023 Problems - CodeVita 2023 Problems</t>
        </is>
      </c>
      <c r="E98" s="2" t="n">
        <v>18</v>
      </c>
      <c r="F98" s="2" t="inlineStr">
        <is>
          <t>Square Free Number</t>
        </is>
      </c>
      <c r="G98" s="2" t="inlineStr">
        <is>
          <t>CODEVITA23D</t>
        </is>
      </c>
      <c r="H98" s="2" t="inlineStr"/>
      <c r="I98" s="2" t="inlineStr">
        <is>
          <t>Medium</t>
        </is>
      </c>
      <c r="J98" s="3">
        <f>HYPERLINK("https://www.codechef.com/problems/CODEVITA23D", "https://www.codechef.com/problems/CODEVITA23D")</f>
        <v/>
      </c>
      <c r="K98" s="2" t="inlineStr"/>
      <c r="L98" s="2" t="inlineStr"/>
      <c r="M98" s="2" t="inlineStr"/>
      <c r="N98" s="2" t="inlineStr">
        <is>
          <t>No</t>
        </is>
      </c>
      <c r="O98" s="2" t="inlineStr">
        <is>
          <t>Unattempted</t>
        </is>
      </c>
    </row>
    <row r="99">
      <c r="A99" s="4" t="inlineStr">
        <is>
          <t>Company Based Questions</t>
        </is>
      </c>
      <c r="B99" s="4" t="inlineStr">
        <is>
          <t>TCS Codevita Problems</t>
        </is>
      </c>
      <c r="C99" s="4" t="inlineStr">
        <is>
          <t>Prepare for TCS CodeVita and TCS Interview with most commonly asked coding problems. Solve the previous year Code Vita questions and get ready for for Codevita 2024.</t>
        </is>
      </c>
      <c r="D99" s="4" t="inlineStr">
        <is>
          <t>2023 Problems - CodeVita 2023 Problems</t>
        </is>
      </c>
      <c r="E99" s="4" t="n">
        <v>19</v>
      </c>
      <c r="F99" s="4" t="inlineStr">
        <is>
          <t>Sorting Boxes</t>
        </is>
      </c>
      <c r="G99" s="4" t="inlineStr">
        <is>
          <t>CODEVITA23E</t>
        </is>
      </c>
      <c r="H99" s="4" t="inlineStr"/>
      <c r="I99" s="4" t="inlineStr">
        <is>
          <t>Medium</t>
        </is>
      </c>
      <c r="J99" s="5">
        <f>HYPERLINK("https://www.codechef.com/problems/CODEVITA23E", "https://www.codechef.com/problems/CODEVITA23E")</f>
        <v/>
      </c>
      <c r="K99" s="4" t="inlineStr"/>
      <c r="L99" s="4" t="inlineStr"/>
      <c r="M99" s="4" t="inlineStr"/>
      <c r="N99" s="4" t="inlineStr">
        <is>
          <t>No</t>
        </is>
      </c>
      <c r="O99" s="4" t="inlineStr">
        <is>
          <t>Unattempted</t>
        </is>
      </c>
    </row>
    <row r="100">
      <c r="A100" s="2" t="inlineStr">
        <is>
          <t>Company Based Questions</t>
        </is>
      </c>
      <c r="B100" s="2" t="inlineStr">
        <is>
          <t>TCS NQT Coding Questions</t>
        </is>
      </c>
      <c r="C100" s="2" t="inlineStr">
        <is>
          <t>Prepare for TCS NQT with previous years questions. Solve the coding, numerical ability, reasoning ability, verbal ability and quant questions which were asked in the past.</t>
        </is>
      </c>
      <c r="D100" s="2" t="inlineStr">
        <is>
          <t>Coding Problems - Past Years Coding Problems</t>
        </is>
      </c>
      <c r="E100" s="2" t="n">
        <v>1</v>
      </c>
      <c r="F100" s="2" t="inlineStr">
        <is>
          <t>Count Pairs divisible by 2</t>
        </is>
      </c>
      <c r="G100" s="2" t="inlineStr">
        <is>
          <t>TCSNQTCP01</t>
        </is>
      </c>
      <c r="H100" s="2" t="inlineStr"/>
      <c r="I100" s="2" t="inlineStr">
        <is>
          <t>Medium</t>
        </is>
      </c>
      <c r="J100" s="3">
        <f>HYPERLINK("https://www.codechef.com/problems/TCSNQTCP01", "https://www.codechef.com/problems/TCSNQTCP01")</f>
        <v/>
      </c>
      <c r="K100" s="2" t="inlineStr"/>
      <c r="L100" s="2" t="inlineStr"/>
      <c r="M100" s="2" t="inlineStr"/>
      <c r="N100" s="2" t="inlineStr">
        <is>
          <t>No</t>
        </is>
      </c>
      <c r="O100" s="2" t="inlineStr">
        <is>
          <t>Unattempted</t>
        </is>
      </c>
    </row>
    <row r="101">
      <c r="A101" s="4" t="inlineStr">
        <is>
          <t>Company Based Questions</t>
        </is>
      </c>
      <c r="B101" s="4" t="inlineStr">
        <is>
          <t>TCS NQT Coding Questions</t>
        </is>
      </c>
      <c r="C101" s="4" t="inlineStr">
        <is>
          <t>Prepare for TCS NQT with previous years questions. Solve the coding, numerical ability, reasoning ability, verbal ability and quant questions which were asked in the past.</t>
        </is>
      </c>
      <c r="D101" s="4" t="inlineStr">
        <is>
          <t>Coding Problems - Past Years Coding Problems</t>
        </is>
      </c>
      <c r="E101" s="4" t="n">
        <v>2</v>
      </c>
      <c r="F101" s="4" t="inlineStr">
        <is>
          <t>Factorial without Multiplication &amp; Division</t>
        </is>
      </c>
      <c r="G101" s="4" t="inlineStr">
        <is>
          <t>TCSNQTCP02</t>
        </is>
      </c>
      <c r="H101" s="4" t="inlineStr"/>
      <c r="I101" s="4" t="inlineStr">
        <is>
          <t>Medium</t>
        </is>
      </c>
      <c r="J101" s="5">
        <f>HYPERLINK("https://www.codechef.com/problems/TCSNQTCP02", "https://www.codechef.com/problems/TCSNQTCP02")</f>
        <v/>
      </c>
      <c r="K101" s="4" t="inlineStr"/>
      <c r="L101" s="4" t="inlineStr"/>
      <c r="M101" s="4" t="inlineStr"/>
      <c r="N101" s="4" t="inlineStr">
        <is>
          <t>No</t>
        </is>
      </c>
      <c r="O101" s="4" t="inlineStr">
        <is>
          <t>Unattempted</t>
        </is>
      </c>
    </row>
    <row r="102">
      <c r="A102" s="2" t="inlineStr">
        <is>
          <t>Company Based Questions</t>
        </is>
      </c>
      <c r="B102" s="2" t="inlineStr">
        <is>
          <t>TCS NQT Coding Questions</t>
        </is>
      </c>
      <c r="C102" s="2" t="inlineStr">
        <is>
          <t>Prepare for TCS NQT with previous years questions. Solve the coding, numerical ability, reasoning ability, verbal ability and quant questions which were asked in the past.</t>
        </is>
      </c>
      <c r="D102" s="2" t="inlineStr">
        <is>
          <t>Coding Problems - Past Years Coding Problems</t>
        </is>
      </c>
      <c r="E102" s="2" t="n">
        <v>3</v>
      </c>
      <c r="F102" s="2" t="inlineStr">
        <is>
          <t>Identify Row with Most 1</t>
        </is>
      </c>
      <c r="G102" s="2" t="inlineStr">
        <is>
          <t>TCSNQTCP03</t>
        </is>
      </c>
      <c r="H102" s="2" t="inlineStr"/>
      <c r="I102" s="2" t="inlineStr">
        <is>
          <t>Easy</t>
        </is>
      </c>
      <c r="J102" s="3">
        <f>HYPERLINK("https://www.codechef.com/problems/TCSNQTCP03", "https://www.codechef.com/problems/TCSNQTCP03")</f>
        <v/>
      </c>
      <c r="K102" s="2" t="inlineStr"/>
      <c r="L102" s="2" t="inlineStr"/>
      <c r="M102" s="2" t="inlineStr"/>
      <c r="N102" s="2" t="inlineStr">
        <is>
          <t>No</t>
        </is>
      </c>
      <c r="O102" s="2" t="inlineStr">
        <is>
          <t>Unattempted</t>
        </is>
      </c>
    </row>
    <row r="103">
      <c r="A103" s="4" t="inlineStr">
        <is>
          <t>Company Based Questions</t>
        </is>
      </c>
      <c r="B103" s="4" t="inlineStr">
        <is>
          <t>TCS NQT Coding Questions</t>
        </is>
      </c>
      <c r="C103" s="4" t="inlineStr">
        <is>
          <t>Prepare for TCS NQT with previous years questions. Solve the coding, numerical ability, reasoning ability, verbal ability and quant questions which were asked in the past.</t>
        </is>
      </c>
      <c r="D103" s="4" t="inlineStr">
        <is>
          <t>Coding Problems - Past Years Coding Problems</t>
        </is>
      </c>
      <c r="E103" s="4" t="n">
        <v>4</v>
      </c>
      <c r="F103" s="4" t="inlineStr">
        <is>
          <t>Count Character Occurrences</t>
        </is>
      </c>
      <c r="G103" s="4" t="inlineStr">
        <is>
          <t>TCSNQTCP04</t>
        </is>
      </c>
      <c r="H103" s="4" t="inlineStr"/>
      <c r="I103" s="4" t="inlineStr">
        <is>
          <t>Medium</t>
        </is>
      </c>
      <c r="J103" s="5">
        <f>HYPERLINK("https://www.codechef.com/problems/TCSNQTCP04", "https://www.codechef.com/problems/TCSNQTCP04")</f>
        <v/>
      </c>
      <c r="K103" s="4" t="inlineStr"/>
      <c r="L103" s="4" t="inlineStr"/>
      <c r="M103" s="4" t="inlineStr"/>
      <c r="N103" s="4" t="inlineStr">
        <is>
          <t>No</t>
        </is>
      </c>
      <c r="O103" s="4" t="inlineStr">
        <is>
          <t>Unattempted</t>
        </is>
      </c>
    </row>
    <row r="104">
      <c r="A104" s="2" t="inlineStr">
        <is>
          <t>Company Based Questions</t>
        </is>
      </c>
      <c r="B104" s="2" t="inlineStr">
        <is>
          <t>TCS NQT Coding Questions</t>
        </is>
      </c>
      <c r="C104" s="2" t="inlineStr">
        <is>
          <t>Prepare for TCS NQT with previous years questions. Solve the coding, numerical ability, reasoning ability, verbal ability and quant questions which were asked in the past.</t>
        </is>
      </c>
      <c r="D104" s="2" t="inlineStr">
        <is>
          <t>Coding Problems - Past Years Coding Problems</t>
        </is>
      </c>
      <c r="E104" s="2" t="n">
        <v>5</v>
      </c>
      <c r="F104" s="2" t="inlineStr">
        <is>
          <t>Good Number</t>
        </is>
      </c>
      <c r="G104" s="2" t="inlineStr">
        <is>
          <t>TCSNQTCP05</t>
        </is>
      </c>
      <c r="H104" s="2" t="inlineStr"/>
      <c r="I104" s="2" t="inlineStr">
        <is>
          <t>Easy</t>
        </is>
      </c>
      <c r="J104" s="3">
        <f>HYPERLINK("https://www.codechef.com/problems/TCSNQTCP05", "https://www.codechef.com/problems/TCSNQTCP05")</f>
        <v/>
      </c>
      <c r="K104" s="2" t="inlineStr"/>
      <c r="L104" s="2" t="inlineStr"/>
      <c r="M104" s="2" t="inlineStr"/>
      <c r="N104" s="2" t="inlineStr">
        <is>
          <t>No</t>
        </is>
      </c>
      <c r="O104" s="2" t="inlineStr">
        <is>
          <t>Unattempted</t>
        </is>
      </c>
    </row>
    <row r="105">
      <c r="A105" s="4" t="inlineStr">
        <is>
          <t>Company Based Questions</t>
        </is>
      </c>
      <c r="B105" s="4" t="inlineStr">
        <is>
          <t>TCS NQT Coding Questions</t>
        </is>
      </c>
      <c r="C105" s="4" t="inlineStr">
        <is>
          <t>Prepare for TCS NQT with previous years questions. Solve the coding, numerical ability, reasoning ability, verbal ability and quant questions which were asked in the past.</t>
        </is>
      </c>
      <c r="D105" s="4" t="inlineStr">
        <is>
          <t>Coding Problems - Past Years Coding Problems</t>
        </is>
      </c>
      <c r="E105" s="4" t="n">
        <v>6</v>
      </c>
      <c r="F105" s="4" t="inlineStr">
        <is>
          <t>Vehicle Manufacturing</t>
        </is>
      </c>
      <c r="G105" s="4" t="inlineStr">
        <is>
          <t>TCSNQTCP06</t>
        </is>
      </c>
      <c r="H105" s="4" t="inlineStr"/>
      <c r="I105" s="4" t="inlineStr">
        <is>
          <t>Medium</t>
        </is>
      </c>
      <c r="J105" s="5">
        <f>HYPERLINK("https://www.codechef.com/problems/TCSNQTCP06", "https://www.codechef.com/problems/TCSNQTCP06")</f>
        <v/>
      </c>
      <c r="K105" s="4" t="inlineStr"/>
      <c r="L105" s="4" t="inlineStr"/>
      <c r="M105" s="4" t="inlineStr"/>
      <c r="N105" s="4" t="inlineStr">
        <is>
          <t>No</t>
        </is>
      </c>
      <c r="O105" s="4" t="inlineStr">
        <is>
          <t>Unattempted</t>
        </is>
      </c>
    </row>
    <row r="106">
      <c r="A106" s="2" t="inlineStr">
        <is>
          <t>Company Based Questions</t>
        </is>
      </c>
      <c r="B106" s="2" t="inlineStr">
        <is>
          <t>TCS NQT Coding Questions</t>
        </is>
      </c>
      <c r="C106" s="2" t="inlineStr">
        <is>
          <t>Prepare for TCS NQT with previous years questions. Solve the coding, numerical ability, reasoning ability, verbal ability and quant questions which were asked in the past.</t>
        </is>
      </c>
      <c r="D106" s="2" t="inlineStr">
        <is>
          <t>Coding Problems - Past Years Coding Problems</t>
        </is>
      </c>
      <c r="E106" s="2" t="n">
        <v>7</v>
      </c>
      <c r="F106" s="2" t="inlineStr">
        <is>
          <t>Longest Common Prefix</t>
        </is>
      </c>
      <c r="G106" s="2" t="inlineStr">
        <is>
          <t>TCSNQTCP07</t>
        </is>
      </c>
      <c r="H106" s="2" t="inlineStr"/>
      <c r="I106" s="2" t="inlineStr">
        <is>
          <t>Medium</t>
        </is>
      </c>
      <c r="J106" s="3">
        <f>HYPERLINK("https://www.codechef.com/problems/TCSNQTCP07", "https://www.codechef.com/problems/TCSNQTCP07")</f>
        <v/>
      </c>
      <c r="K106" s="2" t="inlineStr"/>
      <c r="L106" s="2" t="inlineStr"/>
      <c r="M106" s="2" t="inlineStr"/>
      <c r="N106" s="2" t="inlineStr">
        <is>
          <t>No</t>
        </is>
      </c>
      <c r="O106" s="2" t="inlineStr">
        <is>
          <t>Unattempted</t>
        </is>
      </c>
    </row>
    <row r="107">
      <c r="A107" s="4" t="inlineStr">
        <is>
          <t>Company Based Questions</t>
        </is>
      </c>
      <c r="B107" s="4" t="inlineStr">
        <is>
          <t>TCS NQT Coding Questions</t>
        </is>
      </c>
      <c r="C107" s="4" t="inlineStr">
        <is>
          <t>Prepare for TCS NQT with previous years questions. Solve the coding, numerical ability, reasoning ability, verbal ability and quant questions which were asked in the past.</t>
        </is>
      </c>
      <c r="D107" s="4" t="inlineStr">
        <is>
          <t>Coding Problems - Past Years Coding Problems</t>
        </is>
      </c>
      <c r="E107" s="4" t="n">
        <v>8</v>
      </c>
      <c r="F107" s="4" t="inlineStr">
        <is>
          <t>Union of Sorted Arrays</t>
        </is>
      </c>
      <c r="G107" s="4" t="inlineStr">
        <is>
          <t>TCSNQTCP08</t>
        </is>
      </c>
      <c r="H107" s="4" t="inlineStr"/>
      <c r="I107" s="4" t="inlineStr">
        <is>
          <t>Medium</t>
        </is>
      </c>
      <c r="J107" s="5">
        <f>HYPERLINK("https://www.codechef.com/problems/TCSNQTCP08", "https://www.codechef.com/problems/TCSNQTCP08")</f>
        <v/>
      </c>
      <c r="K107" s="4" t="inlineStr"/>
      <c r="L107" s="4" t="inlineStr"/>
      <c r="M107" s="4" t="inlineStr"/>
      <c r="N107" s="4" t="inlineStr">
        <is>
          <t>No</t>
        </is>
      </c>
      <c r="O107" s="4" t="inlineStr">
        <is>
          <t>Unattempted</t>
        </is>
      </c>
    </row>
    <row r="108">
      <c r="A108" s="2" t="inlineStr">
        <is>
          <t>Company Based Questions</t>
        </is>
      </c>
      <c r="B108" s="2" t="inlineStr">
        <is>
          <t>TCS NQT Coding Questions</t>
        </is>
      </c>
      <c r="C108" s="2" t="inlineStr">
        <is>
          <t>Prepare for TCS NQT with previous years questions. Solve the coding, numerical ability, reasoning ability, verbal ability and quant questions which were asked in the past.</t>
        </is>
      </c>
      <c r="D108" s="2" t="inlineStr">
        <is>
          <t>Coding Problems - Past Years Coding Problems</t>
        </is>
      </c>
      <c r="E108" s="2" t="n">
        <v>9</v>
      </c>
      <c r="F108" s="2" t="inlineStr">
        <is>
          <t>Find Equilibrium Point</t>
        </is>
      </c>
      <c r="G108" s="2" t="inlineStr">
        <is>
          <t>TCSNQTCP09</t>
        </is>
      </c>
      <c r="H108" s="2" t="inlineStr"/>
      <c r="I108" s="2" t="inlineStr">
        <is>
          <t>Medium</t>
        </is>
      </c>
      <c r="J108" s="3">
        <f>HYPERLINK("https://www.codechef.com/problems/TCSNQTCP09", "https://www.codechef.com/problems/TCSNQTCP09")</f>
        <v/>
      </c>
      <c r="K108" s="2" t="inlineStr"/>
      <c r="L108" s="2" t="inlineStr"/>
      <c r="M108" s="2" t="inlineStr"/>
      <c r="N108" s="2" t="inlineStr">
        <is>
          <t>No</t>
        </is>
      </c>
      <c r="O108" s="2" t="inlineStr">
        <is>
          <t>Unattempted</t>
        </is>
      </c>
    </row>
    <row r="109">
      <c r="A109" s="4" t="inlineStr">
        <is>
          <t>Company Based Questions</t>
        </is>
      </c>
      <c r="B109" s="4" t="inlineStr">
        <is>
          <t>TCS NQT Coding Questions</t>
        </is>
      </c>
      <c r="C109" s="4" t="inlineStr">
        <is>
          <t>Prepare for TCS NQT with previous years questions. Solve the coding, numerical ability, reasoning ability, verbal ability and quant questions which were asked in the past.</t>
        </is>
      </c>
      <c r="D109" s="4" t="inlineStr">
        <is>
          <t>Coding Problems - Past Years Coding Problems</t>
        </is>
      </c>
      <c r="E109" s="4" t="n">
        <v>10</v>
      </c>
      <c r="F109" s="4" t="inlineStr">
        <is>
          <t>Convert number to words</t>
        </is>
      </c>
      <c r="G109" s="4" t="inlineStr">
        <is>
          <t>TCSNQTCP10</t>
        </is>
      </c>
      <c r="H109" s="4" t="inlineStr"/>
      <c r="I109" s="4" t="inlineStr">
        <is>
          <t>Medium</t>
        </is>
      </c>
      <c r="J109" s="5">
        <f>HYPERLINK("https://www.codechef.com/problems/TCSNQTCP10", "https://www.codechef.com/problems/TCSNQTCP10")</f>
        <v/>
      </c>
      <c r="K109" s="4" t="inlineStr"/>
      <c r="L109" s="4" t="inlineStr"/>
      <c r="M109" s="4" t="inlineStr"/>
      <c r="N109" s="4" t="inlineStr">
        <is>
          <t>No</t>
        </is>
      </c>
      <c r="O109" s="4" t="inlineStr">
        <is>
          <t>Unattempted</t>
        </is>
      </c>
    </row>
    <row r="110">
      <c r="A110" s="2" t="inlineStr">
        <is>
          <t>Company Based Questions</t>
        </is>
      </c>
      <c r="B110" s="2" t="inlineStr">
        <is>
          <t>TCS NQT Coding Questions</t>
        </is>
      </c>
      <c r="C110" s="2" t="inlineStr">
        <is>
          <t>Prepare for TCS NQT with previous years questions. Solve the coding, numerical ability, reasoning ability, verbal ability and quant questions which were asked in the past.</t>
        </is>
      </c>
      <c r="D110" s="2" t="inlineStr">
        <is>
          <t>Numerical Ability Problems - Past Years Numerical Ability Problems</t>
        </is>
      </c>
      <c r="E110" s="2" t="n">
        <v>11</v>
      </c>
      <c r="F110" s="2" t="inlineStr">
        <is>
          <t>Task Completion</t>
        </is>
      </c>
      <c r="G110" s="2" t="inlineStr">
        <is>
          <t>TCSNQTNA01</t>
        </is>
      </c>
      <c r="H110" s="2" t="inlineStr"/>
      <c r="I110" s="2" t="inlineStr">
        <is>
          <t>Medium</t>
        </is>
      </c>
      <c r="J110" s="3">
        <f>HYPERLINK("https://www.codechef.com/problems/TCSNQTNA01", "https://www.codechef.com/problems/TCSNQTNA01")</f>
        <v/>
      </c>
      <c r="K110" s="2" t="inlineStr"/>
      <c r="L110" s="2" t="inlineStr"/>
      <c r="M110" s="2" t="inlineStr"/>
      <c r="N110" s="2" t="inlineStr">
        <is>
          <t>No</t>
        </is>
      </c>
      <c r="O110" s="2" t="inlineStr">
        <is>
          <t>Unattempted</t>
        </is>
      </c>
    </row>
    <row r="111">
      <c r="A111" s="4" t="inlineStr">
        <is>
          <t>Company Based Questions</t>
        </is>
      </c>
      <c r="B111" s="4" t="inlineStr">
        <is>
          <t>TCS NQT Coding Questions</t>
        </is>
      </c>
      <c r="C111" s="4" t="inlineStr">
        <is>
          <t>Prepare for TCS NQT with previous years questions. Solve the coding, numerical ability, reasoning ability, verbal ability and quant questions which were asked in the past.</t>
        </is>
      </c>
      <c r="D111" s="4" t="inlineStr">
        <is>
          <t>Numerical Ability Problems - Past Years Numerical Ability Problems</t>
        </is>
      </c>
      <c r="E111" s="4" t="n">
        <v>12</v>
      </c>
      <c r="F111" s="4" t="inlineStr">
        <is>
          <t>Count Coins</t>
        </is>
      </c>
      <c r="G111" s="4" t="inlineStr">
        <is>
          <t>TCSNQTNA02</t>
        </is>
      </c>
      <c r="H111" s="4" t="inlineStr"/>
      <c r="I111" s="4" t="inlineStr">
        <is>
          <t>Medium</t>
        </is>
      </c>
      <c r="J111" s="5">
        <f>HYPERLINK("https://www.codechef.com/problems/TCSNQTNA02", "https://www.codechef.com/problems/TCSNQTNA02")</f>
        <v/>
      </c>
      <c r="K111" s="4" t="inlineStr"/>
      <c r="L111" s="4" t="inlineStr"/>
      <c r="M111" s="4" t="inlineStr"/>
      <c r="N111" s="4" t="inlineStr">
        <is>
          <t>No</t>
        </is>
      </c>
      <c r="O111" s="4" t="inlineStr">
        <is>
          <t>Unattempted</t>
        </is>
      </c>
    </row>
    <row r="112">
      <c r="A112" s="2" t="inlineStr">
        <is>
          <t>Company Based Questions</t>
        </is>
      </c>
      <c r="B112" s="2" t="inlineStr">
        <is>
          <t>TCS NQT Coding Questions</t>
        </is>
      </c>
      <c r="C112" s="2" t="inlineStr">
        <is>
          <t>Prepare for TCS NQT with previous years questions. Solve the coding, numerical ability, reasoning ability, verbal ability and quant questions which were asked in the past.</t>
        </is>
      </c>
      <c r="D112" s="2" t="inlineStr">
        <is>
          <t>Numerical Ability Problems - Past Years Numerical Ability Problems</t>
        </is>
      </c>
      <c r="E112" s="2" t="n">
        <v>13</v>
      </c>
      <c r="F112" s="2" t="inlineStr">
        <is>
          <t>Cost of two articles</t>
        </is>
      </c>
      <c r="G112" s="2" t="inlineStr">
        <is>
          <t>TCSNQTNA04</t>
        </is>
      </c>
      <c r="H112" s="2" t="inlineStr"/>
      <c r="I112" s="2" t="inlineStr">
        <is>
          <t>Medium</t>
        </is>
      </c>
      <c r="J112" s="3">
        <f>HYPERLINK("https://www.codechef.com/problems/TCSNQTNA04", "https://www.codechef.com/problems/TCSNQTNA04")</f>
        <v/>
      </c>
      <c r="K112" s="2" t="inlineStr"/>
      <c r="L112" s="2" t="inlineStr"/>
      <c r="M112" s="2" t="inlineStr"/>
      <c r="N112" s="2" t="inlineStr">
        <is>
          <t>No</t>
        </is>
      </c>
      <c r="O112" s="2" t="inlineStr">
        <is>
          <t>Unattempted</t>
        </is>
      </c>
    </row>
    <row r="113">
      <c r="A113" s="4" t="inlineStr">
        <is>
          <t>Company Based Questions</t>
        </is>
      </c>
      <c r="B113" s="4" t="inlineStr">
        <is>
          <t>TCS NQT Coding Questions</t>
        </is>
      </c>
      <c r="C113" s="4" t="inlineStr">
        <is>
          <t>Prepare for TCS NQT with previous years questions. Solve the coding, numerical ability, reasoning ability, verbal ability and quant questions which were asked in the past.</t>
        </is>
      </c>
      <c r="D113" s="4" t="inlineStr">
        <is>
          <t>Numerical Ability Problems - Past Years Numerical Ability Problems</t>
        </is>
      </c>
      <c r="E113" s="4" t="n">
        <v>14</v>
      </c>
      <c r="F113" s="4" t="inlineStr">
        <is>
          <t>Original Price</t>
        </is>
      </c>
      <c r="G113" s="4" t="inlineStr">
        <is>
          <t>TCSNQTNA03</t>
        </is>
      </c>
      <c r="H113" s="4" t="inlineStr"/>
      <c r="I113" s="4" t="inlineStr">
        <is>
          <t>Medium</t>
        </is>
      </c>
      <c r="J113" s="5">
        <f>HYPERLINK("https://www.codechef.com/problems/TCSNQTNA03", "https://www.codechef.com/problems/TCSNQTNA03")</f>
        <v/>
      </c>
      <c r="K113" s="4" t="inlineStr"/>
      <c r="L113" s="4" t="inlineStr"/>
      <c r="M113" s="4" t="inlineStr"/>
      <c r="N113" s="4" t="inlineStr">
        <is>
          <t>No</t>
        </is>
      </c>
      <c r="O113" s="4" t="inlineStr">
        <is>
          <t>Unattempted</t>
        </is>
      </c>
    </row>
    <row r="114">
      <c r="A114" s="2" t="inlineStr">
        <is>
          <t>Company Based Questions</t>
        </is>
      </c>
      <c r="B114" s="2" t="inlineStr">
        <is>
          <t>TCS NQT Coding Questions</t>
        </is>
      </c>
      <c r="C114" s="2" t="inlineStr">
        <is>
          <t>Prepare for TCS NQT with previous years questions. Solve the coding, numerical ability, reasoning ability, verbal ability and quant questions which were asked in the past.</t>
        </is>
      </c>
      <c r="D114" s="2" t="inlineStr">
        <is>
          <t>Numerical Ability Problems - Past Years Numerical Ability Problems</t>
        </is>
      </c>
      <c r="E114" s="2" t="n">
        <v>15</v>
      </c>
      <c r="F114" s="2" t="inlineStr">
        <is>
          <t>Heads and Tails</t>
        </is>
      </c>
      <c r="G114" s="2" t="inlineStr">
        <is>
          <t>TCSNQTNA05</t>
        </is>
      </c>
      <c r="H114" s="2" t="inlineStr"/>
      <c r="I114" s="2" t="inlineStr">
        <is>
          <t>Easy</t>
        </is>
      </c>
      <c r="J114" s="3">
        <f>HYPERLINK("https://www.codechef.com/problems/TCSNQTNA05", "https://www.codechef.com/problems/TCSNQTNA05")</f>
        <v/>
      </c>
      <c r="K114" s="2" t="inlineStr"/>
      <c r="L114" s="2" t="inlineStr"/>
      <c r="M114" s="2" t="inlineStr"/>
      <c r="N114" s="2" t="inlineStr">
        <is>
          <t>No</t>
        </is>
      </c>
      <c r="O114" s="2" t="inlineStr">
        <is>
          <t>Unattempted</t>
        </is>
      </c>
    </row>
    <row r="115">
      <c r="A115" s="4" t="inlineStr">
        <is>
          <t>Company Based Questions</t>
        </is>
      </c>
      <c r="B115" s="4" t="inlineStr">
        <is>
          <t>TCS NQT Coding Questions</t>
        </is>
      </c>
      <c r="C115" s="4" t="inlineStr">
        <is>
          <t>Prepare for TCS NQT with previous years questions. Solve the coding, numerical ability, reasoning ability, verbal ability and quant questions which were asked in the past.</t>
        </is>
      </c>
      <c r="D115" s="4" t="inlineStr">
        <is>
          <t>Numerical Ability Problems - Past Years Numerical Ability Problems</t>
        </is>
      </c>
      <c r="E115" s="4" t="n">
        <v>16</v>
      </c>
      <c r="F115" s="4" t="inlineStr">
        <is>
          <t>Divisibility</t>
        </is>
      </c>
      <c r="G115" s="4" t="inlineStr">
        <is>
          <t>TCSNQTNA06</t>
        </is>
      </c>
      <c r="H115" s="4" t="inlineStr"/>
      <c r="I115" s="4" t="inlineStr">
        <is>
          <t>Easy</t>
        </is>
      </c>
      <c r="J115" s="5">
        <f>HYPERLINK("https://www.codechef.com/problems/TCSNQTNA06", "https://www.codechef.com/problems/TCSNQTNA06")</f>
        <v/>
      </c>
      <c r="K115" s="4" t="inlineStr"/>
      <c r="L115" s="4" t="inlineStr"/>
      <c r="M115" s="4" t="inlineStr"/>
      <c r="N115" s="4" t="inlineStr">
        <is>
          <t>No</t>
        </is>
      </c>
      <c r="O115" s="4" t="inlineStr">
        <is>
          <t>Unattempted</t>
        </is>
      </c>
    </row>
    <row r="116">
      <c r="A116" s="2" t="inlineStr">
        <is>
          <t>Company Based Questions</t>
        </is>
      </c>
      <c r="B116" s="2" t="inlineStr">
        <is>
          <t>TCS NQT Coding Questions</t>
        </is>
      </c>
      <c r="C116" s="2" t="inlineStr">
        <is>
          <t>Prepare for TCS NQT with previous years questions. Solve the coding, numerical ability, reasoning ability, verbal ability and quant questions which were asked in the past.</t>
        </is>
      </c>
      <c r="D116" s="2" t="inlineStr">
        <is>
          <t>Numerical Ability Problems - Past Years Numerical Ability Problems</t>
        </is>
      </c>
      <c r="E116" s="2" t="n">
        <v>17</v>
      </c>
      <c r="F116" s="2" t="inlineStr">
        <is>
          <t>Expression</t>
        </is>
      </c>
      <c r="G116" s="2" t="inlineStr">
        <is>
          <t>TCSNQTNA07</t>
        </is>
      </c>
      <c r="H116" s="2" t="inlineStr"/>
      <c r="I116" s="2" t="inlineStr">
        <is>
          <t>Medium</t>
        </is>
      </c>
      <c r="J116" s="3">
        <f>HYPERLINK("https://www.codechef.com/problems/TCSNQTNA07", "https://www.codechef.com/problems/TCSNQTNA07")</f>
        <v/>
      </c>
      <c r="K116" s="2" t="inlineStr"/>
      <c r="L116" s="2" t="inlineStr"/>
      <c r="M116" s="2" t="inlineStr"/>
      <c r="N116" s="2" t="inlineStr">
        <is>
          <t>No</t>
        </is>
      </c>
      <c r="O116" s="2" t="inlineStr">
        <is>
          <t>Unattempted</t>
        </is>
      </c>
    </row>
    <row r="117">
      <c r="A117" s="4" t="inlineStr">
        <is>
          <t>Company Based Questions</t>
        </is>
      </c>
      <c r="B117" s="4" t="inlineStr">
        <is>
          <t>TCS NQT Coding Questions</t>
        </is>
      </c>
      <c r="C117" s="4" t="inlineStr">
        <is>
          <t>Prepare for TCS NQT with previous years questions. Solve the coding, numerical ability, reasoning ability, verbal ability and quant questions which were asked in the past.</t>
        </is>
      </c>
      <c r="D117" s="4" t="inlineStr">
        <is>
          <t>Numerical Ability Problems - Past Years Numerical Ability Problems</t>
        </is>
      </c>
      <c r="E117" s="4" t="n">
        <v>18</v>
      </c>
      <c r="F117" s="4" t="inlineStr">
        <is>
          <t>Sum of Sequence</t>
        </is>
      </c>
      <c r="G117" s="4" t="inlineStr">
        <is>
          <t>TCSNQTNA08</t>
        </is>
      </c>
      <c r="H117" s="4" t="inlineStr"/>
      <c r="I117" s="4" t="inlineStr">
        <is>
          <t>Easy</t>
        </is>
      </c>
      <c r="J117" s="5">
        <f>HYPERLINK("https://www.codechef.com/problems/TCSNQTNA08", "https://www.codechef.com/problems/TCSNQTNA08")</f>
        <v/>
      </c>
      <c r="K117" s="4" t="inlineStr"/>
      <c r="L117" s="4" t="inlineStr"/>
      <c r="M117" s="4" t="inlineStr"/>
      <c r="N117" s="4" t="inlineStr">
        <is>
          <t>No</t>
        </is>
      </c>
      <c r="O117" s="4" t="inlineStr">
        <is>
          <t>Unattempted</t>
        </is>
      </c>
    </row>
    <row r="118">
      <c r="A118" s="2" t="inlineStr">
        <is>
          <t>Company Based Questions</t>
        </is>
      </c>
      <c r="B118" s="2" t="inlineStr">
        <is>
          <t>TCS NQT Coding Questions</t>
        </is>
      </c>
      <c r="C118" s="2" t="inlineStr">
        <is>
          <t>Prepare for TCS NQT with previous years questions. Solve the coding, numerical ability, reasoning ability, verbal ability and quant questions which were asked in the past.</t>
        </is>
      </c>
      <c r="D118" s="2" t="inlineStr">
        <is>
          <t>Numerical Ability Problems - Past Years Numerical Ability Problems</t>
        </is>
      </c>
      <c r="E118" s="2" t="n">
        <v>19</v>
      </c>
      <c r="F118" s="2" t="inlineStr">
        <is>
          <t>Range Sum</t>
        </is>
      </c>
      <c r="G118" s="2" t="inlineStr">
        <is>
          <t>TCSNQTNA09</t>
        </is>
      </c>
      <c r="H118" s="2" t="inlineStr"/>
      <c r="I118" s="2" t="inlineStr">
        <is>
          <t>Easy</t>
        </is>
      </c>
      <c r="J118" s="3">
        <f>HYPERLINK("https://www.codechef.com/problems/TCSNQTNA09", "https://www.codechef.com/problems/TCSNQTNA09")</f>
        <v/>
      </c>
      <c r="K118" s="2" t="inlineStr"/>
      <c r="L118" s="2" t="inlineStr"/>
      <c r="M118" s="2" t="inlineStr"/>
      <c r="N118" s="2" t="inlineStr">
        <is>
          <t>No</t>
        </is>
      </c>
      <c r="O118" s="2" t="inlineStr">
        <is>
          <t>Unattempted</t>
        </is>
      </c>
    </row>
    <row r="119">
      <c r="A119" s="4" t="inlineStr">
        <is>
          <t>Company Based Questions</t>
        </is>
      </c>
      <c r="B119" s="4" t="inlineStr">
        <is>
          <t>TCS NQT Coding Questions</t>
        </is>
      </c>
      <c r="C119" s="4" t="inlineStr">
        <is>
          <t>Prepare for TCS NQT with previous years questions. Solve the coding, numerical ability, reasoning ability, verbal ability and quant questions which were asked in the past.</t>
        </is>
      </c>
      <c r="D119" s="4" t="inlineStr">
        <is>
          <t>Numerical Ability Problems - Past Years Numerical Ability Problems</t>
        </is>
      </c>
      <c r="E119" s="4" t="n">
        <v>20</v>
      </c>
      <c r="F119" s="4" t="inlineStr">
        <is>
          <t>Count Triangles</t>
        </is>
      </c>
      <c r="G119" s="4" t="inlineStr">
        <is>
          <t>TCSNQTNA10</t>
        </is>
      </c>
      <c r="H119" s="4" t="inlineStr"/>
      <c r="I119" s="4" t="inlineStr">
        <is>
          <t>Medium</t>
        </is>
      </c>
      <c r="J119" s="5">
        <f>HYPERLINK("https://www.codechef.com/problems/TCSNQTNA10", "https://www.codechef.com/problems/TCSNQTNA10")</f>
        <v/>
      </c>
      <c r="K119" s="4" t="inlineStr"/>
      <c r="L119" s="4" t="inlineStr"/>
      <c r="M119" s="4" t="inlineStr"/>
      <c r="N119" s="4" t="inlineStr">
        <is>
          <t>No</t>
        </is>
      </c>
      <c r="O119" s="4" t="inlineStr">
        <is>
          <t>Unattempted</t>
        </is>
      </c>
    </row>
    <row r="120">
      <c r="A120" s="2" t="inlineStr">
        <is>
          <t>Company Based Questions</t>
        </is>
      </c>
      <c r="B120" s="2" t="inlineStr">
        <is>
          <t>TCS NQT Coding Questions</t>
        </is>
      </c>
      <c r="C120" s="2" t="inlineStr">
        <is>
          <t>Prepare for TCS NQT with previous years questions. Solve the coding, numerical ability, reasoning ability, verbal ability and quant questions which were asked in the past.</t>
        </is>
      </c>
      <c r="D120" s="2" t="inlineStr">
        <is>
          <t>Reasoning Ability Problems - Past Years Reasoning Ability Problems</t>
        </is>
      </c>
      <c r="E120" s="2" t="n">
        <v>21</v>
      </c>
      <c r="F120" s="2" t="inlineStr">
        <is>
          <t>Coding - Encoding</t>
        </is>
      </c>
      <c r="G120" s="2" t="inlineStr">
        <is>
          <t>TCSNQTRA02</t>
        </is>
      </c>
      <c r="H120" s="2" t="inlineStr"/>
      <c r="I120" s="2" t="inlineStr">
        <is>
          <t>Easy</t>
        </is>
      </c>
      <c r="J120" s="3">
        <f>HYPERLINK("https://www.codechef.com/problems/TCSNQTRA02", "https://www.codechef.com/problems/TCSNQTRA02")</f>
        <v/>
      </c>
      <c r="K120" s="2" t="inlineStr"/>
      <c r="L120" s="2" t="inlineStr"/>
      <c r="M120" s="2" t="inlineStr"/>
      <c r="N120" s="2" t="inlineStr">
        <is>
          <t>No</t>
        </is>
      </c>
      <c r="O120" s="2" t="inlineStr">
        <is>
          <t>Unattempted</t>
        </is>
      </c>
    </row>
    <row r="121">
      <c r="A121" s="4" t="inlineStr">
        <is>
          <t>Company Based Questions</t>
        </is>
      </c>
      <c r="B121" s="4" t="inlineStr">
        <is>
          <t>TCS NQT Coding Questions</t>
        </is>
      </c>
      <c r="C121" s="4" t="inlineStr">
        <is>
          <t>Prepare for TCS NQT with previous years questions. Solve the coding, numerical ability, reasoning ability, verbal ability and quant questions which were asked in the past.</t>
        </is>
      </c>
      <c r="D121" s="4" t="inlineStr">
        <is>
          <t>Reasoning Ability Problems - Past Years Reasoning Ability Problems</t>
        </is>
      </c>
      <c r="E121" s="4" t="n">
        <v>22</v>
      </c>
      <c r="F121" s="4" t="inlineStr">
        <is>
          <t>Train Arrival</t>
        </is>
      </c>
      <c r="G121" s="4" t="inlineStr">
        <is>
          <t>TCSNQTRA03</t>
        </is>
      </c>
      <c r="H121" s="4" t="inlineStr"/>
      <c r="I121" s="4" t="inlineStr">
        <is>
          <t>Easy</t>
        </is>
      </c>
      <c r="J121" s="5">
        <f>HYPERLINK("https://www.codechef.com/problems/TCSNQTRA03", "https://www.codechef.com/problems/TCSNQTRA03")</f>
        <v/>
      </c>
      <c r="K121" s="4" t="inlineStr"/>
      <c r="L121" s="4" t="inlineStr"/>
      <c r="M121" s="4" t="inlineStr"/>
      <c r="N121" s="4" t="inlineStr">
        <is>
          <t>No</t>
        </is>
      </c>
      <c r="O121" s="4" t="inlineStr">
        <is>
          <t>Unattempted</t>
        </is>
      </c>
    </row>
    <row r="122">
      <c r="A122" s="2" t="inlineStr">
        <is>
          <t>Company Based Questions</t>
        </is>
      </c>
      <c r="B122" s="2" t="inlineStr">
        <is>
          <t>TCS NQT Coding Questions</t>
        </is>
      </c>
      <c r="C122" s="2" t="inlineStr">
        <is>
          <t>Prepare for TCS NQT with previous years questions. Solve the coding, numerical ability, reasoning ability, verbal ability and quant questions which were asked in the past.</t>
        </is>
      </c>
      <c r="D122" s="2" t="inlineStr">
        <is>
          <t>Reasoning Ability Problems - Past Years Reasoning Ability Problems</t>
        </is>
      </c>
      <c r="E122" s="2" t="n">
        <v>23</v>
      </c>
      <c r="F122" s="2" t="inlineStr">
        <is>
          <t>Blood - Relationships</t>
        </is>
      </c>
      <c r="G122" s="2" t="inlineStr">
        <is>
          <t>TCSNQTRA04</t>
        </is>
      </c>
      <c r="H122" s="2" t="inlineStr"/>
      <c r="I122" s="2" t="inlineStr">
        <is>
          <t>Medium</t>
        </is>
      </c>
      <c r="J122" s="3">
        <f>HYPERLINK("https://www.codechef.com/problems/TCSNQTRA04", "https://www.codechef.com/problems/TCSNQTRA04")</f>
        <v/>
      </c>
      <c r="K122" s="2" t="inlineStr"/>
      <c r="L122" s="2" t="inlineStr"/>
      <c r="M122" s="2" t="inlineStr"/>
      <c r="N122" s="2" t="inlineStr">
        <is>
          <t>No</t>
        </is>
      </c>
      <c r="O122" s="2" t="inlineStr">
        <is>
          <t>Unattempted</t>
        </is>
      </c>
    </row>
    <row r="123">
      <c r="A123" s="4" t="inlineStr">
        <is>
          <t>Company Based Questions</t>
        </is>
      </c>
      <c r="B123" s="4" t="inlineStr">
        <is>
          <t>TCS NQT Coding Questions</t>
        </is>
      </c>
      <c r="C123" s="4" t="inlineStr">
        <is>
          <t>Prepare for TCS NQT with previous years questions. Solve the coding, numerical ability, reasoning ability, verbal ability and quant questions which were asked in the past.</t>
        </is>
      </c>
      <c r="D123" s="4" t="inlineStr">
        <is>
          <t>Reasoning Ability Problems - Past Years Reasoning Ability Problems</t>
        </is>
      </c>
      <c r="E123" s="4" t="n">
        <v>24</v>
      </c>
      <c r="F123" s="4" t="inlineStr">
        <is>
          <t>Degrees in Clock</t>
        </is>
      </c>
      <c r="G123" s="4" t="inlineStr">
        <is>
          <t>TCSNQTRA05</t>
        </is>
      </c>
      <c r="H123" s="4" t="inlineStr"/>
      <c r="I123" s="4" t="inlineStr">
        <is>
          <t>Easy</t>
        </is>
      </c>
      <c r="J123" s="5">
        <f>HYPERLINK("https://www.codechef.com/problems/TCSNQTRA05", "https://www.codechef.com/problems/TCSNQTRA05")</f>
        <v/>
      </c>
      <c r="K123" s="4" t="inlineStr"/>
      <c r="L123" s="4" t="inlineStr"/>
      <c r="M123" s="4" t="inlineStr"/>
      <c r="N123" s="4" t="inlineStr">
        <is>
          <t>No</t>
        </is>
      </c>
      <c r="O123" s="4" t="inlineStr">
        <is>
          <t>Unattempted</t>
        </is>
      </c>
    </row>
    <row r="124">
      <c r="A124" s="2" t="inlineStr">
        <is>
          <t>Company Based Questions</t>
        </is>
      </c>
      <c r="B124" s="2" t="inlineStr">
        <is>
          <t>TCS NQT Coding Questions</t>
        </is>
      </c>
      <c r="C124" s="2" t="inlineStr">
        <is>
          <t>Prepare for TCS NQT with previous years questions. Solve the coding, numerical ability, reasoning ability, verbal ability and quant questions which were asked in the past.</t>
        </is>
      </c>
      <c r="D124" s="2" t="inlineStr">
        <is>
          <t>Reasoning Ability Problems - Past Years Reasoning Ability Problems</t>
        </is>
      </c>
      <c r="E124" s="2" t="n">
        <v>25</v>
      </c>
      <c r="F124" s="2" t="inlineStr">
        <is>
          <t>Day in 2016</t>
        </is>
      </c>
      <c r="G124" s="2" t="inlineStr">
        <is>
          <t>TCSNQTRA06</t>
        </is>
      </c>
      <c r="H124" s="2" t="inlineStr"/>
      <c r="I124" s="2" t="inlineStr">
        <is>
          <t>Medium</t>
        </is>
      </c>
      <c r="J124" s="3">
        <f>HYPERLINK("https://www.codechef.com/problems/TCSNQTRA06", "https://www.codechef.com/problems/TCSNQTRA06")</f>
        <v/>
      </c>
      <c r="K124" s="2" t="inlineStr"/>
      <c r="L124" s="2" t="inlineStr"/>
      <c r="M124" s="2" t="inlineStr"/>
      <c r="N124" s="2" t="inlineStr">
        <is>
          <t>No</t>
        </is>
      </c>
      <c r="O124" s="2" t="inlineStr">
        <is>
          <t>Unattempted</t>
        </is>
      </c>
    </row>
    <row r="125">
      <c r="A125" s="4" t="inlineStr">
        <is>
          <t>Company Based Questions</t>
        </is>
      </c>
      <c r="B125" s="4" t="inlineStr">
        <is>
          <t>TCS NQT Coding Questions</t>
        </is>
      </c>
      <c r="C125" s="4" t="inlineStr">
        <is>
          <t>Prepare for TCS NQT with previous years questions. Solve the coding, numerical ability, reasoning ability, verbal ability and quant questions which were asked in the past.</t>
        </is>
      </c>
      <c r="D125" s="4" t="inlineStr">
        <is>
          <t>Reasoning Ability Problems - Past Years Reasoning Ability Problems</t>
        </is>
      </c>
      <c r="E125" s="4" t="n">
        <v>26</v>
      </c>
      <c r="F125" s="4" t="inlineStr">
        <is>
          <t>Missing number</t>
        </is>
      </c>
      <c r="G125" s="4" t="inlineStr">
        <is>
          <t>TCSNQTRA07</t>
        </is>
      </c>
      <c r="H125" s="4" t="inlineStr"/>
      <c r="I125" s="4" t="inlineStr">
        <is>
          <t>Easy</t>
        </is>
      </c>
      <c r="J125" s="5">
        <f>HYPERLINK("https://www.codechef.com/problems/TCSNQTRA07", "https://www.codechef.com/problems/TCSNQTRA07")</f>
        <v/>
      </c>
      <c r="K125" s="4" t="inlineStr"/>
      <c r="L125" s="4" t="inlineStr"/>
      <c r="M125" s="4" t="inlineStr"/>
      <c r="N125" s="4" t="inlineStr">
        <is>
          <t>No</t>
        </is>
      </c>
      <c r="O125" s="4" t="inlineStr">
        <is>
          <t>Unattempted</t>
        </is>
      </c>
    </row>
    <row r="126">
      <c r="A126" s="2" t="inlineStr">
        <is>
          <t>Company Based Questions</t>
        </is>
      </c>
      <c r="B126" s="2" t="inlineStr">
        <is>
          <t>TCS NQT Coding Questions</t>
        </is>
      </c>
      <c r="C126" s="2" t="inlineStr">
        <is>
          <t>Prepare for TCS NQT with previous years questions. Solve the coding, numerical ability, reasoning ability, verbal ability and quant questions which were asked in the past.</t>
        </is>
      </c>
      <c r="D126" s="2" t="inlineStr">
        <is>
          <t>Reasoning Ability Problems - Past Years Reasoning Ability Problems</t>
        </is>
      </c>
      <c r="E126" s="2" t="n">
        <v>27</v>
      </c>
      <c r="F126" s="2" t="inlineStr">
        <is>
          <t>Seating Arrangement</t>
        </is>
      </c>
      <c r="G126" s="2" t="inlineStr">
        <is>
          <t>TCSNQTRA08</t>
        </is>
      </c>
      <c r="H126" s="2" t="inlineStr"/>
      <c r="I126" s="2" t="inlineStr">
        <is>
          <t>Medium</t>
        </is>
      </c>
      <c r="J126" s="3">
        <f>HYPERLINK("https://www.codechef.com/problems/TCSNQTRA08", "https://www.codechef.com/problems/TCSNQTRA08")</f>
        <v/>
      </c>
      <c r="K126" s="2" t="inlineStr"/>
      <c r="L126" s="2" t="inlineStr"/>
      <c r="M126" s="2" t="inlineStr"/>
      <c r="N126" s="2" t="inlineStr">
        <is>
          <t>No</t>
        </is>
      </c>
      <c r="O126" s="2" t="inlineStr">
        <is>
          <t>Unattempted</t>
        </is>
      </c>
    </row>
    <row r="127">
      <c r="A127" s="4" t="inlineStr">
        <is>
          <t>Company Based Questions</t>
        </is>
      </c>
      <c r="B127" s="4" t="inlineStr">
        <is>
          <t>TCS NQT Coding Questions</t>
        </is>
      </c>
      <c r="C127" s="4" t="inlineStr">
        <is>
          <t>Prepare for TCS NQT with previous years questions. Solve the coding, numerical ability, reasoning ability, verbal ability and quant questions which were asked in the past.</t>
        </is>
      </c>
      <c r="D127" s="4" t="inlineStr">
        <is>
          <t>Reasoning Ability Problems - Past Years Reasoning Ability Problems</t>
        </is>
      </c>
      <c r="E127" s="4" t="n">
        <v>28</v>
      </c>
      <c r="F127" s="4" t="inlineStr">
        <is>
          <t>Conclusion</t>
        </is>
      </c>
      <c r="G127" s="4" t="inlineStr">
        <is>
          <t>TCSNQTRA09</t>
        </is>
      </c>
      <c r="H127" s="4" t="inlineStr"/>
      <c r="I127" s="4" t="inlineStr">
        <is>
          <t>Easy</t>
        </is>
      </c>
      <c r="J127" s="5">
        <f>HYPERLINK("https://www.codechef.com/problems/TCSNQTRA09", "https://www.codechef.com/problems/TCSNQTRA09")</f>
        <v/>
      </c>
      <c r="K127" s="4" t="inlineStr"/>
      <c r="L127" s="4" t="inlineStr"/>
      <c r="M127" s="4" t="inlineStr"/>
      <c r="N127" s="4" t="inlineStr">
        <is>
          <t>No</t>
        </is>
      </c>
      <c r="O127" s="4" t="inlineStr">
        <is>
          <t>Unattempted</t>
        </is>
      </c>
    </row>
    <row r="128">
      <c r="A128" s="2" t="inlineStr">
        <is>
          <t>Company Based Questions</t>
        </is>
      </c>
      <c r="B128" s="2" t="inlineStr">
        <is>
          <t>TCS NQT Coding Questions</t>
        </is>
      </c>
      <c r="C128" s="2" t="inlineStr">
        <is>
          <t>Prepare for TCS NQT with previous years questions. Solve the coding, numerical ability, reasoning ability, verbal ability and quant questions which were asked in the past.</t>
        </is>
      </c>
      <c r="D128" s="2" t="inlineStr">
        <is>
          <t>Reasoning Ability Problems - Past Years Reasoning Ability Problems</t>
        </is>
      </c>
      <c r="E128" s="2" t="n">
        <v>29</v>
      </c>
      <c r="F128" s="2" t="inlineStr">
        <is>
          <t>Assumption</t>
        </is>
      </c>
      <c r="G128" s="2" t="inlineStr">
        <is>
          <t>TCSNQTRA10</t>
        </is>
      </c>
      <c r="H128" s="2" t="inlineStr"/>
      <c r="I128" s="2" t="inlineStr">
        <is>
          <t>Medium</t>
        </is>
      </c>
      <c r="J128" s="3">
        <f>HYPERLINK("https://www.codechef.com/problems/TCSNQTRA10", "https://www.codechef.com/problems/TCSNQTRA10")</f>
        <v/>
      </c>
      <c r="K128" s="2" t="inlineStr"/>
      <c r="L128" s="2" t="inlineStr"/>
      <c r="M128" s="2" t="inlineStr"/>
      <c r="N128" s="2" t="inlineStr">
        <is>
          <t>No</t>
        </is>
      </c>
      <c r="O128" s="2" t="inlineStr">
        <is>
          <t>Unattempted</t>
        </is>
      </c>
    </row>
    <row r="129">
      <c r="A129" s="4" t="inlineStr">
        <is>
          <t>Company Based Questions</t>
        </is>
      </c>
      <c r="B129" s="4" t="inlineStr">
        <is>
          <t>TCS NQT Coding Questions</t>
        </is>
      </c>
      <c r="C129" s="4" t="inlineStr">
        <is>
          <t>Prepare for TCS NQT with previous years questions. Solve the coding, numerical ability, reasoning ability, verbal ability and quant questions which were asked in the past.</t>
        </is>
      </c>
      <c r="D129" s="4" t="inlineStr">
        <is>
          <t>Reasoning Ability Problems - Past Years Reasoning Ability Problems</t>
        </is>
      </c>
      <c r="E129" s="4" t="n">
        <v>30</v>
      </c>
      <c r="F129" s="4" t="inlineStr">
        <is>
          <t>Directions</t>
        </is>
      </c>
      <c r="G129" s="4" t="inlineStr">
        <is>
          <t>TCSNQTRA11</t>
        </is>
      </c>
      <c r="H129" s="4" t="inlineStr"/>
      <c r="I129" s="4" t="inlineStr">
        <is>
          <t>Easy</t>
        </is>
      </c>
      <c r="J129" s="5">
        <f>HYPERLINK("https://www.codechef.com/problems/TCSNQTRA11", "https://www.codechef.com/problems/TCSNQTRA11")</f>
        <v/>
      </c>
      <c r="K129" s="4" t="inlineStr"/>
      <c r="L129" s="4" t="inlineStr"/>
      <c r="M129" s="4" t="inlineStr"/>
      <c r="N129" s="4" t="inlineStr">
        <is>
          <t>No</t>
        </is>
      </c>
      <c r="O129" s="4" t="inlineStr">
        <is>
          <t>Unattempted</t>
        </is>
      </c>
    </row>
    <row r="130">
      <c r="A130" s="2" t="inlineStr">
        <is>
          <t>Company Based Questions</t>
        </is>
      </c>
      <c r="B130" s="2" t="inlineStr">
        <is>
          <t>TCS NQT Coding Questions</t>
        </is>
      </c>
      <c r="C130" s="2" t="inlineStr">
        <is>
          <t>Prepare for TCS NQT with previous years questions. Solve the coding, numerical ability, reasoning ability, verbal ability and quant questions which were asked in the past.</t>
        </is>
      </c>
      <c r="D130" s="2" t="inlineStr">
        <is>
          <t>Verbal Ability Problems - Past Years Verbal Ability Problems</t>
        </is>
      </c>
      <c r="E130" s="2" t="n">
        <v>31</v>
      </c>
      <c r="F130" s="2" t="inlineStr">
        <is>
          <t>Grammatical Errors</t>
        </is>
      </c>
      <c r="G130" s="2" t="inlineStr">
        <is>
          <t>TCSNQTVA02</t>
        </is>
      </c>
      <c r="H130" s="2" t="inlineStr"/>
      <c r="I130" s="2" t="inlineStr">
        <is>
          <t>Easy</t>
        </is>
      </c>
      <c r="J130" s="3">
        <f>HYPERLINK("https://www.codechef.com/problems/TCSNQTVA02", "https://www.codechef.com/problems/TCSNQTVA02")</f>
        <v/>
      </c>
      <c r="K130" s="2" t="inlineStr"/>
      <c r="L130" s="2" t="inlineStr"/>
      <c r="M130" s="2" t="inlineStr"/>
      <c r="N130" s="2" t="inlineStr">
        <is>
          <t>No</t>
        </is>
      </c>
      <c r="O130" s="2" t="inlineStr">
        <is>
          <t>Unattempted</t>
        </is>
      </c>
    </row>
    <row r="131">
      <c r="A131" s="4" t="inlineStr">
        <is>
          <t>Company Based Questions</t>
        </is>
      </c>
      <c r="B131" s="4" t="inlineStr">
        <is>
          <t>TCS NQT Coding Questions</t>
        </is>
      </c>
      <c r="C131" s="4" t="inlineStr">
        <is>
          <t>Prepare for TCS NQT with previous years questions. Solve the coding, numerical ability, reasoning ability, verbal ability and quant questions which were asked in the past.</t>
        </is>
      </c>
      <c r="D131" s="4" t="inlineStr">
        <is>
          <t>Verbal Ability Problems - Past Years Verbal Ability Problems</t>
        </is>
      </c>
      <c r="E131" s="4" t="n">
        <v>32</v>
      </c>
      <c r="F131" s="4" t="inlineStr">
        <is>
          <t>Antonyms</t>
        </is>
      </c>
      <c r="G131" s="4" t="inlineStr">
        <is>
          <t>TCSNQTVA03</t>
        </is>
      </c>
      <c r="H131" s="4" t="inlineStr"/>
      <c r="I131" s="4" t="inlineStr">
        <is>
          <t>Easy</t>
        </is>
      </c>
      <c r="J131" s="5">
        <f>HYPERLINK("https://www.codechef.com/problems/TCSNQTVA03", "https://www.codechef.com/problems/TCSNQTVA03")</f>
        <v/>
      </c>
      <c r="K131" s="4" t="inlineStr"/>
      <c r="L131" s="4" t="inlineStr"/>
      <c r="M131" s="4" t="inlineStr"/>
      <c r="N131" s="4" t="inlineStr">
        <is>
          <t>No</t>
        </is>
      </c>
      <c r="O131" s="4" t="inlineStr">
        <is>
          <t>Unattempted</t>
        </is>
      </c>
    </row>
    <row r="132">
      <c r="A132" s="2" t="inlineStr">
        <is>
          <t>Company Based Questions</t>
        </is>
      </c>
      <c r="B132" s="2" t="inlineStr">
        <is>
          <t>TCS NQT Coding Questions</t>
        </is>
      </c>
      <c r="C132" s="2" t="inlineStr">
        <is>
          <t>Prepare for TCS NQT with previous years questions. Solve the coding, numerical ability, reasoning ability, verbal ability and quant questions which were asked in the past.</t>
        </is>
      </c>
      <c r="D132" s="2" t="inlineStr">
        <is>
          <t>Verbal Ability Problems - Past Years Verbal Ability Problems</t>
        </is>
      </c>
      <c r="E132" s="2" t="n">
        <v>33</v>
      </c>
      <c r="F132" s="2" t="inlineStr">
        <is>
          <t>Sentence formation</t>
        </is>
      </c>
      <c r="G132" s="2" t="inlineStr">
        <is>
          <t>TCSNQTVA04</t>
        </is>
      </c>
      <c r="H132" s="2" t="inlineStr"/>
      <c r="I132" s="2" t="inlineStr">
        <is>
          <t>Easy</t>
        </is>
      </c>
      <c r="J132" s="3">
        <f>HYPERLINK("https://www.codechef.com/problems/TCSNQTVA04", "https://www.codechef.com/problems/TCSNQTVA04")</f>
        <v/>
      </c>
      <c r="K132" s="2" t="inlineStr"/>
      <c r="L132" s="2" t="inlineStr"/>
      <c r="M132" s="2" t="inlineStr"/>
      <c r="N132" s="2" t="inlineStr">
        <is>
          <t>No</t>
        </is>
      </c>
      <c r="O132" s="2" t="inlineStr">
        <is>
          <t>Unattempted</t>
        </is>
      </c>
    </row>
    <row r="133">
      <c r="A133" s="4" t="inlineStr">
        <is>
          <t>Company Based Questions</t>
        </is>
      </c>
      <c r="B133" s="4" t="inlineStr">
        <is>
          <t>TCS NQT Coding Questions</t>
        </is>
      </c>
      <c r="C133" s="4" t="inlineStr">
        <is>
          <t>Prepare for TCS NQT with previous years questions. Solve the coding, numerical ability, reasoning ability, verbal ability and quant questions which were asked in the past.</t>
        </is>
      </c>
      <c r="D133" s="4" t="inlineStr">
        <is>
          <t>Verbal Ability Problems - Past Years Verbal Ability Problems</t>
        </is>
      </c>
      <c r="E133" s="4" t="n">
        <v>34</v>
      </c>
      <c r="F133" s="4" t="inlineStr">
        <is>
          <t>Spelling</t>
        </is>
      </c>
      <c r="G133" s="4" t="inlineStr">
        <is>
          <t>TCSNQTVA05</t>
        </is>
      </c>
      <c r="H133" s="4" t="inlineStr"/>
      <c r="I133" s="4" t="inlineStr">
        <is>
          <t>Easy</t>
        </is>
      </c>
      <c r="J133" s="5">
        <f>HYPERLINK("https://www.codechef.com/problems/TCSNQTVA05", "https://www.codechef.com/problems/TCSNQTVA05")</f>
        <v/>
      </c>
      <c r="K133" s="4" t="inlineStr"/>
      <c r="L133" s="4" t="inlineStr"/>
      <c r="M133" s="4" t="inlineStr"/>
      <c r="N133" s="4" t="inlineStr">
        <is>
          <t>No</t>
        </is>
      </c>
      <c r="O133" s="4" t="inlineStr">
        <is>
          <t>Unattempted</t>
        </is>
      </c>
    </row>
    <row r="134">
      <c r="A134" s="2" t="inlineStr">
        <is>
          <t>Company Based Questions</t>
        </is>
      </c>
      <c r="B134" s="2" t="inlineStr">
        <is>
          <t>TCS NQT Coding Questions</t>
        </is>
      </c>
      <c r="C134" s="2" t="inlineStr">
        <is>
          <t>Prepare for TCS NQT with previous years questions. Solve the coding, numerical ability, reasoning ability, verbal ability and quant questions which were asked in the past.</t>
        </is>
      </c>
      <c r="D134" s="2" t="inlineStr">
        <is>
          <t>Verbal Ability Problems - Past Years Verbal Ability Problems</t>
        </is>
      </c>
      <c r="E134" s="2" t="n">
        <v>35</v>
      </c>
      <c r="F134" s="2" t="inlineStr">
        <is>
          <t>Sentence Improvement</t>
        </is>
      </c>
      <c r="G134" s="2" t="inlineStr">
        <is>
          <t>TCSNQTVA06</t>
        </is>
      </c>
      <c r="H134" s="2" t="inlineStr"/>
      <c r="I134" s="2" t="inlineStr">
        <is>
          <t>Easy</t>
        </is>
      </c>
      <c r="J134" s="3">
        <f>HYPERLINK("https://www.codechef.com/problems/TCSNQTVA06", "https://www.codechef.com/problems/TCSNQTVA06")</f>
        <v/>
      </c>
      <c r="K134" s="2" t="inlineStr"/>
      <c r="L134" s="2" t="inlineStr"/>
      <c r="M134" s="2" t="inlineStr"/>
      <c r="N134" s="2" t="inlineStr">
        <is>
          <t>No</t>
        </is>
      </c>
      <c r="O134" s="2" t="inlineStr">
        <is>
          <t>Unattempted</t>
        </is>
      </c>
    </row>
    <row r="135">
      <c r="A135" s="4" t="inlineStr">
        <is>
          <t>Company Based Questions</t>
        </is>
      </c>
      <c r="B135" s="4" t="inlineStr">
        <is>
          <t>TCS NQT Coding Questions</t>
        </is>
      </c>
      <c r="C135" s="4" t="inlineStr">
        <is>
          <t>Prepare for TCS NQT with previous years questions. Solve the coding, numerical ability, reasoning ability, verbal ability and quant questions which were asked in the past.</t>
        </is>
      </c>
      <c r="D135" s="4" t="inlineStr">
        <is>
          <t>Verbal Ability Problems - Past Years Verbal Ability Problems</t>
        </is>
      </c>
      <c r="E135" s="4" t="n">
        <v>36</v>
      </c>
      <c r="F135" s="4" t="inlineStr">
        <is>
          <t>Active Passive Voice</t>
        </is>
      </c>
      <c r="G135" s="4" t="inlineStr">
        <is>
          <t>TCSNQTVA07</t>
        </is>
      </c>
      <c r="H135" s="4" t="inlineStr"/>
      <c r="I135" s="4" t="inlineStr">
        <is>
          <t>Medium</t>
        </is>
      </c>
      <c r="J135" s="5">
        <f>HYPERLINK("https://www.codechef.com/problems/TCSNQTVA07", "https://www.codechef.com/problems/TCSNQTVA07")</f>
        <v/>
      </c>
      <c r="K135" s="4" t="inlineStr"/>
      <c r="L135" s="4" t="inlineStr"/>
      <c r="M135" s="4" t="inlineStr"/>
      <c r="N135" s="4" t="inlineStr">
        <is>
          <t>No</t>
        </is>
      </c>
      <c r="O135" s="4" t="inlineStr">
        <is>
          <t>Unattempted</t>
        </is>
      </c>
    </row>
    <row r="136">
      <c r="A136" s="2" t="inlineStr">
        <is>
          <t>Company Based Questions</t>
        </is>
      </c>
      <c r="B136" s="2" t="inlineStr">
        <is>
          <t>TCS NQT Coding Questions</t>
        </is>
      </c>
      <c r="C136" s="2" t="inlineStr">
        <is>
          <t>Prepare for TCS NQT with previous years questions. Solve the coding, numerical ability, reasoning ability, verbal ability and quant questions which were asked in the past.</t>
        </is>
      </c>
      <c r="D136" s="2" t="inlineStr">
        <is>
          <t>Verbal Ability Problems - Past Years Verbal Ability Problems</t>
        </is>
      </c>
      <c r="E136" s="2" t="n">
        <v>37</v>
      </c>
      <c r="F136" s="2" t="inlineStr">
        <is>
          <t>Direct Indirect</t>
        </is>
      </c>
      <c r="G136" s="2" t="inlineStr">
        <is>
          <t>TCSNQTVA08</t>
        </is>
      </c>
      <c r="H136" s="2" t="inlineStr"/>
      <c r="I136" s="2" t="inlineStr">
        <is>
          <t>Easy</t>
        </is>
      </c>
      <c r="J136" s="3">
        <f>HYPERLINK("https://www.codechef.com/problems/TCSNQTVA08", "https://www.codechef.com/problems/TCSNQTVA08")</f>
        <v/>
      </c>
      <c r="K136" s="2" t="inlineStr"/>
      <c r="L136" s="2" t="inlineStr"/>
      <c r="M136" s="2" t="inlineStr"/>
      <c r="N136" s="2" t="inlineStr">
        <is>
          <t>No</t>
        </is>
      </c>
      <c r="O136" s="2" t="inlineStr">
        <is>
          <t>Unattempted</t>
        </is>
      </c>
    </row>
    <row r="137">
      <c r="A137" s="4" t="inlineStr">
        <is>
          <t>Company Based Questions</t>
        </is>
      </c>
      <c r="B137" s="4" t="inlineStr">
        <is>
          <t>TCS NQT Coding Questions</t>
        </is>
      </c>
      <c r="C137" s="4" t="inlineStr">
        <is>
          <t>Prepare for TCS NQT with previous years questions. Solve the coding, numerical ability, reasoning ability, verbal ability and quant questions which were asked in the past.</t>
        </is>
      </c>
      <c r="D137" s="4" t="inlineStr">
        <is>
          <t>Verbal Ability Problems - Past Years Verbal Ability Problems</t>
        </is>
      </c>
      <c r="E137" s="4" t="n">
        <v>38</v>
      </c>
      <c r="F137" s="4" t="inlineStr">
        <is>
          <t>Analogies</t>
        </is>
      </c>
      <c r="G137" s="4" t="inlineStr">
        <is>
          <t>TCSNQTVA09</t>
        </is>
      </c>
      <c r="H137" s="4" t="inlineStr"/>
      <c r="I137" s="4" t="inlineStr">
        <is>
          <t>Easy</t>
        </is>
      </c>
      <c r="J137" s="5">
        <f>HYPERLINK("https://www.codechef.com/problems/TCSNQTVA09", "https://www.codechef.com/problems/TCSNQTVA09")</f>
        <v/>
      </c>
      <c r="K137" s="4" t="inlineStr"/>
      <c r="L137" s="4" t="inlineStr"/>
      <c r="M137" s="4" t="inlineStr"/>
      <c r="N137" s="4" t="inlineStr">
        <is>
          <t>No</t>
        </is>
      </c>
      <c r="O137" s="4" t="inlineStr">
        <is>
          <t>Unattempted</t>
        </is>
      </c>
    </row>
    <row r="138">
      <c r="A138" s="2" t="inlineStr">
        <is>
          <t>Company Based Questions</t>
        </is>
      </c>
      <c r="B138" s="2" t="inlineStr">
        <is>
          <t>TCS NQT Coding Questions</t>
        </is>
      </c>
      <c r="C138" s="2" t="inlineStr">
        <is>
          <t>Prepare for TCS NQT with previous years questions. Solve the coding, numerical ability, reasoning ability, verbal ability and quant questions which were asked in the past.</t>
        </is>
      </c>
      <c r="D138" s="2" t="inlineStr">
        <is>
          <t>Verbal Ability Problems - Past Years Verbal Ability Problems</t>
        </is>
      </c>
      <c r="E138" s="2" t="n">
        <v>39</v>
      </c>
      <c r="F138" s="2" t="inlineStr">
        <is>
          <t>Selecting Words</t>
        </is>
      </c>
      <c r="G138" s="2" t="inlineStr">
        <is>
          <t>TCSNQTVA10</t>
        </is>
      </c>
      <c r="H138" s="2" t="inlineStr"/>
      <c r="I138" s="2" t="inlineStr">
        <is>
          <t>Easy</t>
        </is>
      </c>
      <c r="J138" s="3">
        <f>HYPERLINK("https://www.codechef.com/problems/TCSNQTVA10", "https://www.codechef.com/problems/TCSNQTVA10")</f>
        <v/>
      </c>
      <c r="K138" s="2" t="inlineStr"/>
      <c r="L138" s="2" t="inlineStr"/>
      <c r="M138" s="2" t="inlineStr"/>
      <c r="N138" s="2" t="inlineStr">
        <is>
          <t>No</t>
        </is>
      </c>
      <c r="O138" s="2" t="inlineStr">
        <is>
          <t>Unattempted</t>
        </is>
      </c>
    </row>
    <row r="139">
      <c r="A139" s="4" t="inlineStr">
        <is>
          <t>Company Based Questions</t>
        </is>
      </c>
      <c r="B139" s="4" t="inlineStr">
        <is>
          <t>TCS NQT Coding Questions</t>
        </is>
      </c>
      <c r="C139" s="4" t="inlineStr">
        <is>
          <t>Prepare for TCS NQT with previous years questions. Solve the coding, numerical ability, reasoning ability, verbal ability and quant questions which were asked in the past.</t>
        </is>
      </c>
      <c r="D139" s="4" t="inlineStr">
        <is>
          <t>Verbal Ability Problems - Past Years Verbal Ability Problems</t>
        </is>
      </c>
      <c r="E139" s="4" t="n">
        <v>40</v>
      </c>
      <c r="F139" s="4" t="inlineStr">
        <is>
          <t>Complete the Statement</t>
        </is>
      </c>
      <c r="G139" s="4" t="inlineStr">
        <is>
          <t>TCSNQTVA11</t>
        </is>
      </c>
      <c r="H139" s="4" t="inlineStr"/>
      <c r="I139" s="4" t="inlineStr">
        <is>
          <t>Easy</t>
        </is>
      </c>
      <c r="J139" s="5">
        <f>HYPERLINK("https://www.codechef.com/problems/TCSNQTVA11", "https://www.codechef.com/problems/TCSNQTVA11")</f>
        <v/>
      </c>
      <c r="K139" s="4" t="inlineStr"/>
      <c r="L139" s="4" t="inlineStr"/>
      <c r="M139" s="4" t="inlineStr"/>
      <c r="N139" s="4" t="inlineStr">
        <is>
          <t>No</t>
        </is>
      </c>
      <c r="O139" s="4" t="inlineStr">
        <is>
          <t>Unattempted</t>
        </is>
      </c>
    </row>
    <row r="140">
      <c r="A140" s="2" t="inlineStr">
        <is>
          <t>Company Based Questions</t>
        </is>
      </c>
      <c r="B140" s="2" t="inlineStr">
        <is>
          <t>TCS NQT Coding Questions</t>
        </is>
      </c>
      <c r="C140" s="2" t="inlineStr">
        <is>
          <t>Prepare for TCS NQT with previous years questions. Solve the coding, numerical ability, reasoning ability, verbal ability and quant questions which were asked in the past.</t>
        </is>
      </c>
      <c r="D140" s="2" t="inlineStr">
        <is>
          <t>Quant Problems - Past Years Quant Problems</t>
        </is>
      </c>
      <c r="E140" s="2" t="n">
        <v>41</v>
      </c>
      <c r="F140" s="2" t="inlineStr">
        <is>
          <t>Trains Collision</t>
        </is>
      </c>
      <c r="G140" s="2" t="inlineStr">
        <is>
          <t>TCSNQTQA01</t>
        </is>
      </c>
      <c r="H140" s="2" t="inlineStr"/>
      <c r="I140" s="2" t="inlineStr">
        <is>
          <t>Medium</t>
        </is>
      </c>
      <c r="J140" s="3">
        <f>HYPERLINK("https://www.codechef.com/problems/TCSNQTQA01", "https://www.codechef.com/problems/TCSNQTQA01")</f>
        <v/>
      </c>
      <c r="K140" s="2" t="inlineStr"/>
      <c r="L140" s="2" t="inlineStr"/>
      <c r="M140" s="2" t="inlineStr"/>
      <c r="N140" s="2" t="inlineStr">
        <is>
          <t>No</t>
        </is>
      </c>
      <c r="O140" s="2" t="inlineStr">
        <is>
          <t>Unattempted</t>
        </is>
      </c>
    </row>
    <row r="141">
      <c r="A141" s="4" t="inlineStr">
        <is>
          <t>Company Based Questions</t>
        </is>
      </c>
      <c r="B141" s="4" t="inlineStr">
        <is>
          <t>TCS NQT Coding Questions</t>
        </is>
      </c>
      <c r="C141" s="4" t="inlineStr">
        <is>
          <t>Prepare for TCS NQT with previous years questions. Solve the coding, numerical ability, reasoning ability, verbal ability and quant questions which were asked in the past.</t>
        </is>
      </c>
      <c r="D141" s="4" t="inlineStr">
        <is>
          <t>Quant Problems - Past Years Quant Problems</t>
        </is>
      </c>
      <c r="E141" s="4" t="n">
        <v>42</v>
      </c>
      <c r="F141" s="4" t="inlineStr">
        <is>
          <t>Time and Distance</t>
        </is>
      </c>
      <c r="G141" s="4" t="inlineStr">
        <is>
          <t>TCSNQTQA02</t>
        </is>
      </c>
      <c r="H141" s="4" t="inlineStr"/>
      <c r="I141" s="4" t="inlineStr">
        <is>
          <t>Easy</t>
        </is>
      </c>
      <c r="J141" s="5">
        <f>HYPERLINK("https://www.codechef.com/problems/TCSNQTQA02", "https://www.codechef.com/problems/TCSNQTQA02")</f>
        <v/>
      </c>
      <c r="K141" s="4" t="inlineStr"/>
      <c r="L141" s="4" t="inlineStr"/>
      <c r="M141" s="4" t="inlineStr"/>
      <c r="N141" s="4" t="inlineStr">
        <is>
          <t>No</t>
        </is>
      </c>
      <c r="O141" s="4" t="inlineStr">
        <is>
          <t>Unattempted</t>
        </is>
      </c>
    </row>
    <row r="142">
      <c r="A142" s="2" t="inlineStr">
        <is>
          <t>Company Based Questions</t>
        </is>
      </c>
      <c r="B142" s="2" t="inlineStr">
        <is>
          <t>TCS NQT Coding Questions</t>
        </is>
      </c>
      <c r="C142" s="2" t="inlineStr">
        <is>
          <t>Prepare for TCS NQT with previous years questions. Solve the coding, numerical ability, reasoning ability, verbal ability and quant questions which were asked in the past.</t>
        </is>
      </c>
      <c r="D142" s="2" t="inlineStr">
        <is>
          <t>Quant Problems - Past Years Quant Problems</t>
        </is>
      </c>
      <c r="E142" s="2" t="n">
        <v>43</v>
      </c>
      <c r="F142" s="2" t="inlineStr">
        <is>
          <t>Tower Height</t>
        </is>
      </c>
      <c r="G142" s="2" t="inlineStr">
        <is>
          <t>TCSNQTQA03</t>
        </is>
      </c>
      <c r="H142" s="2" t="inlineStr"/>
      <c r="I142" s="2" t="inlineStr">
        <is>
          <t>Easy</t>
        </is>
      </c>
      <c r="J142" s="3">
        <f>HYPERLINK("https://www.codechef.com/problems/TCSNQTQA03", "https://www.codechef.com/problems/TCSNQTQA03")</f>
        <v/>
      </c>
      <c r="K142" s="2" t="inlineStr"/>
      <c r="L142" s="2" t="inlineStr"/>
      <c r="M142" s="2" t="inlineStr"/>
      <c r="N142" s="2" t="inlineStr">
        <is>
          <t>No</t>
        </is>
      </c>
      <c r="O142" s="2" t="inlineStr">
        <is>
          <t>Unattempted</t>
        </is>
      </c>
    </row>
    <row r="143">
      <c r="A143" s="4" t="inlineStr">
        <is>
          <t>Company Based Questions</t>
        </is>
      </c>
      <c r="B143" s="4" t="inlineStr">
        <is>
          <t>TCS NQT Coding Questions</t>
        </is>
      </c>
      <c r="C143" s="4" t="inlineStr">
        <is>
          <t>Prepare for TCS NQT with previous years questions. Solve the coding, numerical ability, reasoning ability, verbal ability and quant questions which were asked in the past.</t>
        </is>
      </c>
      <c r="D143" s="4" t="inlineStr">
        <is>
          <t>Quant Problems - Past Years Quant Problems</t>
        </is>
      </c>
      <c r="E143" s="4" t="n">
        <v>44</v>
      </c>
      <c r="F143" s="4" t="inlineStr">
        <is>
          <t>Interests</t>
        </is>
      </c>
      <c r="G143" s="4" t="inlineStr">
        <is>
          <t>TCSNQTQA04</t>
        </is>
      </c>
      <c r="H143" s="4" t="inlineStr"/>
      <c r="I143" s="4" t="inlineStr">
        <is>
          <t>Medium</t>
        </is>
      </c>
      <c r="J143" s="5">
        <f>HYPERLINK("https://www.codechef.com/problems/TCSNQTQA04", "https://www.codechef.com/problems/TCSNQTQA04")</f>
        <v/>
      </c>
      <c r="K143" s="4" t="inlineStr"/>
      <c r="L143" s="4" t="inlineStr"/>
      <c r="M143" s="4" t="inlineStr"/>
      <c r="N143" s="4" t="inlineStr">
        <is>
          <t>No</t>
        </is>
      </c>
      <c r="O143" s="4" t="inlineStr">
        <is>
          <t>Unattempted</t>
        </is>
      </c>
    </row>
    <row r="144">
      <c r="A144" s="2" t="inlineStr">
        <is>
          <t>Company Based Questions</t>
        </is>
      </c>
      <c r="B144" s="2" t="inlineStr">
        <is>
          <t>TCS NQT Coding Questions</t>
        </is>
      </c>
      <c r="C144" s="2" t="inlineStr">
        <is>
          <t>Prepare for TCS NQT with previous years questions. Solve the coding, numerical ability, reasoning ability, verbal ability and quant questions which were asked in the past.</t>
        </is>
      </c>
      <c r="D144" s="2" t="inlineStr">
        <is>
          <t>Quant Problems - Past Years Quant Problems</t>
        </is>
      </c>
      <c r="E144" s="2" t="n">
        <v>45</v>
      </c>
      <c r="F144" s="2" t="inlineStr">
        <is>
          <t>Age</t>
        </is>
      </c>
      <c r="G144" s="2" t="inlineStr">
        <is>
          <t>TCSNQTQA05</t>
        </is>
      </c>
      <c r="H144" s="2" t="inlineStr"/>
      <c r="I144" s="2" t="inlineStr">
        <is>
          <t>Easy</t>
        </is>
      </c>
      <c r="J144" s="3">
        <f>HYPERLINK("https://www.codechef.com/problems/TCSNQTQA05", "https://www.codechef.com/problems/TCSNQTQA05")</f>
        <v/>
      </c>
      <c r="K144" s="2" t="inlineStr"/>
      <c r="L144" s="2" t="inlineStr"/>
      <c r="M144" s="2" t="inlineStr"/>
      <c r="N144" s="2" t="inlineStr">
        <is>
          <t>No</t>
        </is>
      </c>
      <c r="O144" s="2" t="inlineStr">
        <is>
          <t>Unattempted</t>
        </is>
      </c>
    </row>
    <row r="145">
      <c r="A145" s="4" t="inlineStr">
        <is>
          <t>Company Based Questions</t>
        </is>
      </c>
      <c r="B145" s="4" t="inlineStr">
        <is>
          <t>TCS NQT Coding Questions</t>
        </is>
      </c>
      <c r="C145" s="4" t="inlineStr">
        <is>
          <t>Prepare for TCS NQT with previous years questions. Solve the coding, numerical ability, reasoning ability, verbal ability and quant questions which were asked in the past.</t>
        </is>
      </c>
      <c r="D145" s="4" t="inlineStr">
        <is>
          <t>Quant Problems - Past Years Quant Problems</t>
        </is>
      </c>
      <c r="E145" s="4" t="n">
        <v>46</v>
      </c>
      <c r="F145" s="4" t="inlineStr">
        <is>
          <t>Percentage</t>
        </is>
      </c>
      <c r="G145" s="4" t="inlineStr">
        <is>
          <t>TCSNQTQA06</t>
        </is>
      </c>
      <c r="H145" s="4" t="inlineStr"/>
      <c r="I145" s="4" t="inlineStr">
        <is>
          <t>Easy</t>
        </is>
      </c>
      <c r="J145" s="5">
        <f>HYPERLINK("https://www.codechef.com/problems/TCSNQTQA06", "https://www.codechef.com/problems/TCSNQTQA06")</f>
        <v/>
      </c>
      <c r="K145" s="4" t="inlineStr"/>
      <c r="L145" s="4" t="inlineStr"/>
      <c r="M145" s="4" t="inlineStr"/>
      <c r="N145" s="4" t="inlineStr">
        <is>
          <t>No</t>
        </is>
      </c>
      <c r="O145" s="4" t="inlineStr">
        <is>
          <t>Unattempted</t>
        </is>
      </c>
    </row>
    <row r="146">
      <c r="A146" s="2" t="inlineStr">
        <is>
          <t>Company Based Questions</t>
        </is>
      </c>
      <c r="B146" s="2" t="inlineStr">
        <is>
          <t>TCS NQT Coding Questions</t>
        </is>
      </c>
      <c r="C146" s="2" t="inlineStr">
        <is>
          <t>Prepare for TCS NQT with previous years questions. Solve the coding, numerical ability, reasoning ability, verbal ability and quant questions which were asked in the past.</t>
        </is>
      </c>
      <c r="D146" s="2" t="inlineStr">
        <is>
          <t>Quant Problems - Past Years Quant Problems</t>
        </is>
      </c>
      <c r="E146" s="2" t="n">
        <v>47</v>
      </c>
      <c r="F146" s="2" t="inlineStr">
        <is>
          <t>Volume and Surface Area</t>
        </is>
      </c>
      <c r="G146" s="2" t="inlineStr">
        <is>
          <t>TCSNQTQA07</t>
        </is>
      </c>
      <c r="H146" s="2" t="inlineStr"/>
      <c r="I146" s="2" t="inlineStr">
        <is>
          <t>Easy</t>
        </is>
      </c>
      <c r="J146" s="3">
        <f>HYPERLINK("https://www.codechef.com/problems/TCSNQTQA07", "https://www.codechef.com/problems/TCSNQTQA07")</f>
        <v/>
      </c>
      <c r="K146" s="2" t="inlineStr"/>
      <c r="L146" s="2" t="inlineStr"/>
      <c r="M146" s="2" t="inlineStr"/>
      <c r="N146" s="2" t="inlineStr">
        <is>
          <t>No</t>
        </is>
      </c>
      <c r="O146" s="2" t="inlineStr">
        <is>
          <t>Unattempted</t>
        </is>
      </c>
    </row>
    <row r="147">
      <c r="A147" s="4" t="inlineStr">
        <is>
          <t>Company Based Questions</t>
        </is>
      </c>
      <c r="B147" s="4" t="inlineStr">
        <is>
          <t>TCS NQT Coding Questions</t>
        </is>
      </c>
      <c r="C147" s="4" t="inlineStr">
        <is>
          <t>Prepare for TCS NQT with previous years questions. Solve the coding, numerical ability, reasoning ability, verbal ability and quant questions which were asked in the past.</t>
        </is>
      </c>
      <c r="D147" s="4" t="inlineStr">
        <is>
          <t>Quant Problems - Past Years Quant Problems</t>
        </is>
      </c>
      <c r="E147" s="4" t="n">
        <v>48</v>
      </c>
      <c r="F147" s="4" t="inlineStr">
        <is>
          <t>HCF and LCM</t>
        </is>
      </c>
      <c r="G147" s="4" t="inlineStr">
        <is>
          <t>TCSNQTQA08</t>
        </is>
      </c>
      <c r="H147" s="4" t="inlineStr"/>
      <c r="I147" s="4" t="inlineStr">
        <is>
          <t>Medium</t>
        </is>
      </c>
      <c r="J147" s="5">
        <f>HYPERLINK("https://www.codechef.com/problems/TCSNQTQA08", "https://www.codechef.com/problems/TCSNQTQA08")</f>
        <v/>
      </c>
      <c r="K147" s="4" t="inlineStr"/>
      <c r="L147" s="4" t="inlineStr"/>
      <c r="M147" s="4" t="inlineStr"/>
      <c r="N147" s="4" t="inlineStr">
        <is>
          <t>No</t>
        </is>
      </c>
      <c r="O147" s="4" t="inlineStr">
        <is>
          <t>Unattempted</t>
        </is>
      </c>
    </row>
    <row r="148">
      <c r="A148" s="2" t="inlineStr">
        <is>
          <t>Company Based Questions</t>
        </is>
      </c>
      <c r="B148" s="2" t="inlineStr">
        <is>
          <t>TCS NQT Coding Questions</t>
        </is>
      </c>
      <c r="C148" s="2" t="inlineStr">
        <is>
          <t>Prepare for TCS NQT with previous years questions. Solve the coding, numerical ability, reasoning ability, verbal ability and quant questions which were asked in the past.</t>
        </is>
      </c>
      <c r="D148" s="2" t="inlineStr">
        <is>
          <t>Quant Problems - Past Years Quant Problems</t>
        </is>
      </c>
      <c r="E148" s="2" t="n">
        <v>49</v>
      </c>
      <c r="F148" s="2" t="inlineStr">
        <is>
          <t>Milk Mixture</t>
        </is>
      </c>
      <c r="G148" s="2" t="inlineStr">
        <is>
          <t>TCSNQTQA09</t>
        </is>
      </c>
      <c r="H148" s="2" t="inlineStr"/>
      <c r="I148" s="2" t="inlineStr">
        <is>
          <t>Medium</t>
        </is>
      </c>
      <c r="J148" s="3">
        <f>HYPERLINK("https://www.codechef.com/problems/TCSNQTQA09", "https://www.codechef.com/problems/TCSNQTQA09")</f>
        <v/>
      </c>
      <c r="K148" s="2" t="inlineStr"/>
      <c r="L148" s="2" t="inlineStr"/>
      <c r="M148" s="2" t="inlineStr"/>
      <c r="N148" s="2" t="inlineStr">
        <is>
          <t>No</t>
        </is>
      </c>
      <c r="O148" s="2" t="inlineStr">
        <is>
          <t>Unattempted</t>
        </is>
      </c>
    </row>
    <row r="149">
      <c r="A149" s="4" t="inlineStr">
        <is>
          <t>Company Based Questions</t>
        </is>
      </c>
      <c r="B149" s="4" t="inlineStr">
        <is>
          <t>TCS NQT Coding Questions</t>
        </is>
      </c>
      <c r="C149" s="4" t="inlineStr">
        <is>
          <t>Prepare for TCS NQT with previous years questions. Solve the coding, numerical ability, reasoning ability, verbal ability and quant questions which were asked in the past.</t>
        </is>
      </c>
      <c r="D149" s="4" t="inlineStr">
        <is>
          <t>Quant Problems - Past Years Quant Problems</t>
        </is>
      </c>
      <c r="E149" s="4" t="n">
        <v>50</v>
      </c>
      <c r="F149" s="4" t="inlineStr">
        <is>
          <t>Data Interpretation</t>
        </is>
      </c>
      <c r="G149" s="4" t="inlineStr">
        <is>
          <t>TCSNQTQA10</t>
        </is>
      </c>
      <c r="H149" s="4" t="inlineStr"/>
      <c r="I149" s="4" t="inlineStr">
        <is>
          <t>Easy</t>
        </is>
      </c>
      <c r="J149" s="5">
        <f>HYPERLINK("https://www.codechef.com/problems/TCSNQTQA10", "https://www.codechef.com/problems/TCSNQTQA10")</f>
        <v/>
      </c>
      <c r="K149" s="4" t="inlineStr"/>
      <c r="L149" s="4" t="inlineStr"/>
      <c r="M149" s="4" t="inlineStr"/>
      <c r="N149" s="4" t="inlineStr">
        <is>
          <t>No</t>
        </is>
      </c>
      <c r="O149" s="4" t="inlineStr">
        <is>
          <t>Unattempted</t>
        </is>
      </c>
    </row>
    <row r="150">
      <c r="A150" s="2" t="inlineStr">
        <is>
          <t>Company Based Questions</t>
        </is>
      </c>
      <c r="B150" s="2" t="inlineStr">
        <is>
          <t>Nutanix Coding Interview Questions</t>
        </is>
      </c>
      <c r="C150" s="2" t="inlineStr">
        <is>
          <t>Prepare for your Nutanix online assessment and Interview with most commonly asked coding questions.</t>
        </is>
      </c>
      <c r="D150" s="2" t="inlineStr">
        <is>
          <t>Nutanix Coding Questions - Nutanix Coding Questions</t>
        </is>
      </c>
      <c r="E150" s="2" t="n">
        <v>1</v>
      </c>
      <c r="F150" s="2" t="inlineStr">
        <is>
          <t>String Anagrams</t>
        </is>
      </c>
      <c r="G150" s="2" t="inlineStr">
        <is>
          <t>NUTANIX01</t>
        </is>
      </c>
      <c r="H150" s="2" t="inlineStr"/>
      <c r="I150" s="2" t="inlineStr">
        <is>
          <t>Medium</t>
        </is>
      </c>
      <c r="J150" s="3">
        <f>HYPERLINK("https://www.codechef.com/problems/NUTANIX01", "https://www.codechef.com/problems/NUTANIX01")</f>
        <v/>
      </c>
      <c r="K150" s="2" t="inlineStr"/>
      <c r="L150" s="2" t="inlineStr"/>
      <c r="M150" s="2" t="inlineStr"/>
      <c r="N150" s="2" t="inlineStr">
        <is>
          <t>No</t>
        </is>
      </c>
      <c r="O150" s="2" t="inlineStr">
        <is>
          <t>Unattempted</t>
        </is>
      </c>
    </row>
    <row r="151">
      <c r="A151" s="4" t="inlineStr">
        <is>
          <t>Company Based Questions</t>
        </is>
      </c>
      <c r="B151" s="4" t="inlineStr">
        <is>
          <t>Nutanix Coding Interview Questions</t>
        </is>
      </c>
      <c r="C151" s="4" t="inlineStr">
        <is>
          <t>Prepare for your Nutanix online assessment and Interview with most commonly asked coding questions.</t>
        </is>
      </c>
      <c r="D151" s="4" t="inlineStr">
        <is>
          <t>Nutanix Coding Questions - Nutanix Coding Questions</t>
        </is>
      </c>
      <c r="E151" s="4" t="n">
        <v>2</v>
      </c>
      <c r="F151" s="4" t="inlineStr">
        <is>
          <t>Russian Peasant Multiplication</t>
        </is>
      </c>
      <c r="G151" s="4" t="inlineStr">
        <is>
          <t>NUTANIX07</t>
        </is>
      </c>
      <c r="H151" s="4" t="inlineStr"/>
      <c r="I151" s="4" t="inlineStr">
        <is>
          <t>Medium</t>
        </is>
      </c>
      <c r="J151" s="5">
        <f>HYPERLINK("https://www.codechef.com/problems/NUTANIX07", "https://www.codechef.com/problems/NUTANIX07")</f>
        <v/>
      </c>
      <c r="K151" s="4" t="inlineStr"/>
      <c r="L151" s="4" t="inlineStr"/>
      <c r="M151" s="4" t="inlineStr"/>
      <c r="N151" s="4" t="inlineStr">
        <is>
          <t>No</t>
        </is>
      </c>
      <c r="O151" s="4" t="inlineStr">
        <is>
          <t>Unattempted</t>
        </is>
      </c>
    </row>
    <row r="152">
      <c r="A152" s="2" t="inlineStr">
        <is>
          <t>Company Based Questions</t>
        </is>
      </c>
      <c r="B152" s="2" t="inlineStr">
        <is>
          <t>Nutanix Coding Interview Questions</t>
        </is>
      </c>
      <c r="C152" s="2" t="inlineStr">
        <is>
          <t>Prepare for your Nutanix online assessment and Interview with most commonly asked coding questions.</t>
        </is>
      </c>
      <c r="D152" s="2" t="inlineStr">
        <is>
          <t>Nutanix Coding Questions - Nutanix Coding Questions</t>
        </is>
      </c>
      <c r="E152" s="2" t="n">
        <v>3</v>
      </c>
      <c r="F152" s="2" t="inlineStr">
        <is>
          <t>Infix to Postfix Conversion</t>
        </is>
      </c>
      <c r="G152" s="2" t="inlineStr">
        <is>
          <t>NUTANIX12</t>
        </is>
      </c>
      <c r="H152" s="2" t="inlineStr"/>
      <c r="I152" s="2" t="inlineStr">
        <is>
          <t>Medium</t>
        </is>
      </c>
      <c r="J152" s="3">
        <f>HYPERLINK("https://www.codechef.com/problems/NUTANIX12", "https://www.codechef.com/problems/NUTANIX12")</f>
        <v/>
      </c>
      <c r="K152" s="2" t="inlineStr"/>
      <c r="L152" s="2" t="inlineStr"/>
      <c r="M152" s="2" t="inlineStr"/>
      <c r="N152" s="2" t="inlineStr">
        <is>
          <t>No</t>
        </is>
      </c>
      <c r="O152" s="2" t="inlineStr">
        <is>
          <t>Unattempted</t>
        </is>
      </c>
    </row>
    <row r="153">
      <c r="A153" s="4" t="inlineStr">
        <is>
          <t>Company Based Questions</t>
        </is>
      </c>
      <c r="B153" s="4" t="inlineStr">
        <is>
          <t>Nutanix Coding Interview Questions</t>
        </is>
      </c>
      <c r="C153" s="4" t="inlineStr">
        <is>
          <t>Prepare for your Nutanix online assessment and Interview with most commonly asked coding questions.</t>
        </is>
      </c>
      <c r="D153" s="4" t="inlineStr">
        <is>
          <t>Nutanix Coding Questions - Nutanix Coding Questions</t>
        </is>
      </c>
      <c r="E153" s="4" t="n">
        <v>4</v>
      </c>
      <c r="F153" s="4" t="inlineStr">
        <is>
          <t>String Split Challenge</t>
        </is>
      </c>
      <c r="G153" s="4" t="inlineStr">
        <is>
          <t>NUTANIX11</t>
        </is>
      </c>
      <c r="H153" s="4" t="inlineStr"/>
      <c r="I153" s="4" t="inlineStr">
        <is>
          <t>Medium</t>
        </is>
      </c>
      <c r="J153" s="5">
        <f>HYPERLINK("https://www.codechef.com/problems/NUTANIX11", "https://www.codechef.com/problems/NUTANIX11")</f>
        <v/>
      </c>
      <c r="K153" s="4" t="inlineStr"/>
      <c r="L153" s="4" t="inlineStr"/>
      <c r="M153" s="4" t="inlineStr"/>
      <c r="N153" s="4" t="inlineStr">
        <is>
          <t>No</t>
        </is>
      </c>
      <c r="O153" s="4" t="inlineStr">
        <is>
          <t>Unattempted</t>
        </is>
      </c>
    </row>
    <row r="154">
      <c r="A154" s="2" t="inlineStr">
        <is>
          <t>Company Based Questions</t>
        </is>
      </c>
      <c r="B154" s="2" t="inlineStr">
        <is>
          <t>Nutanix Coding Interview Questions</t>
        </is>
      </c>
      <c r="C154" s="2" t="inlineStr">
        <is>
          <t>Prepare for your Nutanix online assessment and Interview with most commonly asked coding questions.</t>
        </is>
      </c>
      <c r="D154" s="2" t="inlineStr">
        <is>
          <t>Nutanix Coding Questions - Nutanix Coding Questions</t>
        </is>
      </c>
      <c r="E154" s="2" t="n">
        <v>5</v>
      </c>
      <c r="F154" s="2" t="inlineStr">
        <is>
          <t>Rotting Oranges</t>
        </is>
      </c>
      <c r="G154" s="2" t="inlineStr">
        <is>
          <t>NUTANIX02</t>
        </is>
      </c>
      <c r="H154" s="2" t="inlineStr"/>
      <c r="I154" s="2" t="inlineStr">
        <is>
          <t>Medium</t>
        </is>
      </c>
      <c r="J154" s="3">
        <f>HYPERLINK("https://www.codechef.com/problems/NUTANIX02", "https://www.codechef.com/problems/NUTANIX02")</f>
        <v/>
      </c>
      <c r="K154" s="2" t="inlineStr"/>
      <c r="L154" s="2" t="inlineStr"/>
      <c r="M154" s="2" t="inlineStr"/>
      <c r="N154" s="2" t="inlineStr">
        <is>
          <t>No</t>
        </is>
      </c>
      <c r="O154" s="2" t="inlineStr">
        <is>
          <t>Unattempted</t>
        </is>
      </c>
    </row>
    <row r="155">
      <c r="A155" s="4" t="inlineStr">
        <is>
          <t>Company Based Questions</t>
        </is>
      </c>
      <c r="B155" s="4" t="inlineStr">
        <is>
          <t>Nutanix Coding Interview Questions</t>
        </is>
      </c>
      <c r="C155" s="4" t="inlineStr">
        <is>
          <t>Prepare for your Nutanix online assessment and Interview with most commonly asked coding questions.</t>
        </is>
      </c>
      <c r="D155" s="4" t="inlineStr">
        <is>
          <t>Nutanix Coding Questions - Nutanix Coding Questions</t>
        </is>
      </c>
      <c r="E155" s="4" t="n">
        <v>6</v>
      </c>
      <c r="F155" s="4" t="inlineStr">
        <is>
          <t>Water Jug Problem</t>
        </is>
      </c>
      <c r="G155" s="4" t="inlineStr">
        <is>
          <t>NUTANIX03</t>
        </is>
      </c>
      <c r="H155" s="4" t="inlineStr"/>
      <c r="I155" s="4" t="inlineStr">
        <is>
          <t>Medium</t>
        </is>
      </c>
      <c r="J155" s="5">
        <f>HYPERLINK("https://www.codechef.com/problems/NUTANIX03", "https://www.codechef.com/problems/NUTANIX03")</f>
        <v/>
      </c>
      <c r="K155" s="4" t="inlineStr"/>
      <c r="L155" s="4" t="inlineStr"/>
      <c r="M155" s="4" t="inlineStr"/>
      <c r="N155" s="4" t="inlineStr">
        <is>
          <t>No</t>
        </is>
      </c>
      <c r="O155" s="4" t="inlineStr">
        <is>
          <t>Unattempted</t>
        </is>
      </c>
    </row>
    <row r="156">
      <c r="A156" s="2" t="inlineStr">
        <is>
          <t>Company Based Questions</t>
        </is>
      </c>
      <c r="B156" s="2" t="inlineStr">
        <is>
          <t>Nutanix Coding Interview Questions</t>
        </is>
      </c>
      <c r="C156" s="2" t="inlineStr">
        <is>
          <t>Prepare for your Nutanix online assessment and Interview with most commonly asked coding questions.</t>
        </is>
      </c>
      <c r="D156" s="2" t="inlineStr">
        <is>
          <t>Nutanix Coding Questions - Nutanix Coding Questions</t>
        </is>
      </c>
      <c r="E156" s="2" t="n">
        <v>7</v>
      </c>
      <c r="F156" s="2" t="inlineStr">
        <is>
          <t>Last Robot Standing</t>
        </is>
      </c>
      <c r="G156" s="2" t="inlineStr">
        <is>
          <t>NUTANIX04</t>
        </is>
      </c>
      <c r="H156" s="2" t="inlineStr"/>
      <c r="I156" s="2" t="inlineStr">
        <is>
          <t>Hard</t>
        </is>
      </c>
      <c r="J156" s="3">
        <f>HYPERLINK("https://www.codechef.com/problems/NUTANIX04", "https://www.codechef.com/problems/NUTANIX04")</f>
        <v/>
      </c>
      <c r="K156" s="2" t="inlineStr"/>
      <c r="L156" s="2" t="inlineStr"/>
      <c r="M156" s="2" t="inlineStr"/>
      <c r="N156" s="2" t="inlineStr">
        <is>
          <t>No</t>
        </is>
      </c>
      <c r="O156" s="2" t="inlineStr">
        <is>
          <t>Unattempted</t>
        </is>
      </c>
    </row>
    <row r="157">
      <c r="A157" s="4" t="inlineStr">
        <is>
          <t>Company Based Questions</t>
        </is>
      </c>
      <c r="B157" s="4" t="inlineStr">
        <is>
          <t>Nutanix Coding Interview Questions</t>
        </is>
      </c>
      <c r="C157" s="4" t="inlineStr">
        <is>
          <t>Prepare for your Nutanix online assessment and Interview with most commonly asked coding questions.</t>
        </is>
      </c>
      <c r="D157" s="4" t="inlineStr">
        <is>
          <t>Nutanix Coding Questions - Nutanix Coding Questions</t>
        </is>
      </c>
      <c r="E157" s="4" t="n">
        <v>8</v>
      </c>
      <c r="F157" s="4" t="inlineStr">
        <is>
          <t>Friends Pairing</t>
        </is>
      </c>
      <c r="G157" s="4" t="inlineStr">
        <is>
          <t>NUTANIX05</t>
        </is>
      </c>
      <c r="H157" s="4" t="inlineStr"/>
      <c r="I157" s="4" t="inlineStr">
        <is>
          <t>Medium</t>
        </is>
      </c>
      <c r="J157" s="5">
        <f>HYPERLINK("https://www.codechef.com/problems/NUTANIX05", "https://www.codechef.com/problems/NUTANIX05")</f>
        <v/>
      </c>
      <c r="K157" s="4" t="inlineStr"/>
      <c r="L157" s="4" t="inlineStr"/>
      <c r="M157" s="4" t="inlineStr"/>
      <c r="N157" s="4" t="inlineStr">
        <is>
          <t>No</t>
        </is>
      </c>
      <c r="O157" s="4" t="inlineStr">
        <is>
          <t>Unattempted</t>
        </is>
      </c>
    </row>
    <row r="158">
      <c r="A158" s="2" t="inlineStr">
        <is>
          <t>Company Based Questions</t>
        </is>
      </c>
      <c r="B158" s="2" t="inlineStr">
        <is>
          <t>Nutanix Coding Interview Questions</t>
        </is>
      </c>
      <c r="C158" s="2" t="inlineStr">
        <is>
          <t>Prepare for your Nutanix online assessment and Interview with most commonly asked coding questions.</t>
        </is>
      </c>
      <c r="D158" s="2" t="inlineStr">
        <is>
          <t>Nutanix Coding Questions - Nutanix Coding Questions</t>
        </is>
      </c>
      <c r="E158" s="2" t="n">
        <v>9</v>
      </c>
      <c r="F158" s="2" t="inlineStr">
        <is>
          <t>Time to publish comic books</t>
        </is>
      </c>
      <c r="G158" s="2" t="inlineStr">
        <is>
          <t>NUTANIX08</t>
        </is>
      </c>
      <c r="H158" s="2" t="inlineStr"/>
      <c r="I158" s="2" t="inlineStr">
        <is>
          <t>Hard</t>
        </is>
      </c>
      <c r="J158" s="3">
        <f>HYPERLINK("https://www.codechef.com/problems/NUTANIX08", "https://www.codechef.com/problems/NUTANIX08")</f>
        <v/>
      </c>
      <c r="K158" s="2" t="inlineStr"/>
      <c r="L158" s="2" t="inlineStr"/>
      <c r="M158" s="2" t="inlineStr"/>
      <c r="N158" s="2" t="inlineStr">
        <is>
          <t>No</t>
        </is>
      </c>
      <c r="O158" s="2" t="inlineStr">
        <is>
          <t>Unattempted</t>
        </is>
      </c>
    </row>
    <row r="159">
      <c r="A159" s="4" t="inlineStr">
        <is>
          <t>Company Based Questions</t>
        </is>
      </c>
      <c r="B159" s="4" t="inlineStr">
        <is>
          <t>Nutanix Coding Interview Questions</t>
        </is>
      </c>
      <c r="C159" s="4" t="inlineStr">
        <is>
          <t>Prepare for your Nutanix online assessment and Interview with most commonly asked coding questions.</t>
        </is>
      </c>
      <c r="D159" s="4" t="inlineStr">
        <is>
          <t>Nutanix Coding Questions - Nutanix Coding Questions</t>
        </is>
      </c>
      <c r="E159" s="4" t="n">
        <v>10</v>
      </c>
      <c r="F159" s="4" t="inlineStr">
        <is>
          <t>Maximum Loot</t>
        </is>
      </c>
      <c r="G159" s="4" t="inlineStr">
        <is>
          <t>NUTANIX09</t>
        </is>
      </c>
      <c r="H159" s="4" t="inlineStr"/>
      <c r="I159" s="4" t="inlineStr">
        <is>
          <t>Medium</t>
        </is>
      </c>
      <c r="J159" s="5">
        <f>HYPERLINK("https://www.codechef.com/problems/NUTANIX09", "https://www.codechef.com/problems/NUTANIX09")</f>
        <v/>
      </c>
      <c r="K159" s="4" t="inlineStr"/>
      <c r="L159" s="4" t="inlineStr"/>
      <c r="M159" s="4" t="inlineStr"/>
      <c r="N159" s="4" t="inlineStr">
        <is>
          <t>No</t>
        </is>
      </c>
      <c r="O159" s="4" t="inlineStr">
        <is>
          <t>Unattempted</t>
        </is>
      </c>
    </row>
    <row r="160">
      <c r="A160" s="2" t="inlineStr">
        <is>
          <t>Company Based Questions</t>
        </is>
      </c>
      <c r="B160" s="2" t="inlineStr">
        <is>
          <t>Nutanix Coding Interview Questions</t>
        </is>
      </c>
      <c r="C160" s="2" t="inlineStr">
        <is>
          <t>Prepare for your Nutanix online assessment and Interview with most commonly asked coding questions.</t>
        </is>
      </c>
      <c r="D160" s="2" t="inlineStr">
        <is>
          <t>Nutanix Coding Questions - Nutanix Coding Questions</t>
        </is>
      </c>
      <c r="E160" s="2" t="n">
        <v>11</v>
      </c>
      <c r="F160" s="2" t="inlineStr">
        <is>
          <t>Minimum Platforms</t>
        </is>
      </c>
      <c r="G160" s="2" t="inlineStr">
        <is>
          <t>NUTANIX10</t>
        </is>
      </c>
      <c r="H160" s="2" t="inlineStr"/>
      <c r="I160" s="2" t="inlineStr">
        <is>
          <t>Medium</t>
        </is>
      </c>
      <c r="J160" s="3">
        <f>HYPERLINK("https://www.codechef.com/problems/NUTANIX10", "https://www.codechef.com/problems/NUTANIX10")</f>
        <v/>
      </c>
      <c r="K160" s="2" t="inlineStr"/>
      <c r="L160" s="2" t="inlineStr"/>
      <c r="M160" s="2" t="inlineStr"/>
      <c r="N160" s="2" t="inlineStr">
        <is>
          <t>No</t>
        </is>
      </c>
      <c r="O160" s="2" t="inlineStr">
        <is>
          <t>Unattempted</t>
        </is>
      </c>
    </row>
    <row r="161">
      <c r="A161" s="4" t="inlineStr">
        <is>
          <t>Company Based Questions</t>
        </is>
      </c>
      <c r="B161" s="4" t="inlineStr">
        <is>
          <t>Nutanix Coding Interview Questions</t>
        </is>
      </c>
      <c r="C161" s="4" t="inlineStr">
        <is>
          <t>Prepare for your Nutanix online assessment and Interview with most commonly asked coding questions.</t>
        </is>
      </c>
      <c r="D161" s="4" t="inlineStr">
        <is>
          <t>Nutanix Coding Questions - Nutanix Coding Questions</t>
        </is>
      </c>
      <c r="E161" s="4" t="n">
        <v>12</v>
      </c>
      <c r="F161" s="4" t="inlineStr">
        <is>
          <t>Book Allocation</t>
        </is>
      </c>
      <c r="G161" s="4" t="inlineStr">
        <is>
          <t>NUTANIX06</t>
        </is>
      </c>
      <c r="H161" s="4" t="inlineStr"/>
      <c r="I161" s="4" t="inlineStr">
        <is>
          <t>Hard</t>
        </is>
      </c>
      <c r="J161" s="5">
        <f>HYPERLINK("https://www.codechef.com/problems/NUTANIX06", "https://www.codechef.com/problems/NUTANIX06")</f>
        <v/>
      </c>
      <c r="K161" s="4" t="inlineStr"/>
      <c r="L161" s="4" t="inlineStr"/>
      <c r="M161" s="4" t="inlineStr"/>
      <c r="N161" s="4" t="inlineStr">
        <is>
          <t>No</t>
        </is>
      </c>
      <c r="O161" s="4" t="inlineStr">
        <is>
          <t>Unattempted</t>
        </is>
      </c>
    </row>
    <row r="162">
      <c r="A162" s="2" t="inlineStr">
        <is>
          <t>Company Based Questions</t>
        </is>
      </c>
      <c r="B162" s="2" t="inlineStr">
        <is>
          <t>Junglee Games Interview Questions</t>
        </is>
      </c>
      <c r="C162" s="2" t="inlineStr">
        <is>
          <t>Prepare for your Junglee Games online assessment and Interview with most commonly asked coding questions.</t>
        </is>
      </c>
      <c r="D162" s="2" t="inlineStr">
        <is>
          <t>Junglee Games Coding Questions - Junglee Games Coding Questions</t>
        </is>
      </c>
      <c r="E162" s="2" t="n">
        <v>1</v>
      </c>
      <c r="F162" s="2" t="inlineStr">
        <is>
          <t>Palindromic Array</t>
        </is>
      </c>
      <c r="G162" s="2" t="inlineStr">
        <is>
          <t>JUNGLEE01</t>
        </is>
      </c>
      <c r="H162" s="2" t="inlineStr"/>
      <c r="I162" s="2" t="inlineStr">
        <is>
          <t>Medium</t>
        </is>
      </c>
      <c r="J162" s="3">
        <f>HYPERLINK("https://www.codechef.com/problems/JUNGLEE01", "https://www.codechef.com/problems/JUNGLEE01")</f>
        <v/>
      </c>
      <c r="K162" s="2" t="inlineStr"/>
      <c r="L162" s="2" t="inlineStr"/>
      <c r="M162" s="2" t="inlineStr"/>
      <c r="N162" s="2" t="inlineStr">
        <is>
          <t>No</t>
        </is>
      </c>
      <c r="O162" s="2" t="inlineStr">
        <is>
          <t>Unattempted</t>
        </is>
      </c>
    </row>
    <row r="163">
      <c r="A163" s="4" t="inlineStr">
        <is>
          <t>Company Based Questions</t>
        </is>
      </c>
      <c r="B163" s="4" t="inlineStr">
        <is>
          <t>Junglee Games Interview Questions</t>
        </is>
      </c>
      <c r="C163" s="4" t="inlineStr">
        <is>
          <t>Prepare for your Junglee Games online assessment and Interview with most commonly asked coding questions.</t>
        </is>
      </c>
      <c r="D163" s="4" t="inlineStr">
        <is>
          <t>Junglee Games Coding Questions - Junglee Games Coding Questions</t>
        </is>
      </c>
      <c r="E163" s="4" t="n">
        <v>2</v>
      </c>
      <c r="F163" s="4" t="inlineStr">
        <is>
          <t>Climbing stairs</t>
        </is>
      </c>
      <c r="G163" s="4" t="inlineStr">
        <is>
          <t>JUNGLEE02</t>
        </is>
      </c>
      <c r="H163" s="4" t="inlineStr"/>
      <c r="I163" s="4" t="inlineStr">
        <is>
          <t>Medium</t>
        </is>
      </c>
      <c r="J163" s="5">
        <f>HYPERLINK("https://www.codechef.com/problems/JUNGLEE02", "https://www.codechef.com/problems/JUNGLEE02")</f>
        <v/>
      </c>
      <c r="K163" s="4" t="inlineStr"/>
      <c r="L163" s="4" t="inlineStr"/>
      <c r="M163" s="4" t="inlineStr"/>
      <c r="N163" s="4" t="inlineStr">
        <is>
          <t>No</t>
        </is>
      </c>
      <c r="O163" s="4" t="inlineStr">
        <is>
          <t>Unattempted</t>
        </is>
      </c>
    </row>
    <row r="164">
      <c r="A164" s="2" t="inlineStr">
        <is>
          <t>Company Based Questions</t>
        </is>
      </c>
      <c r="B164" s="2" t="inlineStr">
        <is>
          <t>Junglee Games Interview Questions</t>
        </is>
      </c>
      <c r="C164" s="2" t="inlineStr">
        <is>
          <t>Prepare for your Junglee Games online assessment and Interview with most commonly asked coding questions.</t>
        </is>
      </c>
      <c r="D164" s="2" t="inlineStr">
        <is>
          <t>Junglee Games Coding Questions - Junglee Games Coding Questions</t>
        </is>
      </c>
      <c r="E164" s="2" t="n">
        <v>3</v>
      </c>
      <c r="F164" s="2" t="inlineStr">
        <is>
          <t>Distinct Elements Query</t>
        </is>
      </c>
      <c r="G164" s="2" t="inlineStr">
        <is>
          <t>JUNGLEE03</t>
        </is>
      </c>
      <c r="H164" s="2" t="inlineStr"/>
      <c r="I164" s="2" t="inlineStr">
        <is>
          <t>Medium</t>
        </is>
      </c>
      <c r="J164" s="3">
        <f>HYPERLINK("https://www.codechef.com/problems/JUNGLEE03", "https://www.codechef.com/problems/JUNGLEE03")</f>
        <v/>
      </c>
      <c r="K164" s="2" t="inlineStr"/>
      <c r="L164" s="2" t="inlineStr"/>
      <c r="M164" s="2" t="inlineStr"/>
      <c r="N164" s="2" t="inlineStr">
        <is>
          <t>No</t>
        </is>
      </c>
      <c r="O164" s="2" t="inlineStr">
        <is>
          <t>Unattempted</t>
        </is>
      </c>
    </row>
    <row r="165">
      <c r="A165" s="4" t="inlineStr">
        <is>
          <t>Company Based Questions</t>
        </is>
      </c>
      <c r="B165" s="4" t="inlineStr">
        <is>
          <t>Junglee Games Interview Questions</t>
        </is>
      </c>
      <c r="C165" s="4" t="inlineStr">
        <is>
          <t>Prepare for your Junglee Games online assessment and Interview with most commonly asked coding questions.</t>
        </is>
      </c>
      <c r="D165" s="4" t="inlineStr">
        <is>
          <t>Junglee Games Coding Questions - Junglee Games Coding Questions</t>
        </is>
      </c>
      <c r="E165" s="4" t="n">
        <v>4</v>
      </c>
      <c r="F165" s="4" t="inlineStr">
        <is>
          <t>Element Frequency</t>
        </is>
      </c>
      <c r="G165" s="4" t="inlineStr">
        <is>
          <t>JUNGLEE07</t>
        </is>
      </c>
      <c r="H165" s="4" t="inlineStr"/>
      <c r="I165" s="4" t="inlineStr">
        <is>
          <t>Hard</t>
        </is>
      </c>
      <c r="J165" s="5">
        <f>HYPERLINK("https://www.codechef.com/problems/JUNGLEE07", "https://www.codechef.com/problems/JUNGLEE07")</f>
        <v/>
      </c>
      <c r="K165" s="4" t="inlineStr"/>
      <c r="L165" s="4" t="inlineStr"/>
      <c r="M165" s="4" t="inlineStr"/>
      <c r="N165" s="4" t="inlineStr">
        <is>
          <t>No</t>
        </is>
      </c>
      <c r="O165" s="4" t="inlineStr">
        <is>
          <t>Unattempted</t>
        </is>
      </c>
    </row>
    <row r="166">
      <c r="A166" s="2" t="inlineStr">
        <is>
          <t>Company Based Questions</t>
        </is>
      </c>
      <c r="B166" s="2" t="inlineStr">
        <is>
          <t>Junglee Games Interview Questions</t>
        </is>
      </c>
      <c r="C166" s="2" t="inlineStr">
        <is>
          <t>Prepare for your Junglee Games online assessment and Interview with most commonly asked coding questions.</t>
        </is>
      </c>
      <c r="D166" s="2" t="inlineStr">
        <is>
          <t>Junglee Games Coding Questions - Junglee Games Coding Questions</t>
        </is>
      </c>
      <c r="E166" s="2" t="n">
        <v>5</v>
      </c>
      <c r="F166" s="2" t="inlineStr">
        <is>
          <t>First Non-Repeating Element</t>
        </is>
      </c>
      <c r="G166" s="2" t="inlineStr">
        <is>
          <t>JUNGLEE08</t>
        </is>
      </c>
      <c r="H166" s="2" t="inlineStr"/>
      <c r="I166" s="2" t="inlineStr">
        <is>
          <t>Medium</t>
        </is>
      </c>
      <c r="J166" s="3">
        <f>HYPERLINK("https://www.codechef.com/problems/JUNGLEE08", "https://www.codechef.com/problems/JUNGLEE08")</f>
        <v/>
      </c>
      <c r="K166" s="2" t="inlineStr"/>
      <c r="L166" s="2" t="inlineStr"/>
      <c r="M166" s="2" t="inlineStr"/>
      <c r="N166" s="2" t="inlineStr">
        <is>
          <t>No</t>
        </is>
      </c>
      <c r="O166" s="2" t="inlineStr">
        <is>
          <t>Unattempted</t>
        </is>
      </c>
    </row>
    <row r="167">
      <c r="A167" s="4" t="inlineStr">
        <is>
          <t>Company Based Questions</t>
        </is>
      </c>
      <c r="B167" s="4" t="inlineStr">
        <is>
          <t>Junglee Games Interview Questions</t>
        </is>
      </c>
      <c r="C167" s="4" t="inlineStr">
        <is>
          <t>Prepare for your Junglee Games online assessment and Interview with most commonly asked coding questions.</t>
        </is>
      </c>
      <c r="D167" s="4" t="inlineStr">
        <is>
          <t>Junglee Games Coding Questions - Junglee Games Coding Questions</t>
        </is>
      </c>
      <c r="E167" s="4" t="n">
        <v>6</v>
      </c>
      <c r="F167" s="4" t="inlineStr">
        <is>
          <t>Consecutive Prime Sum</t>
        </is>
      </c>
      <c r="G167" s="4" t="inlineStr">
        <is>
          <t>JUNGLEE05</t>
        </is>
      </c>
      <c r="H167" s="4" t="inlineStr"/>
      <c r="I167" s="4" t="inlineStr">
        <is>
          <t>Medium</t>
        </is>
      </c>
      <c r="J167" s="5">
        <f>HYPERLINK("https://www.codechef.com/problems/JUNGLEE05", "https://www.codechef.com/problems/JUNGLEE05")</f>
        <v/>
      </c>
      <c r="K167" s="4" t="inlineStr"/>
      <c r="L167" s="4" t="inlineStr"/>
      <c r="M167" s="4" t="inlineStr"/>
      <c r="N167" s="4" t="inlineStr">
        <is>
          <t>No</t>
        </is>
      </c>
      <c r="O167" s="4" t="inlineStr">
        <is>
          <t>Unattempted</t>
        </is>
      </c>
    </row>
    <row r="168">
      <c r="A168" s="2" t="inlineStr">
        <is>
          <t>Company Based Questions</t>
        </is>
      </c>
      <c r="B168" s="2" t="inlineStr">
        <is>
          <t>Junglee Games Interview Questions</t>
        </is>
      </c>
      <c r="C168" s="2" t="inlineStr">
        <is>
          <t>Prepare for your Junglee Games online assessment and Interview with most commonly asked coding questions.</t>
        </is>
      </c>
      <c r="D168" s="2" t="inlineStr">
        <is>
          <t>Junglee Games Coding Questions - Junglee Games Coding Questions</t>
        </is>
      </c>
      <c r="E168" s="2" t="n">
        <v>7</v>
      </c>
      <c r="F168" s="2" t="inlineStr">
        <is>
          <t>Columbus Path Count</t>
        </is>
      </c>
      <c r="G168" s="2" t="inlineStr">
        <is>
          <t>JUNGLEE06</t>
        </is>
      </c>
      <c r="H168" s="2" t="inlineStr"/>
      <c r="I168" s="2" t="inlineStr">
        <is>
          <t>Medium</t>
        </is>
      </c>
      <c r="J168" s="3">
        <f>HYPERLINK("https://www.codechef.com/problems/JUNGLEE06", "https://www.codechef.com/problems/JUNGLEE06")</f>
        <v/>
      </c>
      <c r="K168" s="2" t="inlineStr"/>
      <c r="L168" s="2" t="inlineStr"/>
      <c r="M168" s="2" t="inlineStr"/>
      <c r="N168" s="2" t="inlineStr">
        <is>
          <t>No</t>
        </is>
      </c>
      <c r="O168" s="2" t="inlineStr">
        <is>
          <t>Unattempted</t>
        </is>
      </c>
    </row>
    <row r="169">
      <c r="A169" s="4" t="inlineStr">
        <is>
          <t>Company Based Questions</t>
        </is>
      </c>
      <c r="B169" s="4" t="inlineStr">
        <is>
          <t>Junglee Games Interview Questions</t>
        </is>
      </c>
      <c r="C169" s="4" t="inlineStr">
        <is>
          <t>Prepare for your Junglee Games online assessment and Interview with most commonly asked coding questions.</t>
        </is>
      </c>
      <c r="D169" s="4" t="inlineStr">
        <is>
          <t>Junglee Games Coding Questions - Junglee Games Coding Questions</t>
        </is>
      </c>
      <c r="E169" s="4" t="n">
        <v>8</v>
      </c>
      <c r="F169" s="4" t="inlineStr">
        <is>
          <t>Garden Fountains</t>
        </is>
      </c>
      <c r="G169" s="4" t="inlineStr">
        <is>
          <t>JUNGLEE04</t>
        </is>
      </c>
      <c r="H169" s="4" t="inlineStr"/>
      <c r="I169" s="4" t="inlineStr">
        <is>
          <t>Hard</t>
        </is>
      </c>
      <c r="J169" s="5">
        <f>HYPERLINK("https://www.codechef.com/problems/JUNGLEE04", "https://www.codechef.com/problems/JUNGLEE04")</f>
        <v/>
      </c>
      <c r="K169" s="4" t="inlineStr"/>
      <c r="L169" s="4" t="inlineStr"/>
      <c r="M169" s="4" t="inlineStr"/>
      <c r="N169" s="4" t="inlineStr">
        <is>
          <t>No</t>
        </is>
      </c>
      <c r="O169" s="4" t="inlineStr">
        <is>
          <t>Unattempted</t>
        </is>
      </c>
    </row>
    <row r="170">
      <c r="A170" s="2" t="inlineStr">
        <is>
          <t>Company Based Questions</t>
        </is>
      </c>
      <c r="B170" s="2" t="inlineStr">
        <is>
          <t>Visa Interview Questions</t>
        </is>
      </c>
      <c r="C170" s="2" t="inlineStr">
        <is>
          <t>Prepare for your Visae online assessment and Interview with most commonly asked coding questions.</t>
        </is>
      </c>
      <c r="D170" s="2" t="inlineStr">
        <is>
          <t>Visa Coding Questions - Visa Coding Questions</t>
        </is>
      </c>
      <c r="E170" s="2" t="n">
        <v>1</v>
      </c>
      <c r="F170" s="2" t="inlineStr">
        <is>
          <t>Second Most Frequent Word</t>
        </is>
      </c>
      <c r="G170" s="2" t="inlineStr">
        <is>
          <t>VISA04</t>
        </is>
      </c>
      <c r="H170" s="2" t="inlineStr"/>
      <c r="I170" s="2" t="inlineStr">
        <is>
          <t>Medium</t>
        </is>
      </c>
      <c r="J170" s="3">
        <f>HYPERLINK("https://www.codechef.com/problems/VISA04", "https://www.codechef.com/problems/VISA04")</f>
        <v/>
      </c>
      <c r="K170" s="2" t="inlineStr"/>
      <c r="L170" s="2" t="inlineStr"/>
      <c r="M170" s="2" t="inlineStr"/>
      <c r="N170" s="2" t="inlineStr">
        <is>
          <t>No</t>
        </is>
      </c>
      <c r="O170" s="2" t="inlineStr">
        <is>
          <t>Unattempted</t>
        </is>
      </c>
    </row>
    <row r="171">
      <c r="A171" s="4" t="inlineStr">
        <is>
          <t>Company Based Questions</t>
        </is>
      </c>
      <c r="B171" s="4" t="inlineStr">
        <is>
          <t>Visa Interview Questions</t>
        </is>
      </c>
      <c r="C171" s="4" t="inlineStr">
        <is>
          <t>Prepare for your Visae online assessment and Interview with most commonly asked coding questions.</t>
        </is>
      </c>
      <c r="D171" s="4" t="inlineStr">
        <is>
          <t>Visa Coding Questions - Visa Coding Questions</t>
        </is>
      </c>
      <c r="E171" s="4" t="n">
        <v>2</v>
      </c>
      <c r="F171" s="4" t="inlineStr">
        <is>
          <t>Merge Sorted Arrays</t>
        </is>
      </c>
      <c r="G171" s="4" t="inlineStr">
        <is>
          <t>VISA05</t>
        </is>
      </c>
      <c r="H171" s="4" t="inlineStr"/>
      <c r="I171" s="4" t="inlineStr">
        <is>
          <t>Medium</t>
        </is>
      </c>
      <c r="J171" s="5">
        <f>HYPERLINK("https://www.codechef.com/problems/VISA05", "https://www.codechef.com/problems/VISA05")</f>
        <v/>
      </c>
      <c r="K171" s="4" t="inlineStr"/>
      <c r="L171" s="4" t="inlineStr"/>
      <c r="M171" s="4" t="inlineStr"/>
      <c r="N171" s="4" t="inlineStr">
        <is>
          <t>No</t>
        </is>
      </c>
      <c r="O171" s="4" t="inlineStr">
        <is>
          <t>Unattempted</t>
        </is>
      </c>
    </row>
    <row r="172">
      <c r="A172" s="2" t="inlineStr">
        <is>
          <t>Company Based Questions</t>
        </is>
      </c>
      <c r="B172" s="2" t="inlineStr">
        <is>
          <t>Visa Interview Questions</t>
        </is>
      </c>
      <c r="C172" s="2" t="inlineStr">
        <is>
          <t>Prepare for your Visae online assessment and Interview with most commonly asked coding questions.</t>
        </is>
      </c>
      <c r="D172" s="2" t="inlineStr">
        <is>
          <t>Visa Coding Questions - Visa Coding Questions</t>
        </is>
      </c>
      <c r="E172" s="2" t="n">
        <v>3</v>
      </c>
      <c r="F172" s="2" t="inlineStr">
        <is>
          <t>Minimum Coins Needed</t>
        </is>
      </c>
      <c r="G172" s="2" t="inlineStr">
        <is>
          <t>VISA07</t>
        </is>
      </c>
      <c r="H172" s="2" t="inlineStr"/>
      <c r="I172" s="2" t="inlineStr">
        <is>
          <t>Easy</t>
        </is>
      </c>
      <c r="J172" s="3">
        <f>HYPERLINK("https://www.codechef.com/problems/VISA07", "https://www.codechef.com/problems/VISA07")</f>
        <v/>
      </c>
      <c r="K172" s="2" t="inlineStr"/>
      <c r="L172" s="2" t="inlineStr"/>
      <c r="M172" s="2" t="inlineStr"/>
      <c r="N172" s="2" t="inlineStr">
        <is>
          <t>No</t>
        </is>
      </c>
      <c r="O172" s="2" t="inlineStr">
        <is>
          <t>Unattempted</t>
        </is>
      </c>
    </row>
    <row r="173">
      <c r="A173" s="4" t="inlineStr">
        <is>
          <t>Company Based Questions</t>
        </is>
      </c>
      <c r="B173" s="4" t="inlineStr">
        <is>
          <t>Visa Interview Questions</t>
        </is>
      </c>
      <c r="C173" s="4" t="inlineStr">
        <is>
          <t>Prepare for your Visae online assessment and Interview with most commonly asked coding questions.</t>
        </is>
      </c>
      <c r="D173" s="4" t="inlineStr">
        <is>
          <t>Visa Coding Questions - Visa Coding Questions</t>
        </is>
      </c>
      <c r="E173" s="4" t="n">
        <v>4</v>
      </c>
      <c r="F173" s="4" t="inlineStr">
        <is>
          <t>Circular Robot Path</t>
        </is>
      </c>
      <c r="G173" s="4" t="inlineStr">
        <is>
          <t>VISA08</t>
        </is>
      </c>
      <c r="H173" s="4" t="inlineStr"/>
      <c r="I173" s="4" t="inlineStr">
        <is>
          <t>Medium</t>
        </is>
      </c>
      <c r="J173" s="5">
        <f>HYPERLINK("https://www.codechef.com/problems/VISA08", "https://www.codechef.com/problems/VISA08")</f>
        <v/>
      </c>
      <c r="K173" s="4" t="inlineStr"/>
      <c r="L173" s="4" t="inlineStr"/>
      <c r="M173" s="4" t="inlineStr"/>
      <c r="N173" s="4" t="inlineStr">
        <is>
          <t>No</t>
        </is>
      </c>
      <c r="O173" s="4" t="inlineStr">
        <is>
          <t>Unattempted</t>
        </is>
      </c>
    </row>
    <row r="174">
      <c r="A174" s="2" t="inlineStr">
        <is>
          <t>Company Based Questions</t>
        </is>
      </c>
      <c r="B174" s="2" t="inlineStr">
        <is>
          <t>Visa Interview Questions</t>
        </is>
      </c>
      <c r="C174" s="2" t="inlineStr">
        <is>
          <t>Prepare for your Visae online assessment and Interview with most commonly asked coding questions.</t>
        </is>
      </c>
      <c r="D174" s="2" t="inlineStr">
        <is>
          <t>Visa Coding Questions - Visa Coding Questions</t>
        </is>
      </c>
      <c r="E174" s="2" t="n">
        <v>5</v>
      </c>
      <c r="F174" s="2" t="inlineStr">
        <is>
          <t>Longest Common Subsequence</t>
        </is>
      </c>
      <c r="G174" s="2" t="inlineStr">
        <is>
          <t>VISA01</t>
        </is>
      </c>
      <c r="H174" s="2" t="inlineStr"/>
      <c r="I174" s="2" t="inlineStr">
        <is>
          <t>Hard</t>
        </is>
      </c>
      <c r="J174" s="3">
        <f>HYPERLINK("https://www.codechef.com/problems/VISA01", "https://www.codechef.com/problems/VISA01")</f>
        <v/>
      </c>
      <c r="K174" s="2" t="inlineStr"/>
      <c r="L174" s="2" t="inlineStr"/>
      <c r="M174" s="2" t="inlineStr"/>
      <c r="N174" s="2" t="inlineStr">
        <is>
          <t>No</t>
        </is>
      </c>
      <c r="O174" s="2" t="inlineStr">
        <is>
          <t>Unattempted</t>
        </is>
      </c>
    </row>
    <row r="175">
      <c r="A175" s="4" t="inlineStr">
        <is>
          <t>Company Based Questions</t>
        </is>
      </c>
      <c r="B175" s="4" t="inlineStr">
        <is>
          <t>Visa Interview Questions</t>
        </is>
      </c>
      <c r="C175" s="4" t="inlineStr">
        <is>
          <t>Prepare for your Visae online assessment and Interview with most commonly asked coding questions.</t>
        </is>
      </c>
      <c r="D175" s="4" t="inlineStr">
        <is>
          <t>Visa Coding Questions - Visa Coding Questions</t>
        </is>
      </c>
      <c r="E175" s="4" t="n">
        <v>6</v>
      </c>
      <c r="F175" s="4" t="inlineStr">
        <is>
          <t>Jump Game</t>
        </is>
      </c>
      <c r="G175" s="4" t="inlineStr">
        <is>
          <t>VISA02</t>
        </is>
      </c>
      <c r="H175" s="4" t="inlineStr"/>
      <c r="I175" s="4" t="inlineStr">
        <is>
          <t>Medium</t>
        </is>
      </c>
      <c r="J175" s="5">
        <f>HYPERLINK("https://www.codechef.com/problems/VISA02", "https://www.codechef.com/problems/VISA02")</f>
        <v/>
      </c>
      <c r="K175" s="4" t="inlineStr"/>
      <c r="L175" s="4" t="inlineStr"/>
      <c r="M175" s="4" t="inlineStr"/>
      <c r="N175" s="4" t="inlineStr">
        <is>
          <t>No</t>
        </is>
      </c>
      <c r="O175" s="4" t="inlineStr">
        <is>
          <t>Unattempted</t>
        </is>
      </c>
    </row>
    <row r="176">
      <c r="A176" s="2" t="inlineStr">
        <is>
          <t>Company Based Questions</t>
        </is>
      </c>
      <c r="B176" s="2" t="inlineStr">
        <is>
          <t>Visa Interview Questions</t>
        </is>
      </c>
      <c r="C176" s="2" t="inlineStr">
        <is>
          <t>Prepare for your Visae online assessment and Interview with most commonly asked coding questions.</t>
        </is>
      </c>
      <c r="D176" s="2" t="inlineStr">
        <is>
          <t>Visa Coding Questions - Visa Coding Questions</t>
        </is>
      </c>
      <c r="E176" s="2" t="n">
        <v>7</v>
      </c>
      <c r="F176" s="2" t="inlineStr">
        <is>
          <t>Maximum A Using Special Keyboard</t>
        </is>
      </c>
      <c r="G176" s="2" t="inlineStr">
        <is>
          <t>VISA03</t>
        </is>
      </c>
      <c r="H176" s="2" t="inlineStr"/>
      <c r="I176" s="2" t="inlineStr">
        <is>
          <t>Hard</t>
        </is>
      </c>
      <c r="J176" s="3">
        <f>HYPERLINK("https://www.codechef.com/problems/VISA03", "https://www.codechef.com/problems/VISA03")</f>
        <v/>
      </c>
      <c r="K176" s="2" t="inlineStr"/>
      <c r="L176" s="2" t="inlineStr"/>
      <c r="M176" s="2" t="inlineStr"/>
      <c r="N176" s="2" t="inlineStr">
        <is>
          <t>No</t>
        </is>
      </c>
      <c r="O176" s="2" t="inlineStr">
        <is>
          <t>Unattempted</t>
        </is>
      </c>
    </row>
    <row r="177">
      <c r="A177" s="4" t="inlineStr">
        <is>
          <t>Company Based Questions</t>
        </is>
      </c>
      <c r="B177" s="4" t="inlineStr">
        <is>
          <t>Visa Interview Questions</t>
        </is>
      </c>
      <c r="C177" s="4" t="inlineStr">
        <is>
          <t>Prepare for your Visae online assessment and Interview with most commonly asked coding questions.</t>
        </is>
      </c>
      <c r="D177" s="4" t="inlineStr">
        <is>
          <t>Visa Coding Questions - Visa Coding Questions</t>
        </is>
      </c>
      <c r="E177" s="4" t="n">
        <v>8</v>
      </c>
      <c r="F177" s="4" t="inlineStr">
        <is>
          <t>Longest Palindromic Substring</t>
        </is>
      </c>
      <c r="G177" s="4" t="inlineStr">
        <is>
          <t>VISA06</t>
        </is>
      </c>
      <c r="H177" s="4" t="inlineStr"/>
      <c r="I177" s="4" t="inlineStr">
        <is>
          <t>Medium</t>
        </is>
      </c>
      <c r="J177" s="5">
        <f>HYPERLINK("https://www.codechef.com/problems/VISA06", "https://www.codechef.com/problems/VISA06")</f>
        <v/>
      </c>
      <c r="K177" s="4" t="inlineStr"/>
      <c r="L177" s="4" t="inlineStr"/>
      <c r="M177" s="4" t="inlineStr"/>
      <c r="N177" s="4" t="inlineStr">
        <is>
          <t>No</t>
        </is>
      </c>
      <c r="O177" s="4" t="inlineStr">
        <is>
          <t>Unattempted</t>
        </is>
      </c>
    </row>
    <row r="178">
      <c r="A178" s="2" t="inlineStr">
        <is>
          <t>Company Based Questions</t>
        </is>
      </c>
      <c r="B178" s="2" t="inlineStr">
        <is>
          <t>Visa Interview Questions</t>
        </is>
      </c>
      <c r="C178" s="2" t="inlineStr">
        <is>
          <t>Prepare for your Visae online assessment and Interview with most commonly asked coding questions.</t>
        </is>
      </c>
      <c r="D178" s="2" t="inlineStr">
        <is>
          <t>Visa Coding Questions - Visa Coding Questions</t>
        </is>
      </c>
      <c r="E178" s="2" t="n">
        <v>9</v>
      </c>
      <c r="F178" s="2" t="inlineStr">
        <is>
          <t>Minimum Coins</t>
        </is>
      </c>
      <c r="G178" s="2" t="inlineStr">
        <is>
          <t>VISA09</t>
        </is>
      </c>
      <c r="H178" s="2" t="inlineStr"/>
      <c r="I178" s="2" t="inlineStr">
        <is>
          <t>Medium</t>
        </is>
      </c>
      <c r="J178" s="3">
        <f>HYPERLINK("https://www.codechef.com/problems/VISA09", "https://www.codechef.com/problems/VISA09")</f>
        <v/>
      </c>
      <c r="K178" s="2" t="inlineStr"/>
      <c r="L178" s="2" t="inlineStr"/>
      <c r="M178" s="2" t="inlineStr"/>
      <c r="N178" s="2" t="inlineStr">
        <is>
          <t>No</t>
        </is>
      </c>
      <c r="O178" s="2" t="inlineStr">
        <is>
          <t>Unattempted</t>
        </is>
      </c>
    </row>
    <row r="179">
      <c r="A179" s="4" t="inlineStr">
        <is>
          <t>Company Based Questions</t>
        </is>
      </c>
      <c r="B179" s="4" t="inlineStr">
        <is>
          <t>Visa Interview Questions</t>
        </is>
      </c>
      <c r="C179" s="4" t="inlineStr">
        <is>
          <t>Prepare for your Visae online assessment and Interview with most commonly asked coding questions.</t>
        </is>
      </c>
      <c r="D179" s="4" t="inlineStr">
        <is>
          <t>Visa Coding Questions - Visa Coding Questions</t>
        </is>
      </c>
      <c r="E179" s="4" t="n">
        <v>10</v>
      </c>
      <c r="F179" s="4" t="inlineStr">
        <is>
          <t>Sum of Consecutive Numbers</t>
        </is>
      </c>
      <c r="G179" s="4" t="inlineStr">
        <is>
          <t>VISA10</t>
        </is>
      </c>
      <c r="H179" s="4" t="inlineStr"/>
      <c r="I179" s="4" t="inlineStr">
        <is>
          <t>Medium</t>
        </is>
      </c>
      <c r="J179" s="5">
        <f>HYPERLINK("https://www.codechef.com/problems/VISA10", "https://www.codechef.com/problems/VISA10")</f>
        <v/>
      </c>
      <c r="K179" s="4" t="inlineStr"/>
      <c r="L179" s="4" t="inlineStr"/>
      <c r="M179" s="4" t="inlineStr"/>
      <c r="N179" s="4" t="inlineStr">
        <is>
          <t>No</t>
        </is>
      </c>
      <c r="O179" s="4" t="inlineStr">
        <is>
          <t>Unattempted</t>
        </is>
      </c>
    </row>
    <row r="180">
      <c r="A180" s="2" t="inlineStr">
        <is>
          <t>Company Based Questions</t>
        </is>
      </c>
      <c r="B180" s="2" t="inlineStr">
        <is>
          <t>PhonePe Interview Questions</t>
        </is>
      </c>
      <c r="C180" s="2" t="inlineStr">
        <is>
          <t>Prepare for your PhonePe online assessment and Interview with most commonly asked coding questions.</t>
        </is>
      </c>
      <c r="D180" s="2" t="inlineStr">
        <is>
          <t>PhonePe Coding Questions - PhonePe Coding Questions</t>
        </is>
      </c>
      <c r="E180" s="2" t="n">
        <v>1</v>
      </c>
      <c r="F180" s="2" t="inlineStr">
        <is>
          <t>Form a Triangle</t>
        </is>
      </c>
      <c r="G180" s="2" t="inlineStr">
        <is>
          <t>PHONEPE01</t>
        </is>
      </c>
      <c r="H180" s="2" t="inlineStr"/>
      <c r="I180" s="2" t="inlineStr">
        <is>
          <t>Medium</t>
        </is>
      </c>
      <c r="J180" s="3">
        <f>HYPERLINK("https://www.codechef.com/problems/PHONEPE01", "https://www.codechef.com/problems/PHONEPE01")</f>
        <v/>
      </c>
      <c r="K180" s="2" t="inlineStr"/>
      <c r="L180" s="2" t="inlineStr"/>
      <c r="M180" s="2" t="inlineStr"/>
      <c r="N180" s="2" t="inlineStr">
        <is>
          <t>No</t>
        </is>
      </c>
      <c r="O180" s="2" t="inlineStr">
        <is>
          <t>Unattempted</t>
        </is>
      </c>
    </row>
    <row r="181">
      <c r="A181" s="4" t="inlineStr">
        <is>
          <t>Company Based Questions</t>
        </is>
      </c>
      <c r="B181" s="4" t="inlineStr">
        <is>
          <t>PhonePe Interview Questions</t>
        </is>
      </c>
      <c r="C181" s="4" t="inlineStr">
        <is>
          <t>Prepare for your PhonePe online assessment and Interview with most commonly asked coding questions.</t>
        </is>
      </c>
      <c r="D181" s="4" t="inlineStr">
        <is>
          <t>PhonePe Coding Questions - PhonePe Coding Questions</t>
        </is>
      </c>
      <c r="E181" s="4" t="n">
        <v>2</v>
      </c>
      <c r="F181" s="4" t="inlineStr">
        <is>
          <t>Unlock the Briefcase</t>
        </is>
      </c>
      <c r="G181" s="4" t="inlineStr">
        <is>
          <t>PHONEPE03</t>
        </is>
      </c>
      <c r="H181" s="4" t="inlineStr"/>
      <c r="I181" s="4" t="inlineStr">
        <is>
          <t>Hard</t>
        </is>
      </c>
      <c r="J181" s="5">
        <f>HYPERLINK("https://www.codechef.com/problems/PHONEPE03", "https://www.codechef.com/problems/PHONEPE03")</f>
        <v/>
      </c>
      <c r="K181" s="4" t="inlineStr"/>
      <c r="L181" s="4" t="inlineStr"/>
      <c r="M181" s="4" t="inlineStr"/>
      <c r="N181" s="4" t="inlineStr">
        <is>
          <t>No</t>
        </is>
      </c>
      <c r="O181" s="4" t="inlineStr">
        <is>
          <t>Unattempted</t>
        </is>
      </c>
    </row>
    <row r="182">
      <c r="A182" s="2" t="inlineStr">
        <is>
          <t>Company Based Questions</t>
        </is>
      </c>
      <c r="B182" s="2" t="inlineStr">
        <is>
          <t>PhonePe Interview Questions</t>
        </is>
      </c>
      <c r="C182" s="2" t="inlineStr">
        <is>
          <t>Prepare for your PhonePe online assessment and Interview with most commonly asked coding questions.</t>
        </is>
      </c>
      <c r="D182" s="2" t="inlineStr">
        <is>
          <t>PhonePe Coding Questions - PhonePe Coding Questions</t>
        </is>
      </c>
      <c r="E182" s="2" t="n">
        <v>3</v>
      </c>
      <c r="F182" s="2" t="inlineStr">
        <is>
          <t>Longest Increasing Subsequence</t>
        </is>
      </c>
      <c r="G182" s="2" t="inlineStr">
        <is>
          <t>PHONEPE05</t>
        </is>
      </c>
      <c r="H182" s="2" t="inlineStr"/>
      <c r="I182" s="2" t="inlineStr">
        <is>
          <t>Hard</t>
        </is>
      </c>
      <c r="J182" s="3">
        <f>HYPERLINK("https://www.codechef.com/problems/PHONEPE05", "https://www.codechef.com/problems/PHONEPE05")</f>
        <v/>
      </c>
      <c r="K182" s="2" t="inlineStr"/>
      <c r="L182" s="2" t="inlineStr"/>
      <c r="M182" s="2" t="inlineStr"/>
      <c r="N182" s="2" t="inlineStr">
        <is>
          <t>No</t>
        </is>
      </c>
      <c r="O182" s="2" t="inlineStr">
        <is>
          <t>Unattempted</t>
        </is>
      </c>
    </row>
    <row r="183">
      <c r="A183" s="4" t="inlineStr">
        <is>
          <t>Company Based Questions</t>
        </is>
      </c>
      <c r="B183" s="4" t="inlineStr">
        <is>
          <t>PhonePe Interview Questions</t>
        </is>
      </c>
      <c r="C183" s="4" t="inlineStr">
        <is>
          <t>Prepare for your PhonePe online assessment and Interview with most commonly asked coding questions.</t>
        </is>
      </c>
      <c r="D183" s="4" t="inlineStr">
        <is>
          <t>PhonePe Coding Questions - PhonePe Coding Questions</t>
        </is>
      </c>
      <c r="E183" s="4" t="n">
        <v>4</v>
      </c>
      <c r="F183" s="4" t="inlineStr">
        <is>
          <t>Search in Rotated Sorted Array</t>
        </is>
      </c>
      <c r="G183" s="4" t="inlineStr">
        <is>
          <t>PHONEPE06</t>
        </is>
      </c>
      <c r="H183" s="4" t="inlineStr"/>
      <c r="I183" s="4" t="inlineStr">
        <is>
          <t>Hard</t>
        </is>
      </c>
      <c r="J183" s="5">
        <f>HYPERLINK("https://www.codechef.com/problems/PHONEPE06", "https://www.codechef.com/problems/PHONEPE06")</f>
        <v/>
      </c>
      <c r="K183" s="4" t="inlineStr"/>
      <c r="L183" s="4" t="inlineStr"/>
      <c r="M183" s="4" t="inlineStr"/>
      <c r="N183" s="4" t="inlineStr">
        <is>
          <t>No</t>
        </is>
      </c>
      <c r="O183" s="4" t="inlineStr">
        <is>
          <t>Unattempted</t>
        </is>
      </c>
    </row>
    <row r="184">
      <c r="A184" s="2" t="inlineStr">
        <is>
          <t>Company Based Questions</t>
        </is>
      </c>
      <c r="B184" s="2" t="inlineStr">
        <is>
          <t>PhonePe Interview Questions</t>
        </is>
      </c>
      <c r="C184" s="2" t="inlineStr">
        <is>
          <t>Prepare for your PhonePe online assessment and Interview with most commonly asked coding questions.</t>
        </is>
      </c>
      <c r="D184" s="2" t="inlineStr">
        <is>
          <t>PhonePe Coding Questions - PhonePe Coding Questions</t>
        </is>
      </c>
      <c r="E184" s="2" t="n">
        <v>5</v>
      </c>
      <c r="F184" s="2" t="inlineStr">
        <is>
          <t>Knight Journey Probability</t>
        </is>
      </c>
      <c r="G184" s="2" t="inlineStr">
        <is>
          <t>PHONEPE07</t>
        </is>
      </c>
      <c r="H184" s="2" t="inlineStr"/>
      <c r="I184" s="2" t="inlineStr">
        <is>
          <t>Hard</t>
        </is>
      </c>
      <c r="J184" s="3">
        <f>HYPERLINK("https://www.codechef.com/problems/PHONEPE07", "https://www.codechef.com/problems/PHONEPE07")</f>
        <v/>
      </c>
      <c r="K184" s="2" t="inlineStr"/>
      <c r="L184" s="2" t="inlineStr"/>
      <c r="M184" s="2" t="inlineStr"/>
      <c r="N184" s="2" t="inlineStr">
        <is>
          <t>No</t>
        </is>
      </c>
      <c r="O184" s="2" t="inlineStr">
        <is>
          <t>Unattempted</t>
        </is>
      </c>
    </row>
    <row r="185">
      <c r="A185" s="4" t="inlineStr">
        <is>
          <t>Company Based Questions</t>
        </is>
      </c>
      <c r="B185" s="4" t="inlineStr">
        <is>
          <t>PhonePe Interview Questions</t>
        </is>
      </c>
      <c r="C185" s="4" t="inlineStr">
        <is>
          <t>Prepare for your PhonePe online assessment and Interview with most commonly asked coding questions.</t>
        </is>
      </c>
      <c r="D185" s="4" t="inlineStr">
        <is>
          <t>PhonePe Coding Questions - PhonePe Coding Questions</t>
        </is>
      </c>
      <c r="E185" s="4" t="n">
        <v>6</v>
      </c>
      <c r="F185" s="4" t="inlineStr">
        <is>
          <t>Snake and Ladder Journey</t>
        </is>
      </c>
      <c r="G185" s="4" t="inlineStr">
        <is>
          <t>PHONEPE08</t>
        </is>
      </c>
      <c r="H185" s="4" t="inlineStr"/>
      <c r="I185" s="4" t="inlineStr">
        <is>
          <t>Hard</t>
        </is>
      </c>
      <c r="J185" s="5">
        <f>HYPERLINK("https://www.codechef.com/problems/PHONEPE08", "https://www.codechef.com/problems/PHONEPE08")</f>
        <v/>
      </c>
      <c r="K185" s="4" t="inlineStr"/>
      <c r="L185" s="4" t="inlineStr"/>
      <c r="M185" s="4" t="inlineStr"/>
      <c r="N185" s="4" t="inlineStr">
        <is>
          <t>No</t>
        </is>
      </c>
      <c r="O185" s="4" t="inlineStr">
        <is>
          <t>Unattempted</t>
        </is>
      </c>
    </row>
    <row r="186">
      <c r="A186" s="2" t="inlineStr">
        <is>
          <t>Company Based Questions</t>
        </is>
      </c>
      <c r="B186" s="2" t="inlineStr">
        <is>
          <t>PhonePe Interview Questions</t>
        </is>
      </c>
      <c r="C186" s="2" t="inlineStr">
        <is>
          <t>Prepare for your PhonePe online assessment and Interview with most commonly asked coding questions.</t>
        </is>
      </c>
      <c r="D186" s="2" t="inlineStr">
        <is>
          <t>PhonePe Coding Questions - PhonePe Coding Questions</t>
        </is>
      </c>
      <c r="E186" s="2" t="n">
        <v>7</v>
      </c>
      <c r="F186" s="2" t="inlineStr">
        <is>
          <t>Weighted Job Scheduling</t>
        </is>
      </c>
      <c r="G186" s="2" t="inlineStr">
        <is>
          <t>PHONEPE02</t>
        </is>
      </c>
      <c r="H186" s="2" t="inlineStr"/>
      <c r="I186" s="2" t="inlineStr">
        <is>
          <t>Hard</t>
        </is>
      </c>
      <c r="J186" s="3">
        <f>HYPERLINK("https://www.codechef.com/problems/PHONEPE02", "https://www.codechef.com/problems/PHONEPE02")</f>
        <v/>
      </c>
      <c r="K186" s="2" t="inlineStr"/>
      <c r="L186" s="2" t="inlineStr"/>
      <c r="M186" s="2" t="inlineStr"/>
      <c r="N186" s="2" t="inlineStr">
        <is>
          <t>No</t>
        </is>
      </c>
      <c r="O186" s="2" t="inlineStr">
        <is>
          <t>Unattempted</t>
        </is>
      </c>
    </row>
    <row r="187">
      <c r="A187" s="4" t="inlineStr">
        <is>
          <t>Company Based Questions</t>
        </is>
      </c>
      <c r="B187" s="4" t="inlineStr">
        <is>
          <t>PhonePe Interview Questions</t>
        </is>
      </c>
      <c r="C187" s="4" t="inlineStr">
        <is>
          <t>Prepare for your PhonePe online assessment and Interview with most commonly asked coding questions.</t>
        </is>
      </c>
      <c r="D187" s="4" t="inlineStr">
        <is>
          <t>PhonePe Coding Questions - PhonePe Coding Questions</t>
        </is>
      </c>
      <c r="E187" s="4" t="n">
        <v>8</v>
      </c>
      <c r="F187" s="4" t="inlineStr">
        <is>
          <t>Maximum Profit Trading</t>
        </is>
      </c>
      <c r="G187" s="4" t="inlineStr">
        <is>
          <t>PHONEPE04</t>
        </is>
      </c>
      <c r="H187" s="4" t="inlineStr"/>
      <c r="I187" s="4" t="inlineStr">
        <is>
          <t>Hard</t>
        </is>
      </c>
      <c r="J187" s="5">
        <f>HYPERLINK("https://www.codechef.com/problems/PHONEPE04", "https://www.codechef.com/problems/PHONEPE04")</f>
        <v/>
      </c>
      <c r="K187" s="4" t="inlineStr"/>
      <c r="L187" s="4" t="inlineStr"/>
      <c r="M187" s="4" t="inlineStr"/>
      <c r="N187" s="4" t="inlineStr">
        <is>
          <t>No</t>
        </is>
      </c>
      <c r="O187" s="4" t="inlineStr">
        <is>
          <t>Unattempted</t>
        </is>
      </c>
    </row>
    <row r="188">
      <c r="A188" s="2" t="inlineStr">
        <is>
          <t>Company Based Questions</t>
        </is>
      </c>
      <c r="B188" s="2" t="inlineStr">
        <is>
          <t>Accolite Coding Interview Questions</t>
        </is>
      </c>
      <c r="C188" s="2" t="inlineStr">
        <is>
          <t>Prepare for your Accolite Digital online assessment and Interview with most commonly asked coding questions.</t>
        </is>
      </c>
      <c r="D188" s="2" t="inlineStr">
        <is>
          <t>Accolite Coding Questions - Accolite Coding Questions</t>
        </is>
      </c>
      <c r="E188" s="2" t="n">
        <v>1</v>
      </c>
      <c r="F188" s="2" t="inlineStr">
        <is>
          <t>Anagram Palindrome</t>
        </is>
      </c>
      <c r="G188" s="2" t="inlineStr">
        <is>
          <t>ACCOLITE01</t>
        </is>
      </c>
      <c r="H188" s="2" t="inlineStr"/>
      <c r="I188" s="2" t="inlineStr">
        <is>
          <t>Easy</t>
        </is>
      </c>
      <c r="J188" s="3">
        <f>HYPERLINK("https://www.codechef.com/problems/ACCOLITE01", "https://www.codechef.com/problems/ACCOLITE01")</f>
        <v/>
      </c>
      <c r="K188" s="2" t="inlineStr"/>
      <c r="L188" s="2" t="inlineStr"/>
      <c r="M188" s="2" t="inlineStr"/>
      <c r="N188" s="2" t="inlineStr">
        <is>
          <t>No</t>
        </is>
      </c>
      <c r="O188" s="2" t="inlineStr">
        <is>
          <t>Unattempted</t>
        </is>
      </c>
    </row>
    <row r="189">
      <c r="A189" s="4" t="inlineStr">
        <is>
          <t>Company Based Questions</t>
        </is>
      </c>
      <c r="B189" s="4" t="inlineStr">
        <is>
          <t>Accolite Coding Interview Questions</t>
        </is>
      </c>
      <c r="C189" s="4" t="inlineStr">
        <is>
          <t>Prepare for your Accolite Digital online assessment and Interview with most commonly asked coding questions.</t>
        </is>
      </c>
      <c r="D189" s="4" t="inlineStr">
        <is>
          <t>Accolite Coding Questions - Accolite Coding Questions</t>
        </is>
      </c>
      <c r="E189" s="4" t="n">
        <v>2</v>
      </c>
      <c r="F189" s="4" t="inlineStr">
        <is>
          <t>Nth Faithful Number</t>
        </is>
      </c>
      <c r="G189" s="4" t="inlineStr">
        <is>
          <t>ACCOLITE09</t>
        </is>
      </c>
      <c r="H189" s="4" t="inlineStr"/>
      <c r="I189" s="4" t="inlineStr">
        <is>
          <t>Medium</t>
        </is>
      </c>
      <c r="J189" s="5">
        <f>HYPERLINK("https://www.codechef.com/problems/ACCOLITE09", "https://www.codechef.com/problems/ACCOLITE09")</f>
        <v/>
      </c>
      <c r="K189" s="4" t="inlineStr"/>
      <c r="L189" s="4" t="inlineStr"/>
      <c r="M189" s="4" t="inlineStr"/>
      <c r="N189" s="4" t="inlineStr">
        <is>
          <t>No</t>
        </is>
      </c>
      <c r="O189" s="4" t="inlineStr">
        <is>
          <t>Unattempted</t>
        </is>
      </c>
    </row>
    <row r="190">
      <c r="A190" s="2" t="inlineStr">
        <is>
          <t>Company Based Questions</t>
        </is>
      </c>
      <c r="B190" s="2" t="inlineStr">
        <is>
          <t>Accolite Coding Interview Questions</t>
        </is>
      </c>
      <c r="C190" s="2" t="inlineStr">
        <is>
          <t>Prepare for your Accolite Digital online assessment and Interview with most commonly asked coding questions.</t>
        </is>
      </c>
      <c r="D190" s="2" t="inlineStr">
        <is>
          <t>Accolite Coding Questions - Accolite Coding Questions</t>
        </is>
      </c>
      <c r="E190" s="2" t="n">
        <v>3</v>
      </c>
      <c r="F190" s="2" t="inlineStr">
        <is>
          <t>Detect Loop in Linked List</t>
        </is>
      </c>
      <c r="G190" s="2" t="inlineStr">
        <is>
          <t>ACCOLITE02</t>
        </is>
      </c>
      <c r="H190" s="2" t="inlineStr"/>
      <c r="I190" s="2" t="inlineStr">
        <is>
          <t>Medium</t>
        </is>
      </c>
      <c r="J190" s="3">
        <f>HYPERLINK("https://www.codechef.com/problems/ACCOLITE02", "https://www.codechef.com/problems/ACCOLITE02")</f>
        <v/>
      </c>
      <c r="K190" s="2" t="inlineStr"/>
      <c r="L190" s="2" t="inlineStr"/>
      <c r="M190" s="2" t="inlineStr"/>
      <c r="N190" s="2" t="inlineStr">
        <is>
          <t>No</t>
        </is>
      </c>
      <c r="O190" s="2" t="inlineStr">
        <is>
          <t>Unattempted</t>
        </is>
      </c>
    </row>
    <row r="191">
      <c r="A191" s="4" t="inlineStr">
        <is>
          <t>Company Based Questions</t>
        </is>
      </c>
      <c r="B191" s="4" t="inlineStr">
        <is>
          <t>Accolite Coding Interview Questions</t>
        </is>
      </c>
      <c r="C191" s="4" t="inlineStr">
        <is>
          <t>Prepare for your Accolite Digital online assessment and Interview with most commonly asked coding questions.</t>
        </is>
      </c>
      <c r="D191" s="4" t="inlineStr">
        <is>
          <t>Accolite Coding Questions - Accolite Coding Questions</t>
        </is>
      </c>
      <c r="E191" s="4" t="n">
        <v>4</v>
      </c>
      <c r="F191" s="4" t="inlineStr">
        <is>
          <t>Lowest Common Ancestor in Binary Tree</t>
        </is>
      </c>
      <c r="G191" s="4" t="inlineStr">
        <is>
          <t>ACCOLITE03</t>
        </is>
      </c>
      <c r="H191" s="4" t="inlineStr"/>
      <c r="I191" s="4" t="inlineStr">
        <is>
          <t>Hard</t>
        </is>
      </c>
      <c r="J191" s="5">
        <f>HYPERLINK("https://www.codechef.com/problems/ACCOLITE03", "https://www.codechef.com/problems/ACCOLITE03")</f>
        <v/>
      </c>
      <c r="K191" s="4" t="inlineStr"/>
      <c r="L191" s="4" t="inlineStr"/>
      <c r="M191" s="4" t="inlineStr"/>
      <c r="N191" s="4" t="inlineStr">
        <is>
          <t>No</t>
        </is>
      </c>
      <c r="O191" s="4" t="inlineStr">
        <is>
          <t>Unattempted</t>
        </is>
      </c>
    </row>
    <row r="192">
      <c r="A192" s="2" t="inlineStr">
        <is>
          <t>Company Based Questions</t>
        </is>
      </c>
      <c r="B192" s="2" t="inlineStr">
        <is>
          <t>Accolite Coding Interview Questions</t>
        </is>
      </c>
      <c r="C192" s="2" t="inlineStr">
        <is>
          <t>Prepare for your Accolite Digital online assessment and Interview with most commonly asked coding questions.</t>
        </is>
      </c>
      <c r="D192" s="2" t="inlineStr">
        <is>
          <t>Accolite Coding Questions - Accolite Coding Questions</t>
        </is>
      </c>
      <c r="E192" s="2" t="n">
        <v>5</v>
      </c>
      <c r="F192" s="2" t="inlineStr">
        <is>
          <t>Top K Frequent Numbers After Each Element</t>
        </is>
      </c>
      <c r="G192" s="2" t="inlineStr">
        <is>
          <t>ACCOLITE04</t>
        </is>
      </c>
      <c r="H192" s="2" t="inlineStr"/>
      <c r="I192" s="2" t="inlineStr">
        <is>
          <t>Hard</t>
        </is>
      </c>
      <c r="J192" s="3">
        <f>HYPERLINK("https://www.codechef.com/problems/ACCOLITE04", "https://www.codechef.com/problems/ACCOLITE04")</f>
        <v/>
      </c>
      <c r="K192" s="2" t="inlineStr"/>
      <c r="L192" s="2" t="inlineStr"/>
      <c r="M192" s="2" t="inlineStr"/>
      <c r="N192" s="2" t="inlineStr">
        <is>
          <t>No</t>
        </is>
      </c>
      <c r="O192" s="2" t="inlineStr">
        <is>
          <t>Unattempted</t>
        </is>
      </c>
    </row>
    <row r="193">
      <c r="A193" s="4" t="inlineStr">
        <is>
          <t>Company Based Questions</t>
        </is>
      </c>
      <c r="B193" s="4" t="inlineStr">
        <is>
          <t>Accolite Coding Interview Questions</t>
        </is>
      </c>
      <c r="C193" s="4" t="inlineStr">
        <is>
          <t>Prepare for your Accolite Digital online assessment and Interview with most commonly asked coding questions.</t>
        </is>
      </c>
      <c r="D193" s="4" t="inlineStr">
        <is>
          <t>Accolite Coding Questions - Accolite Coding Questions</t>
        </is>
      </c>
      <c r="E193" s="4" t="n">
        <v>6</v>
      </c>
      <c r="F193" s="4" t="inlineStr">
        <is>
          <t>Stock Span Problem</t>
        </is>
      </c>
      <c r="G193" s="4" t="inlineStr">
        <is>
          <t>ACCOLITE05</t>
        </is>
      </c>
      <c r="H193" s="4" t="inlineStr"/>
      <c r="I193" s="4" t="inlineStr">
        <is>
          <t>Medium</t>
        </is>
      </c>
      <c r="J193" s="5">
        <f>HYPERLINK("https://www.codechef.com/problems/ACCOLITE05", "https://www.codechef.com/problems/ACCOLITE05")</f>
        <v/>
      </c>
      <c r="K193" s="4" t="inlineStr"/>
      <c r="L193" s="4" t="inlineStr"/>
      <c r="M193" s="4" t="inlineStr"/>
      <c r="N193" s="4" t="inlineStr">
        <is>
          <t>No</t>
        </is>
      </c>
      <c r="O193" s="4" t="inlineStr">
        <is>
          <t>Unattempted</t>
        </is>
      </c>
    </row>
    <row r="194">
      <c r="A194" s="2" t="inlineStr">
        <is>
          <t>Company Based Questions</t>
        </is>
      </c>
      <c r="B194" s="2" t="inlineStr">
        <is>
          <t>Accolite Coding Interview Questions</t>
        </is>
      </c>
      <c r="C194" s="2" t="inlineStr">
        <is>
          <t>Prepare for your Accolite Digital online assessment and Interview with most commonly asked coding questions.</t>
        </is>
      </c>
      <c r="D194" s="2" t="inlineStr">
        <is>
          <t>Accolite Coding Questions - Accolite Coding Questions</t>
        </is>
      </c>
      <c r="E194" s="2" t="n">
        <v>7</v>
      </c>
      <c r="F194" s="2" t="inlineStr">
        <is>
          <t>Equal Sum Partition</t>
        </is>
      </c>
      <c r="G194" s="2" t="inlineStr">
        <is>
          <t>ACCOLITE06</t>
        </is>
      </c>
      <c r="H194" s="2" t="inlineStr"/>
      <c r="I194" s="2" t="inlineStr">
        <is>
          <t>Medium</t>
        </is>
      </c>
      <c r="J194" s="3">
        <f>HYPERLINK("https://www.codechef.com/problems/ACCOLITE06", "https://www.codechef.com/problems/ACCOLITE06")</f>
        <v/>
      </c>
      <c r="K194" s="2" t="inlineStr"/>
      <c r="L194" s="2" t="inlineStr"/>
      <c r="M194" s="2" t="inlineStr"/>
      <c r="N194" s="2" t="inlineStr">
        <is>
          <t>No</t>
        </is>
      </c>
      <c r="O194" s="2" t="inlineStr">
        <is>
          <t>Unattempted</t>
        </is>
      </c>
    </row>
    <row r="195">
      <c r="A195" s="4" t="inlineStr">
        <is>
          <t>Company Based Questions</t>
        </is>
      </c>
      <c r="B195" s="4" t="inlineStr">
        <is>
          <t>Accolite Coding Interview Questions</t>
        </is>
      </c>
      <c r="C195" s="4" t="inlineStr">
        <is>
          <t>Prepare for your Accolite Digital online assessment and Interview with most commonly asked coding questions.</t>
        </is>
      </c>
      <c r="D195" s="4" t="inlineStr">
        <is>
          <t>Accolite Coding Questions - Accolite Coding Questions</t>
        </is>
      </c>
      <c r="E195" s="4" t="n">
        <v>8</v>
      </c>
      <c r="F195" s="4" t="inlineStr">
        <is>
          <t>All Unique String Permutations</t>
        </is>
      </c>
      <c r="G195" s="4" t="inlineStr">
        <is>
          <t>ACCOLITE07</t>
        </is>
      </c>
      <c r="H195" s="4" t="inlineStr"/>
      <c r="I195" s="4" t="inlineStr">
        <is>
          <t>Medium</t>
        </is>
      </c>
      <c r="J195" s="5">
        <f>HYPERLINK("https://www.codechef.com/problems/ACCOLITE07", "https://www.codechef.com/problems/ACCOLITE07")</f>
        <v/>
      </c>
      <c r="K195" s="4" t="inlineStr"/>
      <c r="L195" s="4" t="inlineStr"/>
      <c r="M195" s="4" t="inlineStr"/>
      <c r="N195" s="4" t="inlineStr">
        <is>
          <t>No</t>
        </is>
      </c>
      <c r="O195" s="4" t="inlineStr">
        <is>
          <t>Unattempted</t>
        </is>
      </c>
    </row>
    <row r="196">
      <c r="A196" s="2" t="inlineStr">
        <is>
          <t>Company Based Questions</t>
        </is>
      </c>
      <c r="B196" s="2" t="inlineStr">
        <is>
          <t>Accolite Coding Interview Questions</t>
        </is>
      </c>
      <c r="C196" s="2" t="inlineStr">
        <is>
          <t>Prepare for your Accolite Digital online assessment and Interview with most commonly asked coding questions.</t>
        </is>
      </c>
      <c r="D196" s="2" t="inlineStr">
        <is>
          <t>Accolite Coding Questions - Accolite Coding Questions</t>
        </is>
      </c>
      <c r="E196" s="2" t="n">
        <v>9</v>
      </c>
      <c r="F196" s="2" t="inlineStr">
        <is>
          <t>Count Matching Subsequences</t>
        </is>
      </c>
      <c r="G196" s="2" t="inlineStr">
        <is>
          <t>ACCOLITE08</t>
        </is>
      </c>
      <c r="H196" s="2" t="inlineStr"/>
      <c r="I196" s="2" t="inlineStr">
        <is>
          <t>Hard</t>
        </is>
      </c>
      <c r="J196" s="3">
        <f>HYPERLINK("https://www.codechef.com/problems/ACCOLITE08", "https://www.codechef.com/problems/ACCOLITE08")</f>
        <v/>
      </c>
      <c r="K196" s="2" t="inlineStr"/>
      <c r="L196" s="2" t="inlineStr"/>
      <c r="M196" s="2" t="inlineStr"/>
      <c r="N196" s="2" t="inlineStr">
        <is>
          <t>No</t>
        </is>
      </c>
      <c r="O196" s="2" t="inlineStr">
        <is>
          <t>Unattempted</t>
        </is>
      </c>
    </row>
    <row r="197">
      <c r="A197" s="4" t="inlineStr">
        <is>
          <t>Company Based Questions</t>
        </is>
      </c>
      <c r="B197" s="4" t="inlineStr">
        <is>
          <t>Texas Instruments Coding Interview Questions</t>
        </is>
      </c>
      <c r="C197" s="4" t="inlineStr">
        <is>
          <t>Prepare for your Texas Instruments online assessment and Interview with most commonly asked coding questions.</t>
        </is>
      </c>
      <c r="D197" s="4" t="inlineStr">
        <is>
          <t>Texas Instruments Coding Questions - Texas Instruments Coding Questions</t>
        </is>
      </c>
      <c r="E197" s="4" t="n">
        <v>1</v>
      </c>
      <c r="F197" s="4" t="inlineStr">
        <is>
          <t>Josephus Problem</t>
        </is>
      </c>
      <c r="G197" s="4" t="inlineStr">
        <is>
          <t>TXSINST02</t>
        </is>
      </c>
      <c r="H197" s="4" t="inlineStr"/>
      <c r="I197" s="4" t="inlineStr">
        <is>
          <t>Hard</t>
        </is>
      </c>
      <c r="J197" s="5">
        <f>HYPERLINK("https://www.codechef.com/problems/TXSINST02", "https://www.codechef.com/problems/TXSINST02")</f>
        <v/>
      </c>
      <c r="K197" s="4" t="inlineStr"/>
      <c r="L197" s="4" t="inlineStr"/>
      <c r="M197" s="4" t="inlineStr"/>
      <c r="N197" s="4" t="inlineStr">
        <is>
          <t>No</t>
        </is>
      </c>
      <c r="O197" s="4" t="inlineStr">
        <is>
          <t>Unattempted</t>
        </is>
      </c>
    </row>
    <row r="198">
      <c r="A198" s="2" t="inlineStr">
        <is>
          <t>Company Based Questions</t>
        </is>
      </c>
      <c r="B198" s="2" t="inlineStr">
        <is>
          <t>Texas Instruments Coding Interview Questions</t>
        </is>
      </c>
      <c r="C198" s="2" t="inlineStr">
        <is>
          <t>Prepare for your Texas Instruments online assessment and Interview with most commonly asked coding questions.</t>
        </is>
      </c>
      <c r="D198" s="2" t="inlineStr">
        <is>
          <t>Texas Instruments Coding Questions - Texas Instruments Coding Questions</t>
        </is>
      </c>
      <c r="E198" s="2" t="n">
        <v>2</v>
      </c>
      <c r="F198" s="2" t="inlineStr">
        <is>
          <t>XOR Query Operations</t>
        </is>
      </c>
      <c r="G198" s="2" t="inlineStr">
        <is>
          <t>TXSINST01</t>
        </is>
      </c>
      <c r="H198" s="2" t="inlineStr"/>
      <c r="I198" s="2" t="inlineStr">
        <is>
          <t>Medium</t>
        </is>
      </c>
      <c r="J198" s="3">
        <f>HYPERLINK("https://www.codechef.com/problems/TXSINST01", "https://www.codechef.com/problems/TXSINST01")</f>
        <v/>
      </c>
      <c r="K198" s="2" t="inlineStr"/>
      <c r="L198" s="2" t="inlineStr"/>
      <c r="M198" s="2" t="inlineStr"/>
      <c r="N198" s="2" t="inlineStr">
        <is>
          <t>No</t>
        </is>
      </c>
      <c r="O198" s="2" t="inlineStr">
        <is>
          <t>Unattempted</t>
        </is>
      </c>
    </row>
    <row r="199">
      <c r="A199" s="4" t="inlineStr">
        <is>
          <t>Company Based Questions</t>
        </is>
      </c>
      <c r="B199" s="4" t="inlineStr">
        <is>
          <t>Texas Instruments Coding Interview Questions</t>
        </is>
      </c>
      <c r="C199" s="4" t="inlineStr">
        <is>
          <t>Prepare for your Texas Instruments online assessment and Interview with most commonly asked coding questions.</t>
        </is>
      </c>
      <c r="D199" s="4" t="inlineStr">
        <is>
          <t>Texas Instruments Coding Questions - Texas Instruments Coding Questions</t>
        </is>
      </c>
      <c r="E199" s="4" t="n">
        <v>3</v>
      </c>
      <c r="F199" s="4" t="inlineStr">
        <is>
          <t>Minimum Conference Rooms (Stark Industry)</t>
        </is>
      </c>
      <c r="G199" s="4" t="inlineStr">
        <is>
          <t>TXSINST04</t>
        </is>
      </c>
      <c r="H199" s="4" t="inlineStr"/>
      <c r="I199" s="4" t="inlineStr">
        <is>
          <t>Medium</t>
        </is>
      </c>
      <c r="J199" s="5">
        <f>HYPERLINK("https://www.codechef.com/problems/TXSINST04", "https://www.codechef.com/problems/TXSINST04")</f>
        <v/>
      </c>
      <c r="K199" s="4" t="inlineStr"/>
      <c r="L199" s="4" t="inlineStr"/>
      <c r="M199" s="4" t="inlineStr"/>
      <c r="N199" s="4" t="inlineStr">
        <is>
          <t>No</t>
        </is>
      </c>
      <c r="O199" s="4" t="inlineStr">
        <is>
          <t>Unattempted</t>
        </is>
      </c>
    </row>
    <row r="200">
      <c r="A200" s="2" t="inlineStr">
        <is>
          <t>Company Based Questions</t>
        </is>
      </c>
      <c r="B200" s="2" t="inlineStr">
        <is>
          <t>Texas Instruments Coding Interview Questions</t>
        </is>
      </c>
      <c r="C200" s="2" t="inlineStr">
        <is>
          <t>Prepare for your Texas Instruments online assessment and Interview with most commonly asked coding questions.</t>
        </is>
      </c>
      <c r="D200" s="2" t="inlineStr">
        <is>
          <t>Texas Instruments Coding Questions - Texas Instruments Coding Questions</t>
        </is>
      </c>
      <c r="E200" s="2" t="n">
        <v>4</v>
      </c>
      <c r="F200" s="2" t="inlineStr">
        <is>
          <t>Maximum Sum Rectangle in Matrix</t>
        </is>
      </c>
      <c r="G200" s="2" t="inlineStr">
        <is>
          <t>TXSINST05</t>
        </is>
      </c>
      <c r="H200" s="2" t="inlineStr"/>
      <c r="I200" s="2" t="inlineStr">
        <is>
          <t>Hard</t>
        </is>
      </c>
      <c r="J200" s="3">
        <f>HYPERLINK("https://www.codechef.com/problems/TXSINST05", "https://www.codechef.com/problems/TXSINST05")</f>
        <v/>
      </c>
      <c r="K200" s="2" t="inlineStr"/>
      <c r="L200" s="2" t="inlineStr"/>
      <c r="M200" s="2" t="inlineStr"/>
      <c r="N200" s="2" t="inlineStr">
        <is>
          <t>No</t>
        </is>
      </c>
      <c r="O200" s="2" t="inlineStr">
        <is>
          <t>Unattempted</t>
        </is>
      </c>
    </row>
    <row r="201">
      <c r="A201" s="4" t="inlineStr">
        <is>
          <t>Company Based Questions</t>
        </is>
      </c>
      <c r="B201" s="4" t="inlineStr">
        <is>
          <t>Texas Instruments Coding Interview Questions</t>
        </is>
      </c>
      <c r="C201" s="4" t="inlineStr">
        <is>
          <t>Prepare for your Texas Instruments online assessment and Interview with most commonly asked coding questions.</t>
        </is>
      </c>
      <c r="D201" s="4" t="inlineStr">
        <is>
          <t>Texas Instruments Coding Questions - Texas Instruments Coding Questions</t>
        </is>
      </c>
      <c r="E201" s="4" t="n">
        <v>5</v>
      </c>
      <c r="F201" s="4" t="inlineStr">
        <is>
          <t>Reverse Linked List</t>
        </is>
      </c>
      <c r="G201" s="4" t="inlineStr">
        <is>
          <t>TXSINST06</t>
        </is>
      </c>
      <c r="H201" s="4" t="inlineStr"/>
      <c r="I201" s="4" t="inlineStr">
        <is>
          <t>Medium</t>
        </is>
      </c>
      <c r="J201" s="5">
        <f>HYPERLINK("https://www.codechef.com/problems/TXSINST06", "https://www.codechef.com/problems/TXSINST06")</f>
        <v/>
      </c>
      <c r="K201" s="4" t="inlineStr"/>
      <c r="L201" s="4" t="inlineStr"/>
      <c r="M201" s="4" t="inlineStr"/>
      <c r="N201" s="4" t="inlineStr">
        <is>
          <t>No</t>
        </is>
      </c>
      <c r="O201" s="4" t="inlineStr">
        <is>
          <t>Unattempted</t>
        </is>
      </c>
    </row>
    <row r="202">
      <c r="A202" s="2" t="inlineStr">
        <is>
          <t>Company Based Questions</t>
        </is>
      </c>
      <c r="B202" s="2" t="inlineStr">
        <is>
          <t>Texas Instruments Coding Interview Questions</t>
        </is>
      </c>
      <c r="C202" s="2" t="inlineStr">
        <is>
          <t>Prepare for your Texas Instruments online assessment and Interview with most commonly asked coding questions.</t>
        </is>
      </c>
      <c r="D202" s="2" t="inlineStr">
        <is>
          <t>Texas Instruments Coding Questions - Texas Instruments Coding Questions</t>
        </is>
      </c>
      <c r="E202" s="2" t="n">
        <v>6</v>
      </c>
      <c r="F202" s="2" t="inlineStr">
        <is>
          <t>Reverse Bits for Concert Ticket</t>
        </is>
      </c>
      <c r="G202" s="2" t="inlineStr">
        <is>
          <t>TXSINST07</t>
        </is>
      </c>
      <c r="H202" s="2" t="inlineStr"/>
      <c r="I202" s="2" t="inlineStr">
        <is>
          <t>Medium</t>
        </is>
      </c>
      <c r="J202" s="3">
        <f>HYPERLINK("https://www.codechef.com/problems/TXSINST07", "https://www.codechef.com/problems/TXSINST07")</f>
        <v/>
      </c>
      <c r="K202" s="2" t="inlineStr"/>
      <c r="L202" s="2" t="inlineStr"/>
      <c r="M202" s="2" t="inlineStr"/>
      <c r="N202" s="2" t="inlineStr">
        <is>
          <t>No</t>
        </is>
      </c>
      <c r="O202" s="2" t="inlineStr">
        <is>
          <t>Unattempted</t>
        </is>
      </c>
    </row>
    <row r="203">
      <c r="A203" s="4" t="inlineStr">
        <is>
          <t>Company Based Questions</t>
        </is>
      </c>
      <c r="B203" s="4" t="inlineStr">
        <is>
          <t>Texas Instruments Coding Interview Questions</t>
        </is>
      </c>
      <c r="C203" s="4" t="inlineStr">
        <is>
          <t>Prepare for your Texas Instruments online assessment and Interview with most commonly asked coding questions.</t>
        </is>
      </c>
      <c r="D203" s="4" t="inlineStr">
        <is>
          <t>Texas Instruments Coding Questions - Texas Instruments Coding Questions</t>
        </is>
      </c>
      <c r="E203" s="4" t="n">
        <v>7</v>
      </c>
      <c r="F203" s="4" t="inlineStr">
        <is>
          <t>Largest Rectangle in Histogram</t>
        </is>
      </c>
      <c r="G203" s="4" t="inlineStr">
        <is>
          <t>TXSINST03</t>
        </is>
      </c>
      <c r="H203" s="4" t="inlineStr"/>
      <c r="I203" s="4" t="inlineStr">
        <is>
          <t>Hard</t>
        </is>
      </c>
      <c r="J203" s="5">
        <f>HYPERLINK("https://www.codechef.com/problems/TXSINST03", "https://www.codechef.com/problems/TXSINST03")</f>
        <v/>
      </c>
      <c r="K203" s="4" t="inlineStr"/>
      <c r="L203" s="4" t="inlineStr"/>
      <c r="M203" s="4" t="inlineStr"/>
      <c r="N203" s="4" t="inlineStr">
        <is>
          <t>No</t>
        </is>
      </c>
      <c r="O203" s="4" t="inlineStr">
        <is>
          <t>Unattempted</t>
        </is>
      </c>
    </row>
    <row r="204">
      <c r="A204" s="2" t="inlineStr">
        <is>
          <t>Company Based Questions</t>
        </is>
      </c>
      <c r="B204" s="2" t="inlineStr">
        <is>
          <t>Texas Instruments Coding Interview Questions</t>
        </is>
      </c>
      <c r="C204" s="2" t="inlineStr">
        <is>
          <t>Prepare for your Texas Instruments online assessment and Interview with most commonly asked coding questions.</t>
        </is>
      </c>
      <c r="D204" s="2" t="inlineStr">
        <is>
          <t>Texas Instruments Coding Questions - Texas Instruments Coding Questions</t>
        </is>
      </c>
      <c r="E204" s="2" t="n">
        <v>8</v>
      </c>
      <c r="F204" s="2" t="inlineStr">
        <is>
          <t>N Stacks in Single Array</t>
        </is>
      </c>
      <c r="G204" s="2" t="inlineStr">
        <is>
          <t>TXSINST08</t>
        </is>
      </c>
      <c r="H204" s="2" t="inlineStr"/>
      <c r="I204" s="2" t="inlineStr">
        <is>
          <t>Hard</t>
        </is>
      </c>
      <c r="J204" s="3">
        <f>HYPERLINK("https://www.codechef.com/problems/TXSINST08", "https://www.codechef.com/problems/TXSINST08")</f>
        <v/>
      </c>
      <c r="K204" s="2" t="inlineStr"/>
      <c r="L204" s="2" t="inlineStr"/>
      <c r="M204" s="2" t="inlineStr"/>
      <c r="N204" s="2" t="inlineStr">
        <is>
          <t>No</t>
        </is>
      </c>
      <c r="O204" s="2" t="inlineStr">
        <is>
          <t>Unattempted</t>
        </is>
      </c>
    </row>
    <row r="205">
      <c r="A205" s="4" t="inlineStr">
        <is>
          <t>Company Based Questions</t>
        </is>
      </c>
      <c r="B205" s="4" t="inlineStr">
        <is>
          <t>Glean Coding Interview Questions</t>
        </is>
      </c>
      <c r="C205" s="4" t="inlineStr">
        <is>
          <t>Prepare for your Glean online assessment and Interview with most commonly asked coding questions.</t>
        </is>
      </c>
      <c r="D205" s="4" t="inlineStr">
        <is>
          <t>Glean Coding Questions - Glean Coding Questions</t>
        </is>
      </c>
      <c r="E205" s="4" t="n">
        <v>1</v>
      </c>
      <c r="F205" s="4" t="inlineStr">
        <is>
          <t>Chocolate Division</t>
        </is>
      </c>
      <c r="G205" s="4" t="inlineStr">
        <is>
          <t>GLEAN01</t>
        </is>
      </c>
      <c r="H205" s="4" t="inlineStr"/>
      <c r="I205" s="4" t="inlineStr">
        <is>
          <t>Hard</t>
        </is>
      </c>
      <c r="J205" s="5">
        <f>HYPERLINK("https://www.codechef.com/problems/GLEAN01", "https://www.codechef.com/problems/GLEAN01")</f>
        <v/>
      </c>
      <c r="K205" s="4" t="inlineStr"/>
      <c r="L205" s="4" t="inlineStr"/>
      <c r="M205" s="4" t="inlineStr"/>
      <c r="N205" s="4" t="inlineStr">
        <is>
          <t>No</t>
        </is>
      </c>
      <c r="O205" s="4" t="inlineStr">
        <is>
          <t>Unattempted</t>
        </is>
      </c>
    </row>
    <row r="206">
      <c r="A206" s="2" t="inlineStr">
        <is>
          <t>Company Based Questions</t>
        </is>
      </c>
      <c r="B206" s="2" t="inlineStr">
        <is>
          <t>Glean Coding Interview Questions</t>
        </is>
      </c>
      <c r="C206" s="2" t="inlineStr">
        <is>
          <t>Prepare for your Glean online assessment and Interview with most commonly asked coding questions.</t>
        </is>
      </c>
      <c r="D206" s="2" t="inlineStr">
        <is>
          <t>Glean Coding Questions - Glean Coding Questions</t>
        </is>
      </c>
      <c r="E206" s="2" t="n">
        <v>2</v>
      </c>
      <c r="F206" s="2" t="inlineStr">
        <is>
          <t>Street Housing Arrangement</t>
        </is>
      </c>
      <c r="G206" s="2" t="inlineStr">
        <is>
          <t>GLEAN02</t>
        </is>
      </c>
      <c r="H206" s="2" t="inlineStr"/>
      <c r="I206" s="2" t="inlineStr">
        <is>
          <t>Medium</t>
        </is>
      </c>
      <c r="J206" s="3">
        <f>HYPERLINK("https://www.codechef.com/problems/GLEAN02", "https://www.codechef.com/problems/GLEAN02")</f>
        <v/>
      </c>
      <c r="K206" s="2" t="inlineStr"/>
      <c r="L206" s="2" t="inlineStr"/>
      <c r="M206" s="2" t="inlineStr"/>
      <c r="N206" s="2" t="inlineStr">
        <is>
          <t>No</t>
        </is>
      </c>
      <c r="O206" s="2" t="inlineStr">
        <is>
          <t>Unattempted</t>
        </is>
      </c>
    </row>
    <row r="207">
      <c r="A207" s="4" t="inlineStr">
        <is>
          <t>Company Based Questions</t>
        </is>
      </c>
      <c r="B207" s="4" t="inlineStr">
        <is>
          <t>Glean Coding Interview Questions</t>
        </is>
      </c>
      <c r="C207" s="4" t="inlineStr">
        <is>
          <t>Prepare for your Glean online assessment and Interview with most commonly asked coding questions.</t>
        </is>
      </c>
      <c r="D207" s="4" t="inlineStr">
        <is>
          <t>Glean Coding Questions - Glean Coding Questions</t>
        </is>
      </c>
      <c r="E207" s="4" t="n">
        <v>3</v>
      </c>
      <c r="F207" s="4" t="inlineStr">
        <is>
          <t>Valid Parentheses String</t>
        </is>
      </c>
      <c r="G207" s="4" t="inlineStr">
        <is>
          <t>GLEAN03</t>
        </is>
      </c>
      <c r="H207" s="4" t="inlineStr"/>
      <c r="I207" s="4" t="inlineStr">
        <is>
          <t>Medium</t>
        </is>
      </c>
      <c r="J207" s="5">
        <f>HYPERLINK("https://www.codechef.com/problems/GLEAN03", "https://www.codechef.com/problems/GLEAN03")</f>
        <v/>
      </c>
      <c r="K207" s="4" t="inlineStr"/>
      <c r="L207" s="4" t="inlineStr"/>
      <c r="M207" s="4" t="inlineStr"/>
      <c r="N207" s="4" t="inlineStr">
        <is>
          <t>No</t>
        </is>
      </c>
      <c r="O207" s="4" t="inlineStr">
        <is>
          <t>Unattempted</t>
        </is>
      </c>
    </row>
    <row r="208">
      <c r="A208" s="2" t="inlineStr">
        <is>
          <t>Company Based Questions</t>
        </is>
      </c>
      <c r="B208" s="2" t="inlineStr">
        <is>
          <t>Glean Coding Interview Questions</t>
        </is>
      </c>
      <c r="C208" s="2" t="inlineStr">
        <is>
          <t>Prepare for your Glean online assessment and Interview with most commonly asked coding questions.</t>
        </is>
      </c>
      <c r="D208" s="2" t="inlineStr">
        <is>
          <t>Glean Coding Questions - Glean Coding Questions</t>
        </is>
      </c>
      <c r="E208" s="2" t="n">
        <v>4</v>
      </c>
      <c r="F208" s="2" t="inlineStr">
        <is>
          <t>Fractional Knapsack</t>
        </is>
      </c>
      <c r="G208" s="2" t="inlineStr">
        <is>
          <t>GLEAN04</t>
        </is>
      </c>
      <c r="H208" s="2" t="inlineStr"/>
      <c r="I208" s="2" t="inlineStr">
        <is>
          <t>Medium</t>
        </is>
      </c>
      <c r="J208" s="3">
        <f>HYPERLINK("https://www.codechef.com/problems/GLEAN04", "https://www.codechef.com/problems/GLEAN04")</f>
        <v/>
      </c>
      <c r="K208" s="2" t="inlineStr"/>
      <c r="L208" s="2" t="inlineStr"/>
      <c r="M208" s="2" t="inlineStr"/>
      <c r="N208" s="2" t="inlineStr">
        <is>
          <t>No</t>
        </is>
      </c>
      <c r="O208" s="2" t="inlineStr">
        <is>
          <t>Unattempted</t>
        </is>
      </c>
    </row>
    <row r="209">
      <c r="A209" s="4" t="inlineStr">
        <is>
          <t>Company Based Questions</t>
        </is>
      </c>
      <c r="B209" s="4" t="inlineStr">
        <is>
          <t>Glean Coding Interview Questions</t>
        </is>
      </c>
      <c r="C209" s="4" t="inlineStr">
        <is>
          <t>Prepare for your Glean online assessment and Interview with most commonly asked coding questions.</t>
        </is>
      </c>
      <c r="D209" s="4" t="inlineStr">
        <is>
          <t>Glean Coding Questions - Glean Coding Questions</t>
        </is>
      </c>
      <c r="E209" s="4" t="n">
        <v>5</v>
      </c>
      <c r="F209" s="4" t="inlineStr">
        <is>
          <t>Hamiltonian Path Detection</t>
        </is>
      </c>
      <c r="G209" s="4" t="inlineStr">
        <is>
          <t>GLEAN05</t>
        </is>
      </c>
      <c r="H209" s="4" t="inlineStr"/>
      <c r="I209" s="4" t="inlineStr">
        <is>
          <t>Hard</t>
        </is>
      </c>
      <c r="J209" s="5">
        <f>HYPERLINK("https://www.codechef.com/problems/GLEAN05", "https://www.codechef.com/problems/GLEAN05")</f>
        <v/>
      </c>
      <c r="K209" s="4" t="inlineStr"/>
      <c r="L209" s="4" t="inlineStr"/>
      <c r="M209" s="4" t="inlineStr"/>
      <c r="N209" s="4" t="inlineStr">
        <is>
          <t>No</t>
        </is>
      </c>
      <c r="O209" s="4" t="inlineStr">
        <is>
          <t>Unattempted</t>
        </is>
      </c>
    </row>
    <row r="210">
      <c r="A210" s="2" t="inlineStr">
        <is>
          <t>Company Based Questions</t>
        </is>
      </c>
      <c r="B210" s="2" t="inlineStr">
        <is>
          <t>Glean Coding Interview Questions</t>
        </is>
      </c>
      <c r="C210" s="2" t="inlineStr">
        <is>
          <t>Prepare for your Glean online assessment and Interview with most commonly asked coding questions.</t>
        </is>
      </c>
      <c r="D210" s="2" t="inlineStr">
        <is>
          <t>Glean Coding Questions - Glean Coding Questions</t>
        </is>
      </c>
      <c r="E210" s="2" t="n">
        <v>6</v>
      </c>
      <c r="F210" s="2" t="inlineStr">
        <is>
          <t>Nuts and Bolts Matching</t>
        </is>
      </c>
      <c r="G210" s="2" t="inlineStr">
        <is>
          <t>GLEAN06</t>
        </is>
      </c>
      <c r="H210" s="2" t="inlineStr"/>
      <c r="I210" s="2" t="inlineStr">
        <is>
          <t>Medium</t>
        </is>
      </c>
      <c r="J210" s="3">
        <f>HYPERLINK("https://www.codechef.com/problems/GLEAN06", "https://www.codechef.com/problems/GLEAN06")</f>
        <v/>
      </c>
      <c r="K210" s="2" t="inlineStr"/>
      <c r="L210" s="2" t="inlineStr"/>
      <c r="M210" s="2" t="inlineStr"/>
      <c r="N210" s="2" t="inlineStr">
        <is>
          <t>No</t>
        </is>
      </c>
      <c r="O210" s="2" t="inlineStr">
        <is>
          <t>Unattempted</t>
        </is>
      </c>
    </row>
    <row r="211">
      <c r="A211" s="4" t="inlineStr">
        <is>
          <t>Company Based Questions</t>
        </is>
      </c>
      <c r="B211" s="4" t="inlineStr">
        <is>
          <t>Glean Coding Interview Questions</t>
        </is>
      </c>
      <c r="C211" s="4" t="inlineStr">
        <is>
          <t>Prepare for your Glean online assessment and Interview with most commonly asked coding questions.</t>
        </is>
      </c>
      <c r="D211" s="4" t="inlineStr">
        <is>
          <t>Glean Coding Questions - Glean Coding Questions</t>
        </is>
      </c>
      <c r="E211" s="4" t="n">
        <v>7</v>
      </c>
      <c r="F211" s="4" t="inlineStr">
        <is>
          <t>Count Array Triplets</t>
        </is>
      </c>
      <c r="G211" s="4" t="inlineStr">
        <is>
          <t>GLEAN07</t>
        </is>
      </c>
      <c r="H211" s="4" t="inlineStr"/>
      <c r="I211" s="4" t="inlineStr">
        <is>
          <t>Medium</t>
        </is>
      </c>
      <c r="J211" s="5">
        <f>HYPERLINK("https://www.codechef.com/problems/GLEAN07", "https://www.codechef.com/problems/GLEAN07")</f>
        <v/>
      </c>
      <c r="K211" s="4" t="inlineStr"/>
      <c r="L211" s="4" t="inlineStr"/>
      <c r="M211" s="4" t="inlineStr"/>
      <c r="N211" s="4" t="inlineStr">
        <is>
          <t>No</t>
        </is>
      </c>
      <c r="O211" s="4" t="inlineStr">
        <is>
          <t>Unattempted</t>
        </is>
      </c>
    </row>
    <row r="212">
      <c r="A212" s="2" t="inlineStr">
        <is>
          <t>Company Based Questions</t>
        </is>
      </c>
      <c r="B212" s="2" t="inlineStr">
        <is>
          <t>Glean Coding Interview Questions</t>
        </is>
      </c>
      <c r="C212" s="2" t="inlineStr">
        <is>
          <t>Prepare for your Glean online assessment and Interview with most commonly asked coding questions.</t>
        </is>
      </c>
      <c r="D212" s="2" t="inlineStr">
        <is>
          <t>Glean Coding Questions - Glean Coding Questions</t>
        </is>
      </c>
      <c r="E212" s="2" t="n">
        <v>8</v>
      </c>
      <c r="F212" s="2" t="inlineStr">
        <is>
          <t>Round to Nearest Ten</t>
        </is>
      </c>
      <c r="G212" s="2" t="inlineStr">
        <is>
          <t>GLEAN08</t>
        </is>
      </c>
      <c r="H212" s="2" t="inlineStr"/>
      <c r="I212" s="2" t="inlineStr">
        <is>
          <t>Medium</t>
        </is>
      </c>
      <c r="J212" s="3">
        <f>HYPERLINK("https://www.codechef.com/problems/GLEAN08", "https://www.codechef.com/problems/GLEAN08")</f>
        <v/>
      </c>
      <c r="K212" s="2" t="inlineStr"/>
      <c r="L212" s="2" t="inlineStr"/>
      <c r="M212" s="2" t="inlineStr"/>
      <c r="N212" s="2" t="inlineStr">
        <is>
          <t>No</t>
        </is>
      </c>
      <c r="O212" s="2" t="inlineStr">
        <is>
          <t>Unattempted</t>
        </is>
      </c>
    </row>
    <row r="213">
      <c r="A213" s="4" t="inlineStr">
        <is>
          <t>Company Based Questions</t>
        </is>
      </c>
      <c r="B213" s="4" t="inlineStr">
        <is>
          <t>Maxlinear Coding Interview Questions</t>
        </is>
      </c>
      <c r="C213" s="4" t="inlineStr">
        <is>
          <t>Prepare for your Maxlinear online assessment and Interview with most commonly asked coding questions.</t>
        </is>
      </c>
      <c r="D213" s="4" t="inlineStr">
        <is>
          <t>Maxlinear Coding Questions - Maxlinear Coding Questions</t>
        </is>
      </c>
      <c r="E213" s="4" t="n">
        <v>1</v>
      </c>
      <c r="F213" s="4" t="inlineStr">
        <is>
          <t>Average Monthly Sales Analysis</t>
        </is>
      </c>
      <c r="G213" s="4" t="inlineStr">
        <is>
          <t>MAXLIN01</t>
        </is>
      </c>
      <c r="H213" s="4" t="inlineStr"/>
      <c r="I213" s="4" t="inlineStr">
        <is>
          <t>Medium</t>
        </is>
      </c>
      <c r="J213" s="5">
        <f>HYPERLINK("https://www.codechef.com/problems/MAXLIN01", "https://www.codechef.com/problems/MAXLIN01")</f>
        <v/>
      </c>
      <c r="K213" s="4" t="inlineStr"/>
      <c r="L213" s="4" t="inlineStr"/>
      <c r="M213" s="4" t="inlineStr"/>
      <c r="N213" s="4" t="inlineStr">
        <is>
          <t>No</t>
        </is>
      </c>
      <c r="O213" s="4" t="inlineStr">
        <is>
          <t>Unattempted</t>
        </is>
      </c>
    </row>
    <row r="214">
      <c r="A214" s="2" t="inlineStr">
        <is>
          <t>Company Based Questions</t>
        </is>
      </c>
      <c r="B214" s="2" t="inlineStr">
        <is>
          <t>Maxlinear Coding Interview Questions</t>
        </is>
      </c>
      <c r="C214" s="2" t="inlineStr">
        <is>
          <t>Prepare for your Maxlinear online assessment and Interview with most commonly asked coding questions.</t>
        </is>
      </c>
      <c r="D214" s="2" t="inlineStr">
        <is>
          <t>Maxlinear Coding Questions - Maxlinear Coding Questions</t>
        </is>
      </c>
      <c r="E214" s="2" t="n">
        <v>2</v>
      </c>
      <c r="F214" s="2" t="inlineStr">
        <is>
          <t>Second Highest Salary Analysis</t>
        </is>
      </c>
      <c r="G214" s="2" t="inlineStr">
        <is>
          <t>MAXLIN02</t>
        </is>
      </c>
      <c r="H214" s="2" t="inlineStr"/>
      <c r="I214" s="2" t="inlineStr">
        <is>
          <t>Medium</t>
        </is>
      </c>
      <c r="J214" s="3">
        <f>HYPERLINK("https://www.codechef.com/problems/MAXLIN02", "https://www.codechef.com/problems/MAXLIN02")</f>
        <v/>
      </c>
      <c r="K214" s="2" t="inlineStr"/>
      <c r="L214" s="2" t="inlineStr"/>
      <c r="M214" s="2" t="inlineStr"/>
      <c r="N214" s="2" t="inlineStr">
        <is>
          <t>No</t>
        </is>
      </c>
      <c r="O214" s="2" t="inlineStr">
        <is>
          <t>Unattempted</t>
        </is>
      </c>
    </row>
    <row r="215">
      <c r="A215" s="4" t="inlineStr">
        <is>
          <t>Company Based Questions</t>
        </is>
      </c>
      <c r="B215" s="4" t="inlineStr">
        <is>
          <t>Maxlinear Coding Interview Questions</t>
        </is>
      </c>
      <c r="C215" s="4" t="inlineStr">
        <is>
          <t>Prepare for your Maxlinear online assessment and Interview with most commonly asked coding questions.</t>
        </is>
      </c>
      <c r="D215" s="4" t="inlineStr">
        <is>
          <t>Maxlinear Coding Questions - Maxlinear Coding Questions</t>
        </is>
      </c>
      <c r="E215" s="4" t="n">
        <v>3</v>
      </c>
      <c r="F215" s="4" t="inlineStr">
        <is>
          <t>Order Item Count Mode Analysis</t>
        </is>
      </c>
      <c r="G215" s="4" t="inlineStr">
        <is>
          <t>MAXLIN03</t>
        </is>
      </c>
      <c r="H215" s="4" t="inlineStr"/>
      <c r="I215" s="4" t="inlineStr">
        <is>
          <t>Medium</t>
        </is>
      </c>
      <c r="J215" s="5">
        <f>HYPERLINK("https://www.codechef.com/problems/MAXLIN03", "https://www.codechef.com/problems/MAXLIN03")</f>
        <v/>
      </c>
      <c r="K215" s="4" t="inlineStr"/>
      <c r="L215" s="4" t="inlineStr"/>
      <c r="M215" s="4" t="inlineStr"/>
      <c r="N215" s="4" t="inlineStr">
        <is>
          <t>No</t>
        </is>
      </c>
      <c r="O215" s="4" t="inlineStr">
        <is>
          <t>Unattempted</t>
        </is>
      </c>
    </row>
    <row r="216">
      <c r="A216" s="2" t="inlineStr">
        <is>
          <t>Company Based Questions</t>
        </is>
      </c>
      <c r="B216" s="2" t="inlineStr">
        <is>
          <t>Maxlinear Coding Interview Questions</t>
        </is>
      </c>
      <c r="C216" s="2" t="inlineStr">
        <is>
          <t>Prepare for your Maxlinear online assessment and Interview with most commonly asked coding questions.</t>
        </is>
      </c>
      <c r="D216" s="2" t="inlineStr">
        <is>
          <t>Maxlinear Coding Questions - Maxlinear Coding Questions</t>
        </is>
      </c>
      <c r="E216" s="2" t="n">
        <v>4</v>
      </c>
      <c r="F216" s="2" t="inlineStr">
        <is>
          <t>Average Power Usage Analysis for Communication Dev</t>
        </is>
      </c>
      <c r="G216" s="2" t="inlineStr">
        <is>
          <t>MAXLIN04</t>
        </is>
      </c>
      <c r="H216" s="2" t="inlineStr"/>
      <c r="I216" s="2" t="inlineStr">
        <is>
          <t>Medium</t>
        </is>
      </c>
      <c r="J216" s="3">
        <f>HYPERLINK("https://www.codechef.com/problems/MAXLIN04", "https://www.codechef.com/problems/MAXLIN04")</f>
        <v/>
      </c>
      <c r="K216" s="2" t="inlineStr"/>
      <c r="L216" s="2" t="inlineStr"/>
      <c r="M216" s="2" t="inlineStr"/>
      <c r="N216" s="2" t="inlineStr">
        <is>
          <t>No</t>
        </is>
      </c>
      <c r="O216" s="2" t="inlineStr">
        <is>
          <t>Unattempted</t>
        </is>
      </c>
    </row>
    <row r="217">
      <c r="A217" s="4" t="inlineStr">
        <is>
          <t>Company Based Questions</t>
        </is>
      </c>
      <c r="B217" s="4" t="inlineStr">
        <is>
          <t>Maxlinear Coding Interview Questions</t>
        </is>
      </c>
      <c r="C217" s="4" t="inlineStr">
        <is>
          <t>Prepare for your Maxlinear online assessment and Interview with most commonly asked coding questions.</t>
        </is>
      </c>
      <c r="D217" s="4" t="inlineStr">
        <is>
          <t>Maxlinear Coding Questions - Maxlinear Coding Questions</t>
        </is>
      </c>
      <c r="E217" s="4" t="n">
        <v>5</v>
      </c>
      <c r="F217" s="4" t="inlineStr">
        <is>
          <t>Employee and Contractor Analytics</t>
        </is>
      </c>
      <c r="G217" s="4" t="inlineStr">
        <is>
          <t>MAXLIN05</t>
        </is>
      </c>
      <c r="H217" s="4" t="inlineStr"/>
      <c r="I217" s="4" t="inlineStr">
        <is>
          <t>Medium</t>
        </is>
      </c>
      <c r="J217" s="5">
        <f>HYPERLINK("https://www.codechef.com/problems/MAXLIN05", "https://www.codechef.com/problems/MAXLIN05")</f>
        <v/>
      </c>
      <c r="K217" s="4" t="inlineStr"/>
      <c r="L217" s="4" t="inlineStr"/>
      <c r="M217" s="4" t="inlineStr"/>
      <c r="N217" s="4" t="inlineStr">
        <is>
          <t>No</t>
        </is>
      </c>
      <c r="O217" s="4" t="inlineStr">
        <is>
          <t>Unattempted</t>
        </is>
      </c>
    </row>
    <row r="218">
      <c r="A218" s="2" t="inlineStr">
        <is>
          <t>Company Based Questions</t>
        </is>
      </c>
      <c r="B218" s="2" t="inlineStr">
        <is>
          <t>Maxlinear Coding Interview Questions</t>
        </is>
      </c>
      <c r="C218" s="2" t="inlineStr">
        <is>
          <t>Prepare for your Maxlinear online assessment and Interview with most commonly asked coding questions.</t>
        </is>
      </c>
      <c r="D218" s="2" t="inlineStr">
        <is>
          <t>Maxlinear Coding Questions - Maxlinear Coding Questions</t>
        </is>
      </c>
      <c r="E218" s="2" t="n">
        <v>6</v>
      </c>
      <c r="F218" s="2" t="inlineStr">
        <is>
          <t>Maximum Sales by Region for Each Product</t>
        </is>
      </c>
      <c r="G218" s="2" t="inlineStr">
        <is>
          <t>MAXLIN06</t>
        </is>
      </c>
      <c r="H218" s="2" t="inlineStr"/>
      <c r="I218" s="2" t="inlineStr">
        <is>
          <t>Hard</t>
        </is>
      </c>
      <c r="J218" s="3">
        <f>HYPERLINK("https://www.codechef.com/problems/MAXLIN06", "https://www.codechef.com/problems/MAXLIN06")</f>
        <v/>
      </c>
      <c r="K218" s="2" t="inlineStr"/>
      <c r="L218" s="2" t="inlineStr"/>
      <c r="M218" s="2" t="inlineStr"/>
      <c r="N218" s="2" t="inlineStr">
        <is>
          <t>No</t>
        </is>
      </c>
      <c r="O218" s="2" t="inlineStr">
        <is>
          <t>Unattempted</t>
        </is>
      </c>
    </row>
    <row r="219">
      <c r="A219" s="4" t="inlineStr">
        <is>
          <t>Company Based Questions</t>
        </is>
      </c>
      <c r="B219" s="4" t="inlineStr">
        <is>
          <t>Maxlinear Coding Interview Questions</t>
        </is>
      </c>
      <c r="C219" s="4" t="inlineStr">
        <is>
          <t>Prepare for your Maxlinear online assessment and Interview with most commonly asked coding questions.</t>
        </is>
      </c>
      <c r="D219" s="4" t="inlineStr">
        <is>
          <t>Maxlinear Coding Questions - Maxlinear Coding Questions</t>
        </is>
      </c>
      <c r="E219" s="4" t="n">
        <v>7</v>
      </c>
      <c r="F219" s="4" t="inlineStr">
        <is>
          <t>Customer Email Domain Analysis</t>
        </is>
      </c>
      <c r="G219" s="4" t="inlineStr">
        <is>
          <t>MAXLIN07</t>
        </is>
      </c>
      <c r="H219" s="4" t="inlineStr"/>
      <c r="I219" s="4" t="inlineStr">
        <is>
          <t>Easy</t>
        </is>
      </c>
      <c r="J219" s="5">
        <f>HYPERLINK("https://www.codechef.com/problems/MAXLIN07", "https://www.codechef.com/problems/MAXLIN07")</f>
        <v/>
      </c>
      <c r="K219" s="4" t="inlineStr"/>
      <c r="L219" s="4" t="inlineStr"/>
      <c r="M219" s="4" t="inlineStr"/>
      <c r="N219" s="4" t="inlineStr">
        <is>
          <t>No</t>
        </is>
      </c>
      <c r="O219" s="4" t="inlineStr">
        <is>
          <t>Unattempted</t>
        </is>
      </c>
    </row>
    <row r="220">
      <c r="A220" s="2" t="inlineStr">
        <is>
          <t>Company Based Questions</t>
        </is>
      </c>
      <c r="B220" s="2" t="inlineStr">
        <is>
          <t>Maxlinear Coding Interview Questions</t>
        </is>
      </c>
      <c r="C220" s="2" t="inlineStr">
        <is>
          <t>Prepare for your Maxlinear online assessment and Interview with most commonly asked coding questions.</t>
        </is>
      </c>
      <c r="D220" s="2" t="inlineStr">
        <is>
          <t>Maxlinear Coding Questions - Maxlinear Coding Questions</t>
        </is>
      </c>
      <c r="E220" s="2" t="n">
        <v>8</v>
      </c>
      <c r="F220" s="2" t="inlineStr">
        <is>
          <t>Identifying Dual-Status Personnel</t>
        </is>
      </c>
      <c r="G220" s="2" t="inlineStr">
        <is>
          <t>MAXLIN08</t>
        </is>
      </c>
      <c r="H220" s="2" t="inlineStr"/>
      <c r="I220" s="2" t="inlineStr">
        <is>
          <t>Medium</t>
        </is>
      </c>
      <c r="J220" s="3">
        <f>HYPERLINK("https://www.codechef.com/problems/MAXLIN08", "https://www.codechef.com/problems/MAXLIN08")</f>
        <v/>
      </c>
      <c r="K220" s="2" t="inlineStr"/>
      <c r="L220" s="2" t="inlineStr"/>
      <c r="M220" s="2" t="inlineStr"/>
      <c r="N220" s="2" t="inlineStr">
        <is>
          <t>No</t>
        </is>
      </c>
      <c r="O220" s="2" t="inlineStr">
        <is>
          <t>Unattempted</t>
        </is>
      </c>
    </row>
    <row r="221">
      <c r="A221" s="4" t="inlineStr">
        <is>
          <t>Company Based Questions</t>
        </is>
      </c>
      <c r="B221" s="4" t="inlineStr">
        <is>
          <t>Maxlinear Coding Interview Questions</t>
        </is>
      </c>
      <c r="C221" s="4" t="inlineStr">
        <is>
          <t>Prepare for your Maxlinear online assessment and Interview with most commonly asked coding questions.</t>
        </is>
      </c>
      <c r="D221" s="4" t="inlineStr">
        <is>
          <t>Maxlinear Coding Questions - Maxlinear Coding Questions</t>
        </is>
      </c>
      <c r="E221" s="4" t="n">
        <v>9</v>
      </c>
      <c r="F221" s="4" t="inlineStr">
        <is>
          <t>Third User Transaction Analysis</t>
        </is>
      </c>
      <c r="G221" s="4" t="inlineStr">
        <is>
          <t>MAXLIN09</t>
        </is>
      </c>
      <c r="H221" s="4" t="inlineStr"/>
      <c r="I221" s="4" t="inlineStr">
        <is>
          <t>Medium</t>
        </is>
      </c>
      <c r="J221" s="5">
        <f>HYPERLINK("https://www.codechef.com/problems/MAXLIN09", "https://www.codechef.com/problems/MAXLIN09")</f>
        <v/>
      </c>
      <c r="K221" s="4" t="inlineStr"/>
      <c r="L221" s="4" t="inlineStr"/>
      <c r="M221" s="4" t="inlineStr"/>
      <c r="N221" s="4" t="inlineStr">
        <is>
          <t>No</t>
        </is>
      </c>
      <c r="O221" s="4" t="inlineStr">
        <is>
          <t>Unattempted</t>
        </is>
      </c>
    </row>
    <row r="222">
      <c r="A222" s="2" t="inlineStr">
        <is>
          <t>Company Based Questions</t>
        </is>
      </c>
      <c r="B222" s="2" t="inlineStr">
        <is>
          <t>Maxlinear Coding Interview Questions</t>
        </is>
      </c>
      <c r="C222" s="2" t="inlineStr">
        <is>
          <t>Prepare for your Maxlinear online assessment and Interview with most commonly asked coding questions.</t>
        </is>
      </c>
      <c r="D222" s="2" t="inlineStr">
        <is>
          <t>Maxlinear Coding Questions - Maxlinear Coding Questions</t>
        </is>
      </c>
      <c r="E222" s="2" t="n">
        <v>10</v>
      </c>
      <c r="F222" s="2" t="inlineStr">
        <is>
          <t>Department High Earners Analysis</t>
        </is>
      </c>
      <c r="G222" s="2" t="inlineStr">
        <is>
          <t>MAXLIN10</t>
        </is>
      </c>
      <c r="H222" s="2" t="inlineStr"/>
      <c r="I222" s="2" t="inlineStr">
        <is>
          <t>Hard</t>
        </is>
      </c>
      <c r="J222" s="3">
        <f>HYPERLINK("https://www.codechef.com/problems/MAXLIN10", "https://www.codechef.com/problems/MAXLIN10")</f>
        <v/>
      </c>
      <c r="K222" s="2" t="inlineStr"/>
      <c r="L222" s="2" t="inlineStr"/>
      <c r="M222" s="2" t="inlineStr"/>
      <c r="N222" s="2" t="inlineStr">
        <is>
          <t>No</t>
        </is>
      </c>
      <c r="O222" s="2" t="inlineStr">
        <is>
          <t>Unattempted</t>
        </is>
      </c>
    </row>
    <row r="223">
      <c r="A223" s="4" t="inlineStr">
        <is>
          <t>Company Based Questions</t>
        </is>
      </c>
      <c r="B223" s="4" t="inlineStr">
        <is>
          <t>Deloitte NLA Questions</t>
        </is>
      </c>
      <c r="C223" s="4" t="inlineStr">
        <is>
          <t>Prepare for Deloitte NLA with previous years questions. Solve the coding, numerical ability, reasoning ability, verbal ability and quant questions which were asked in the past.</t>
        </is>
      </c>
      <c r="D223" s="4" t="inlineStr">
        <is>
          <t>Coding Problems - Past Years Coding Problems</t>
        </is>
      </c>
      <c r="E223" s="4" t="n">
        <v>1</v>
      </c>
      <c r="F223" s="4" t="inlineStr">
        <is>
          <t>Sentence Anagrams</t>
        </is>
      </c>
      <c r="G223" s="4" t="inlineStr">
        <is>
          <t>ISHYNF13</t>
        </is>
      </c>
      <c r="H223" s="4" t="inlineStr"/>
      <c r="I223" s="4" t="inlineStr">
        <is>
          <t>Medium</t>
        </is>
      </c>
      <c r="J223" s="5">
        <f>HYPERLINK("https://www.codechef.com/problems/ISHYNF13", "https://www.codechef.com/problems/ISHYNF13")</f>
        <v/>
      </c>
      <c r="K223" s="4" t="inlineStr"/>
      <c r="L223" s="4" t="inlineStr"/>
      <c r="M223" s="4" t="inlineStr"/>
      <c r="N223" s="4" t="inlineStr">
        <is>
          <t>No</t>
        </is>
      </c>
      <c r="O223" s="4" t="inlineStr">
        <is>
          <t>Unattempted</t>
        </is>
      </c>
    </row>
    <row r="224">
      <c r="A224" s="2" t="inlineStr">
        <is>
          <t>Company Based Questions</t>
        </is>
      </c>
      <c r="B224" s="2" t="inlineStr">
        <is>
          <t>Deloitte NLA Questions</t>
        </is>
      </c>
      <c r="C224" s="2" t="inlineStr">
        <is>
          <t>Prepare for Deloitte NLA with previous years questions. Solve the coding, numerical ability, reasoning ability, verbal ability and quant questions which were asked in the past.</t>
        </is>
      </c>
      <c r="D224" s="2" t="inlineStr">
        <is>
          <t>Coding Problems - Past Years Coding Problems</t>
        </is>
      </c>
      <c r="E224" s="2" t="n">
        <v>2</v>
      </c>
      <c r="F224" s="2" t="inlineStr">
        <is>
          <t>Class Monitor</t>
        </is>
      </c>
      <c r="G224" s="2" t="inlineStr">
        <is>
          <t>ISHYNF14</t>
        </is>
      </c>
      <c r="H224" s="2" t="inlineStr"/>
      <c r="I224" s="2" t="inlineStr">
        <is>
          <t>Easy</t>
        </is>
      </c>
      <c r="J224" s="3">
        <f>HYPERLINK("https://www.codechef.com/problems/ISHYNF14", "https://www.codechef.com/problems/ISHYNF14")</f>
        <v/>
      </c>
      <c r="K224" s="2" t="inlineStr"/>
      <c r="L224" s="2" t="inlineStr"/>
      <c r="M224" s="2" t="inlineStr"/>
      <c r="N224" s="2" t="inlineStr">
        <is>
          <t>No</t>
        </is>
      </c>
      <c r="O224" s="2" t="inlineStr">
        <is>
          <t>Unattempted</t>
        </is>
      </c>
    </row>
    <row r="225">
      <c r="A225" s="4" t="inlineStr">
        <is>
          <t>Company Based Questions</t>
        </is>
      </c>
      <c r="B225" s="4" t="inlineStr">
        <is>
          <t>Deloitte NLA Questions</t>
        </is>
      </c>
      <c r="C225" s="4" t="inlineStr">
        <is>
          <t>Prepare for Deloitte NLA with previous years questions. Solve the coding, numerical ability, reasoning ability, verbal ability and quant questions which were asked in the past.</t>
        </is>
      </c>
      <c r="D225" s="4" t="inlineStr">
        <is>
          <t>Coding Problems - Past Years Coding Problems</t>
        </is>
      </c>
      <c r="E225" s="4" t="n">
        <v>3</v>
      </c>
      <c r="F225" s="4" t="inlineStr">
        <is>
          <t>first N Fibonacci</t>
        </is>
      </c>
      <c r="G225" s="4" t="inlineStr">
        <is>
          <t>ISHYNF15</t>
        </is>
      </c>
      <c r="H225" s="4" t="inlineStr"/>
      <c r="I225" s="4" t="inlineStr">
        <is>
          <t>Easy</t>
        </is>
      </c>
      <c r="J225" s="5">
        <f>HYPERLINK("https://www.codechef.com/problems/ISHYNF15", "https://www.codechef.com/problems/ISHYNF15")</f>
        <v/>
      </c>
      <c r="K225" s="4" t="inlineStr"/>
      <c r="L225" s="4" t="inlineStr"/>
      <c r="M225" s="4" t="inlineStr"/>
      <c r="N225" s="4" t="inlineStr">
        <is>
          <t>No</t>
        </is>
      </c>
      <c r="O225" s="4" t="inlineStr">
        <is>
          <t>Unattempted</t>
        </is>
      </c>
    </row>
    <row r="226">
      <c r="A226" s="2" t="inlineStr">
        <is>
          <t>Company Based Questions</t>
        </is>
      </c>
      <c r="B226" s="2" t="inlineStr">
        <is>
          <t>Deloitte NLA Questions</t>
        </is>
      </c>
      <c r="C226" s="2" t="inlineStr">
        <is>
          <t>Prepare for Deloitte NLA with previous years questions. Solve the coding, numerical ability, reasoning ability, verbal ability and quant questions which were asked in the past.</t>
        </is>
      </c>
      <c r="D226" s="2" t="inlineStr">
        <is>
          <t>Coding Problems - Past Years Coding Problems</t>
        </is>
      </c>
      <c r="E226" s="2" t="n">
        <v>4</v>
      </c>
      <c r="F226" s="2" t="inlineStr">
        <is>
          <t>Corona for Computer</t>
        </is>
      </c>
      <c r="G226" s="2" t="inlineStr">
        <is>
          <t>ISHYNF16</t>
        </is>
      </c>
      <c r="H226" s="2" t="inlineStr"/>
      <c r="I226" s="2" t="inlineStr">
        <is>
          <t>Easy</t>
        </is>
      </c>
      <c r="J226" s="3">
        <f>HYPERLINK("https://www.codechef.com/problems/ISHYNF16", "https://www.codechef.com/problems/ISHYNF16")</f>
        <v/>
      </c>
      <c r="K226" s="2" t="inlineStr"/>
      <c r="L226" s="2" t="inlineStr"/>
      <c r="M226" s="2" t="inlineStr"/>
      <c r="N226" s="2" t="inlineStr">
        <is>
          <t>No</t>
        </is>
      </c>
      <c r="O226" s="2" t="inlineStr">
        <is>
          <t>Unattempted</t>
        </is>
      </c>
    </row>
    <row r="227">
      <c r="A227" s="4" t="inlineStr">
        <is>
          <t>Company Based Questions</t>
        </is>
      </c>
      <c r="B227" s="4" t="inlineStr">
        <is>
          <t>Deloitte NLA Questions</t>
        </is>
      </c>
      <c r="C227" s="4" t="inlineStr">
        <is>
          <t>Prepare for Deloitte NLA with previous years questions. Solve the coding, numerical ability, reasoning ability, verbal ability and quant questions which were asked in the past.</t>
        </is>
      </c>
      <c r="D227" s="4" t="inlineStr">
        <is>
          <t>Coding Problems - Past Years Coding Problems</t>
        </is>
      </c>
      <c r="E227" s="4" t="n">
        <v>5</v>
      </c>
      <c r="F227" s="4" t="inlineStr">
        <is>
          <t>Help of Prepsters</t>
        </is>
      </c>
      <c r="G227" s="4" t="inlineStr">
        <is>
          <t>ISHYNF17</t>
        </is>
      </c>
      <c r="H227" s="4" t="inlineStr"/>
      <c r="I227" s="4" t="inlineStr">
        <is>
          <t>Hard</t>
        </is>
      </c>
      <c r="J227" s="5">
        <f>HYPERLINK("https://www.codechef.com/problems/ISHYNF17", "https://www.codechef.com/problems/ISHYNF17")</f>
        <v/>
      </c>
      <c r="K227" s="4" t="inlineStr"/>
      <c r="L227" s="4" t="inlineStr"/>
      <c r="M227" s="4" t="inlineStr"/>
      <c r="N227" s="4" t="inlineStr">
        <is>
          <t>No</t>
        </is>
      </c>
      <c r="O227" s="4" t="inlineStr">
        <is>
          <t>Unattempted</t>
        </is>
      </c>
    </row>
    <row r="228">
      <c r="A228" s="2" t="inlineStr">
        <is>
          <t>Company Based Questions</t>
        </is>
      </c>
      <c r="B228" s="2" t="inlineStr">
        <is>
          <t>Deloitte NLA Questions</t>
        </is>
      </c>
      <c r="C228" s="2" t="inlineStr">
        <is>
          <t>Prepare for Deloitte NLA with previous years questions. Solve the coding, numerical ability, reasoning ability, verbal ability and quant questions which were asked in the past.</t>
        </is>
      </c>
      <c r="D228" s="2" t="inlineStr">
        <is>
          <t>Coding Problems - Past Years Coding Problems</t>
        </is>
      </c>
      <c r="E228" s="2" t="n">
        <v>6</v>
      </c>
      <c r="F228" s="2" t="inlineStr">
        <is>
          <t>Momentum LinkedList</t>
        </is>
      </c>
      <c r="G228" s="2" t="inlineStr">
        <is>
          <t>ISHYNF18</t>
        </is>
      </c>
      <c r="H228" s="2" t="inlineStr"/>
      <c r="I228" s="2" t="inlineStr">
        <is>
          <t>Medium</t>
        </is>
      </c>
      <c r="J228" s="3">
        <f>HYPERLINK("https://www.codechef.com/problems/ISHYNF18", "https://www.codechef.com/problems/ISHYNF18")</f>
        <v/>
      </c>
      <c r="K228" s="2" t="inlineStr"/>
      <c r="L228" s="2" t="inlineStr"/>
      <c r="M228" s="2" t="inlineStr"/>
      <c r="N228" s="2" t="inlineStr">
        <is>
          <t>No</t>
        </is>
      </c>
      <c r="O228" s="2" t="inlineStr">
        <is>
          <t>Unattempted</t>
        </is>
      </c>
    </row>
    <row r="229">
      <c r="A229" s="4" t="inlineStr">
        <is>
          <t>Company Based Questions</t>
        </is>
      </c>
      <c r="B229" s="4" t="inlineStr">
        <is>
          <t>Deloitte NLA Questions</t>
        </is>
      </c>
      <c r="C229" s="4" t="inlineStr">
        <is>
          <t>Prepare for Deloitte NLA with previous years questions. Solve the coding, numerical ability, reasoning ability, verbal ability and quant questions which were asked in the past.</t>
        </is>
      </c>
      <c r="D229" s="4" t="inlineStr">
        <is>
          <t>Coding Problems - Past Years Coding Problems</t>
        </is>
      </c>
      <c r="E229" s="4" t="n">
        <v>7</v>
      </c>
      <c r="F229" s="4" t="inlineStr">
        <is>
          <t>String Rotation Check</t>
        </is>
      </c>
      <c r="G229" s="4" t="inlineStr">
        <is>
          <t>ISHYNF21</t>
        </is>
      </c>
      <c r="H229" s="4" t="inlineStr"/>
      <c r="I229" s="4" t="inlineStr">
        <is>
          <t>Medium</t>
        </is>
      </c>
      <c r="J229" s="5">
        <f>HYPERLINK("https://www.codechef.com/problems/ISHYNF21", "https://www.codechef.com/problems/ISHYNF21")</f>
        <v/>
      </c>
      <c r="K229" s="4" t="inlineStr"/>
      <c r="L229" s="4" t="inlineStr"/>
      <c r="M229" s="4" t="inlineStr"/>
      <c r="N229" s="4" t="inlineStr">
        <is>
          <t>No</t>
        </is>
      </c>
      <c r="O229" s="4" t="inlineStr">
        <is>
          <t>Unattempted</t>
        </is>
      </c>
    </row>
    <row r="230">
      <c r="A230" s="2" t="inlineStr">
        <is>
          <t>Company Based Questions</t>
        </is>
      </c>
      <c r="B230" s="2" t="inlineStr">
        <is>
          <t>Deloitte NLA Questions</t>
        </is>
      </c>
      <c r="C230" s="2" t="inlineStr">
        <is>
          <t>Prepare for Deloitte NLA with previous years questions. Solve the coding, numerical ability, reasoning ability, verbal ability and quant questions which were asked in the past.</t>
        </is>
      </c>
      <c r="D230" s="2" t="inlineStr">
        <is>
          <t>Coding Problems - Past Years Coding Problems</t>
        </is>
      </c>
      <c r="E230" s="2" t="n">
        <v>8</v>
      </c>
      <c r="F230" s="2" t="inlineStr">
        <is>
          <t>Messy Sentence Word Count</t>
        </is>
      </c>
      <c r="G230" s="2" t="inlineStr">
        <is>
          <t>ISHYNF22</t>
        </is>
      </c>
      <c r="H230" s="2" t="inlineStr"/>
      <c r="I230" s="2" t="inlineStr">
        <is>
          <t>Easy</t>
        </is>
      </c>
      <c r="J230" s="3">
        <f>HYPERLINK("https://www.codechef.com/problems/ISHYNF22", "https://www.codechef.com/problems/ISHYNF22")</f>
        <v/>
      </c>
      <c r="K230" s="2" t="inlineStr"/>
      <c r="L230" s="2" t="inlineStr"/>
      <c r="M230" s="2" t="inlineStr"/>
      <c r="N230" s="2" t="inlineStr">
        <is>
          <t>No</t>
        </is>
      </c>
      <c r="O230" s="2" t="inlineStr">
        <is>
          <t>Unattempted</t>
        </is>
      </c>
    </row>
    <row r="231">
      <c r="A231" s="4" t="inlineStr">
        <is>
          <t>Company Based Questions</t>
        </is>
      </c>
      <c r="B231" s="4" t="inlineStr">
        <is>
          <t>Deloitte NLA Questions</t>
        </is>
      </c>
      <c r="C231" s="4" t="inlineStr">
        <is>
          <t>Prepare for Deloitte NLA with previous years questions. Solve the coding, numerical ability, reasoning ability, verbal ability and quant questions which were asked in the past.</t>
        </is>
      </c>
      <c r="D231" s="4" t="inlineStr">
        <is>
          <t>Coding Problems - Past Years Coding Problems</t>
        </is>
      </c>
      <c r="E231" s="4" t="n">
        <v>9</v>
      </c>
      <c r="F231" s="4" t="inlineStr">
        <is>
          <t>Balanced Brackets</t>
        </is>
      </c>
      <c r="G231" s="4" t="inlineStr">
        <is>
          <t>ISHYNF23</t>
        </is>
      </c>
      <c r="H231" s="4" t="inlineStr"/>
      <c r="I231" s="4" t="inlineStr">
        <is>
          <t>Medium</t>
        </is>
      </c>
      <c r="J231" s="5">
        <f>HYPERLINK("https://www.codechef.com/problems/ISHYNF23", "https://www.codechef.com/problems/ISHYNF23")</f>
        <v/>
      </c>
      <c r="K231" s="4" t="inlineStr"/>
      <c r="L231" s="4" t="inlineStr"/>
      <c r="M231" s="4" t="inlineStr"/>
      <c r="N231" s="4" t="inlineStr">
        <is>
          <t>No</t>
        </is>
      </c>
      <c r="O231" s="4" t="inlineStr">
        <is>
          <t>Unattempted</t>
        </is>
      </c>
    </row>
    <row r="232">
      <c r="A232" s="2" t="inlineStr">
        <is>
          <t>Company Based Questions</t>
        </is>
      </c>
      <c r="B232" s="2" t="inlineStr">
        <is>
          <t>Deloitte NLA Questions</t>
        </is>
      </c>
      <c r="C232" s="2" t="inlineStr">
        <is>
          <t>Prepare for Deloitte NLA with previous years questions. Solve the coding, numerical ability, reasoning ability, verbal ability and quant questions which were asked in the past.</t>
        </is>
      </c>
      <c r="D232" s="2" t="inlineStr">
        <is>
          <t>Coding Problems - Past Years Coding Problems</t>
        </is>
      </c>
      <c r="E232" s="2" t="n">
        <v>10</v>
      </c>
      <c r="F232" s="2" t="inlineStr">
        <is>
          <t>Missing number in permutation</t>
        </is>
      </c>
      <c r="G232" s="2" t="inlineStr">
        <is>
          <t>MISSINPERM</t>
        </is>
      </c>
      <c r="H232" s="2" t="inlineStr"/>
      <c r="I232" s="2" t="inlineStr">
        <is>
          <t>Easy</t>
        </is>
      </c>
      <c r="J232" s="3">
        <f>HYPERLINK("https://www.codechef.com/problems/MISSINPERM", "https://www.codechef.com/problems/MISSINPERM")</f>
        <v/>
      </c>
      <c r="K232" s="2" t="inlineStr"/>
      <c r="L232" s="2" t="inlineStr"/>
      <c r="M232" s="2" t="inlineStr"/>
      <c r="N232" s="2" t="inlineStr">
        <is>
          <t>No</t>
        </is>
      </c>
      <c r="O232" s="2" t="inlineStr">
        <is>
          <t>Unattempted</t>
        </is>
      </c>
    </row>
    <row r="233">
      <c r="A233" s="4" t="inlineStr">
        <is>
          <t>Company Based Questions</t>
        </is>
      </c>
      <c r="B233" s="4" t="inlineStr">
        <is>
          <t>Deloitte NLA Questions</t>
        </is>
      </c>
      <c r="C233" s="4" t="inlineStr">
        <is>
          <t>Prepare for Deloitte NLA with previous years questions. Solve the coding, numerical ability, reasoning ability, verbal ability and quant questions which were asked in the past.</t>
        </is>
      </c>
      <c r="D233" s="4" t="inlineStr">
        <is>
          <t>Coding Problems - Past Years Coding Problems</t>
        </is>
      </c>
      <c r="E233" s="4" t="n">
        <v>11</v>
      </c>
      <c r="F233" s="4" t="inlineStr">
        <is>
          <t>Chef and Pair of Elements</t>
        </is>
      </c>
      <c r="G233" s="4" t="inlineStr">
        <is>
          <t>TWOSUMM</t>
        </is>
      </c>
      <c r="H233" s="4" t="inlineStr"/>
      <c r="I233" s="4" t="inlineStr">
        <is>
          <t>Medium</t>
        </is>
      </c>
      <c r="J233" s="5">
        <f>HYPERLINK("https://www.codechef.com/problems/TWOSUMM", "https://www.codechef.com/problems/TWOSUMM")</f>
        <v/>
      </c>
      <c r="K233" s="4" t="inlineStr"/>
      <c r="L233" s="4" t="inlineStr"/>
      <c r="M233" s="4" t="inlineStr"/>
      <c r="N233" s="4" t="inlineStr">
        <is>
          <t>No</t>
        </is>
      </c>
      <c r="O233" s="4" t="inlineStr">
        <is>
          <t>Unattempted</t>
        </is>
      </c>
    </row>
    <row r="234">
      <c r="A234" s="2" t="inlineStr">
        <is>
          <t>Company Based Questions</t>
        </is>
      </c>
      <c r="B234" s="2" t="inlineStr">
        <is>
          <t>Deloitte NLA Questions</t>
        </is>
      </c>
      <c r="C234" s="2" t="inlineStr">
        <is>
          <t>Prepare for Deloitte NLA with previous years questions. Solve the coding, numerical ability, reasoning ability, verbal ability and quant questions which were asked in the past.</t>
        </is>
      </c>
      <c r="D234" s="2" t="inlineStr">
        <is>
          <t>Coding Problems - Past Years Coding Problems</t>
        </is>
      </c>
      <c r="E234" s="2" t="n">
        <v>12</v>
      </c>
      <c r="F234" s="2" t="inlineStr">
        <is>
          <t>Cycle in Undirected Graph</t>
        </is>
      </c>
      <c r="G234" s="2" t="inlineStr">
        <is>
          <t>GCYCLEDFS</t>
        </is>
      </c>
      <c r="H234" s="2" t="inlineStr"/>
      <c r="I234" s="2" t="inlineStr">
        <is>
          <t>Medium</t>
        </is>
      </c>
      <c r="J234" s="3">
        <f>HYPERLINK("https://www.codechef.com/problems/GCYCLEDFS", "https://www.codechef.com/problems/GCYCLEDFS")</f>
        <v/>
      </c>
      <c r="K234" s="2" t="inlineStr"/>
      <c r="L234" s="2" t="inlineStr"/>
      <c r="M234" s="2" t="inlineStr"/>
      <c r="N234" s="2" t="inlineStr">
        <is>
          <t>No</t>
        </is>
      </c>
      <c r="O234" s="2" t="inlineStr">
        <is>
          <t>Unattempted</t>
        </is>
      </c>
    </row>
    <row r="235">
      <c r="A235" s="4" t="inlineStr">
        <is>
          <t>Company Based Questions</t>
        </is>
      </c>
      <c r="B235" s="4" t="inlineStr">
        <is>
          <t>Deloitte NLA Questions</t>
        </is>
      </c>
      <c r="C235" s="4" t="inlineStr">
        <is>
          <t>Prepare for Deloitte NLA with previous years questions. Solve the coding, numerical ability, reasoning ability, verbal ability and quant questions which were asked in the past.</t>
        </is>
      </c>
      <c r="D235" s="4" t="inlineStr">
        <is>
          <t>Coding Problems - Past Years Coding Problems</t>
        </is>
      </c>
      <c r="E235" s="4" t="n">
        <v>13</v>
      </c>
      <c r="F235" s="4" t="inlineStr">
        <is>
          <t>Rotate the array</t>
        </is>
      </c>
      <c r="G235" s="4" t="inlineStr">
        <is>
          <t>ROTATEARRAY</t>
        </is>
      </c>
      <c r="H235" s="4" t="inlineStr"/>
      <c r="I235" s="4" t="inlineStr">
        <is>
          <t>Medium</t>
        </is>
      </c>
      <c r="J235" s="5">
        <f>HYPERLINK("https://www.codechef.com/problems/ROTATEARRAY", "https://www.codechef.com/problems/ROTATEARRAY")</f>
        <v/>
      </c>
      <c r="K235" s="4" t="inlineStr"/>
      <c r="L235" s="4" t="inlineStr"/>
      <c r="M235" s="4" t="inlineStr"/>
      <c r="N235" s="4" t="inlineStr">
        <is>
          <t>No</t>
        </is>
      </c>
      <c r="O235" s="4" t="inlineStr">
        <is>
          <t>Unattempted</t>
        </is>
      </c>
    </row>
    <row r="236">
      <c r="A236" s="2" t="inlineStr">
        <is>
          <t>Company Based Questions</t>
        </is>
      </c>
      <c r="B236" s="2" t="inlineStr">
        <is>
          <t>Deloitte NLA Questions</t>
        </is>
      </c>
      <c r="C236" s="2" t="inlineStr">
        <is>
          <t>Prepare for Deloitte NLA with previous years questions. Solve the coding, numerical ability, reasoning ability, verbal ability and quant questions which were asked in the past.</t>
        </is>
      </c>
      <c r="D236" s="2" t="inlineStr">
        <is>
          <t>Coding Problems - Past Years Coding Problems</t>
        </is>
      </c>
      <c r="E236" s="2" t="n">
        <v>14</v>
      </c>
      <c r="F236" s="2" t="inlineStr">
        <is>
          <t>Odd Sum Subarrays</t>
        </is>
      </c>
      <c r="G236" s="2" t="inlineStr">
        <is>
          <t>ISHYNF01</t>
        </is>
      </c>
      <c r="H236" s="2" t="inlineStr"/>
      <c r="I236" s="2" t="inlineStr">
        <is>
          <t>Hard</t>
        </is>
      </c>
      <c r="J236" s="3">
        <f>HYPERLINK("https://www.codechef.com/problems/ISHYNF01", "https://www.codechef.com/problems/ISHYNF01")</f>
        <v/>
      </c>
      <c r="K236" s="2" t="inlineStr"/>
      <c r="L236" s="2" t="inlineStr"/>
      <c r="M236" s="2" t="inlineStr"/>
      <c r="N236" s="2" t="inlineStr">
        <is>
          <t>No</t>
        </is>
      </c>
      <c r="O236" s="2" t="inlineStr">
        <is>
          <t>Unattempted</t>
        </is>
      </c>
    </row>
    <row r="237">
      <c r="A237" s="4" t="inlineStr">
        <is>
          <t>Company Based Questions</t>
        </is>
      </c>
      <c r="B237" s="4" t="inlineStr">
        <is>
          <t>Deloitte NLA Questions</t>
        </is>
      </c>
      <c r="C237" s="4" t="inlineStr">
        <is>
          <t>Prepare for Deloitte NLA with previous years questions. Solve the coding, numerical ability, reasoning ability, verbal ability and quant questions which were asked in the past.</t>
        </is>
      </c>
      <c r="D237" s="4" t="inlineStr">
        <is>
          <t>Coding Problems - Past Years Coding Problems</t>
        </is>
      </c>
      <c r="E237" s="4" t="n">
        <v>15</v>
      </c>
      <c r="F237" s="4" t="inlineStr">
        <is>
          <t>Longest Palindromic Substring</t>
        </is>
      </c>
      <c r="G237" s="4" t="inlineStr">
        <is>
          <t>ISHYNF03</t>
        </is>
      </c>
      <c r="H237" s="4" t="inlineStr"/>
      <c r="I237" s="4" t="inlineStr">
        <is>
          <t>Hard</t>
        </is>
      </c>
      <c r="J237" s="5">
        <f>HYPERLINK("https://www.codechef.com/problems/ISHYNF03", "https://www.codechef.com/problems/ISHYNF03")</f>
        <v/>
      </c>
      <c r="K237" s="4" t="inlineStr"/>
      <c r="L237" s="4" t="inlineStr"/>
      <c r="M237" s="4" t="inlineStr"/>
      <c r="N237" s="4" t="inlineStr">
        <is>
          <t>No</t>
        </is>
      </c>
      <c r="O237" s="4" t="inlineStr">
        <is>
          <t>Unattempted</t>
        </is>
      </c>
    </row>
    <row r="238">
      <c r="A238" s="2" t="inlineStr">
        <is>
          <t>Company Based Questions</t>
        </is>
      </c>
      <c r="B238" s="2" t="inlineStr">
        <is>
          <t>Deloitte NLA Questions</t>
        </is>
      </c>
      <c r="C238" s="2" t="inlineStr">
        <is>
          <t>Prepare for Deloitte NLA with previous years questions. Solve the coding, numerical ability, reasoning ability, verbal ability and quant questions which were asked in the past.</t>
        </is>
      </c>
      <c r="D238" s="2" t="inlineStr">
        <is>
          <t>Coding Problems - Past Years Coding Problems</t>
        </is>
      </c>
      <c r="E238" s="2" t="n">
        <v>16</v>
      </c>
      <c r="F238" s="2" t="inlineStr">
        <is>
          <t>Merge K Sorted Arrays</t>
        </is>
      </c>
      <c r="G238" s="2" t="inlineStr">
        <is>
          <t>ISHYNF05</t>
        </is>
      </c>
      <c r="H238" s="2" t="inlineStr"/>
      <c r="I238" s="2" t="inlineStr">
        <is>
          <t>Hard</t>
        </is>
      </c>
      <c r="J238" s="3">
        <f>HYPERLINK("https://www.codechef.com/problems/ISHYNF05", "https://www.codechef.com/problems/ISHYNF05")</f>
        <v/>
      </c>
      <c r="K238" s="2" t="inlineStr"/>
      <c r="L238" s="2" t="inlineStr"/>
      <c r="M238" s="2" t="inlineStr"/>
      <c r="N238" s="2" t="inlineStr">
        <is>
          <t>No</t>
        </is>
      </c>
      <c r="O238" s="2" t="inlineStr">
        <is>
          <t>Unattempted</t>
        </is>
      </c>
    </row>
    <row r="239">
      <c r="A239" s="4" t="inlineStr">
        <is>
          <t>Company Based Questions</t>
        </is>
      </c>
      <c r="B239" s="4" t="inlineStr">
        <is>
          <t>Deloitte NLA Questions</t>
        </is>
      </c>
      <c r="C239" s="4" t="inlineStr">
        <is>
          <t>Prepare for Deloitte NLA with previous years questions. Solve the coding, numerical ability, reasoning ability, verbal ability and quant questions which were asked in the past.</t>
        </is>
      </c>
      <c r="D239" s="4" t="inlineStr">
        <is>
          <t>Coding Problems - Past Years Coding Problems</t>
        </is>
      </c>
      <c r="E239" s="4" t="n">
        <v>17</v>
      </c>
      <c r="F239" s="4" t="inlineStr">
        <is>
          <t>Kth Largest Element</t>
        </is>
      </c>
      <c r="G239" s="4" t="inlineStr">
        <is>
          <t>ISHYNF06</t>
        </is>
      </c>
      <c r="H239" s="4" t="inlineStr"/>
      <c r="I239" s="4" t="inlineStr">
        <is>
          <t>Hard</t>
        </is>
      </c>
      <c r="J239" s="5">
        <f>HYPERLINK("https://www.codechef.com/problems/ISHYNF06", "https://www.codechef.com/problems/ISHYNF06")</f>
        <v/>
      </c>
      <c r="K239" s="4" t="inlineStr"/>
      <c r="L239" s="4" t="inlineStr"/>
      <c r="M239" s="4" t="inlineStr"/>
      <c r="N239" s="4" t="inlineStr">
        <is>
          <t>No</t>
        </is>
      </c>
      <c r="O239" s="4" t="inlineStr">
        <is>
          <t>Unattempted</t>
        </is>
      </c>
    </row>
    <row r="240">
      <c r="A240" s="2" t="inlineStr">
        <is>
          <t>Company Based Questions</t>
        </is>
      </c>
      <c r="B240" s="2" t="inlineStr">
        <is>
          <t>Deloitte NLA Questions</t>
        </is>
      </c>
      <c r="C240" s="2" t="inlineStr">
        <is>
          <t>Prepare for Deloitte NLA with previous years questions. Solve the coding, numerical ability, reasoning ability, verbal ability and quant questions which were asked in the past.</t>
        </is>
      </c>
      <c r="D240" s="2" t="inlineStr">
        <is>
          <t>Coding Problems - Past Years Coding Problems</t>
        </is>
      </c>
      <c r="E240" s="2" t="n">
        <v>18</v>
      </c>
      <c r="F240" s="2" t="inlineStr">
        <is>
          <t>Longest Increasing Subsequence</t>
        </is>
      </c>
      <c r="G240" s="2" t="inlineStr">
        <is>
          <t>ISHYNF08</t>
        </is>
      </c>
      <c r="H240" s="2" t="inlineStr"/>
      <c r="I240" s="2" t="inlineStr">
        <is>
          <t>Hard</t>
        </is>
      </c>
      <c r="J240" s="3">
        <f>HYPERLINK("https://www.codechef.com/problems/ISHYNF08", "https://www.codechef.com/problems/ISHYNF08")</f>
        <v/>
      </c>
      <c r="K240" s="2" t="inlineStr"/>
      <c r="L240" s="2" t="inlineStr"/>
      <c r="M240" s="2" t="inlineStr"/>
      <c r="N240" s="2" t="inlineStr">
        <is>
          <t>No</t>
        </is>
      </c>
      <c r="O240" s="2" t="inlineStr">
        <is>
          <t>Unattempted</t>
        </is>
      </c>
    </row>
    <row r="241">
      <c r="A241" s="4" t="inlineStr">
        <is>
          <t>Company Based Questions</t>
        </is>
      </c>
      <c r="B241" s="4" t="inlineStr">
        <is>
          <t>Deloitte NLA Questions</t>
        </is>
      </c>
      <c r="C241" s="4" t="inlineStr">
        <is>
          <t>Prepare for Deloitte NLA with previous years questions. Solve the coding, numerical ability, reasoning ability, verbal ability and quant questions which were asked in the past.</t>
        </is>
      </c>
      <c r="D241" s="4" t="inlineStr">
        <is>
          <t>Coding Problems - Past Years Coding Problems</t>
        </is>
      </c>
      <c r="E241" s="4" t="n">
        <v>19</v>
      </c>
      <c r="F241" s="4" t="inlineStr">
        <is>
          <t>Subarray Sum with One Deletion</t>
        </is>
      </c>
      <c r="G241" s="4" t="inlineStr">
        <is>
          <t>ISHYNF09</t>
        </is>
      </c>
      <c r="H241" s="4" t="inlineStr"/>
      <c r="I241" s="4" t="inlineStr">
        <is>
          <t>Hard</t>
        </is>
      </c>
      <c r="J241" s="5">
        <f>HYPERLINK("https://www.codechef.com/problems/ISHYNF09", "https://www.codechef.com/problems/ISHYNF09")</f>
        <v/>
      </c>
      <c r="K241" s="4" t="inlineStr"/>
      <c r="L241" s="4" t="inlineStr"/>
      <c r="M241" s="4" t="inlineStr"/>
      <c r="N241" s="4" t="inlineStr">
        <is>
          <t>No</t>
        </is>
      </c>
      <c r="O241" s="4" t="inlineStr">
        <is>
          <t>Unattempted</t>
        </is>
      </c>
    </row>
    <row r="242">
      <c r="A242" s="2" t="inlineStr">
        <is>
          <t>Company Based Questions</t>
        </is>
      </c>
      <c r="B242" s="2" t="inlineStr">
        <is>
          <t>Deloitte NLA Questions</t>
        </is>
      </c>
      <c r="C242" s="2" t="inlineStr">
        <is>
          <t>Prepare for Deloitte NLA with previous years questions. Solve the coding, numerical ability, reasoning ability, verbal ability and quant questions which were asked in the past.</t>
        </is>
      </c>
      <c r="D242" s="2" t="inlineStr">
        <is>
          <t>Coding Problems - Past Years Coding Problems</t>
        </is>
      </c>
      <c r="E242" s="2" t="n">
        <v>20</v>
      </c>
      <c r="F242" s="2" t="inlineStr">
        <is>
          <t>Reverse a Linked List</t>
        </is>
      </c>
      <c r="G242" s="2" t="inlineStr">
        <is>
          <t>RTLL</t>
        </is>
      </c>
      <c r="H242" s="2" t="inlineStr">
        <is>
          <t>1400</t>
        </is>
      </c>
      <c r="I242" s="2" t="inlineStr">
        <is>
          <t>Medium</t>
        </is>
      </c>
      <c r="J242" s="3">
        <f>HYPERLINK("https://www.codechef.com/problems/RTLL", "https://www.codechef.com/problems/RTLL")</f>
        <v/>
      </c>
      <c r="K242" s="2" t="inlineStr"/>
      <c r="L242" s="2" t="inlineStr"/>
      <c r="M242" s="2" t="inlineStr"/>
      <c r="N242" s="2" t="inlineStr">
        <is>
          <t>No</t>
        </is>
      </c>
      <c r="O242" s="2" t="inlineStr">
        <is>
          <t>Unattempted</t>
        </is>
      </c>
    </row>
    <row r="243">
      <c r="A243" s="4" t="inlineStr">
        <is>
          <t>Company Based Questions</t>
        </is>
      </c>
      <c r="B243" s="4" t="inlineStr">
        <is>
          <t>Deloitte NLA Questions</t>
        </is>
      </c>
      <c r="C243" s="4" t="inlineStr">
        <is>
          <t>Prepare for Deloitte NLA with previous years questions. Solve the coding, numerical ability, reasoning ability, verbal ability and quant questions which were asked in the past.</t>
        </is>
      </c>
      <c r="D243" s="4" t="inlineStr">
        <is>
          <t>Coding Problems - Past Years Coding Problems</t>
        </is>
      </c>
      <c r="E243" s="4" t="n">
        <v>21</v>
      </c>
      <c r="F243" s="4" t="inlineStr">
        <is>
          <t>Prime Check</t>
        </is>
      </c>
      <c r="G243" s="4" t="inlineStr">
        <is>
          <t>CASS34</t>
        </is>
      </c>
      <c r="H243" s="4" t="inlineStr"/>
      <c r="I243" s="4" t="inlineStr">
        <is>
          <t>Easy</t>
        </is>
      </c>
      <c r="J243" s="5">
        <f>HYPERLINK("https://www.codechef.com/problems/CASS34", "https://www.codechef.com/problems/CASS34")</f>
        <v/>
      </c>
      <c r="K243" s="4" t="inlineStr"/>
      <c r="L243" s="4" t="inlineStr"/>
      <c r="M243" s="4" t="inlineStr"/>
      <c r="N243" s="4" t="inlineStr">
        <is>
          <t>No</t>
        </is>
      </c>
      <c r="O243" s="4" t="inlineStr">
        <is>
          <t>Unattempted</t>
        </is>
      </c>
    </row>
    <row r="244">
      <c r="A244" s="2" t="inlineStr">
        <is>
          <t>Company Based Questions</t>
        </is>
      </c>
      <c r="B244" s="2" t="inlineStr">
        <is>
          <t>Deloitte NLA Questions</t>
        </is>
      </c>
      <c r="C244" s="2" t="inlineStr">
        <is>
          <t>Prepare for Deloitte NLA with previous years questions. Solve the coding, numerical ability, reasoning ability, verbal ability and quant questions which were asked in the past.</t>
        </is>
      </c>
      <c r="D244" s="2" t="inlineStr">
        <is>
          <t>Coding Problems - Past Years Coding Problems</t>
        </is>
      </c>
      <c r="E244" s="2" t="n">
        <v>22</v>
      </c>
      <c r="F244" s="2" t="inlineStr">
        <is>
          <t>Lazy Strings</t>
        </is>
      </c>
      <c r="G244" s="2" t="inlineStr">
        <is>
          <t>ISHYNF19</t>
        </is>
      </c>
      <c r="H244" s="2" t="inlineStr"/>
      <c r="I244" s="2" t="inlineStr">
        <is>
          <t>Hard</t>
        </is>
      </c>
      <c r="J244" s="3">
        <f>HYPERLINK("https://www.codechef.com/problems/ISHYNF19", "https://www.codechef.com/problems/ISHYNF19")</f>
        <v/>
      </c>
      <c r="K244" s="2" t="inlineStr"/>
      <c r="L244" s="2" t="inlineStr"/>
      <c r="M244" s="2" t="inlineStr"/>
      <c r="N244" s="2" t="inlineStr">
        <is>
          <t>No</t>
        </is>
      </c>
      <c r="O244" s="2" t="inlineStr">
        <is>
          <t>Unattempted</t>
        </is>
      </c>
    </row>
    <row r="245">
      <c r="A245" s="4" t="inlineStr">
        <is>
          <t>Company Based Questions</t>
        </is>
      </c>
      <c r="B245" s="4" t="inlineStr">
        <is>
          <t>Deloitte NLA Questions</t>
        </is>
      </c>
      <c r="C245" s="4" t="inlineStr">
        <is>
          <t>Prepare for Deloitte NLA with previous years questions. Solve the coding, numerical ability, reasoning ability, verbal ability and quant questions which were asked in the past.</t>
        </is>
      </c>
      <c r="D245" s="4" t="inlineStr">
        <is>
          <t>Coding Problems - Past Years Coding Problems</t>
        </is>
      </c>
      <c r="E245" s="4" t="n">
        <v>23</v>
      </c>
      <c r="F245" s="4" t="inlineStr">
        <is>
          <t>Unique Permutations</t>
        </is>
      </c>
      <c r="G245" s="4" t="inlineStr">
        <is>
          <t>ISHYNF20</t>
        </is>
      </c>
      <c r="H245" s="4" t="inlineStr"/>
      <c r="I245" s="4" t="inlineStr">
        <is>
          <t>Hard</t>
        </is>
      </c>
      <c r="J245" s="5">
        <f>HYPERLINK("https://www.codechef.com/problems/ISHYNF20", "https://www.codechef.com/problems/ISHYNF20")</f>
        <v/>
      </c>
      <c r="K245" s="4" t="inlineStr"/>
      <c r="L245" s="4" t="inlineStr"/>
      <c r="M245" s="4" t="inlineStr"/>
      <c r="N245" s="4" t="inlineStr">
        <is>
          <t>No</t>
        </is>
      </c>
      <c r="O245" s="4" t="inlineStr">
        <is>
          <t>Unattempted</t>
        </is>
      </c>
    </row>
    <row r="246">
      <c r="A246" s="2" t="inlineStr">
        <is>
          <t>Company Based Questions</t>
        </is>
      </c>
      <c r="B246" s="2" t="inlineStr">
        <is>
          <t>Deloitte NLA Questions</t>
        </is>
      </c>
      <c r="C246" s="2" t="inlineStr">
        <is>
          <t>Prepare for Deloitte NLA with previous years questions. Solve the coding, numerical ability, reasoning ability, verbal ability and quant questions which were asked in the past.</t>
        </is>
      </c>
      <c r="D246" s="2" t="inlineStr">
        <is>
          <t>Coding Problems - Past Years Coding Problems</t>
        </is>
      </c>
      <c r="E246" s="2" t="n">
        <v>24</v>
      </c>
      <c r="F246" s="2" t="inlineStr">
        <is>
          <t>Counting Inversions</t>
        </is>
      </c>
      <c r="G246" s="2" t="inlineStr">
        <is>
          <t>ISHYNF07</t>
        </is>
      </c>
      <c r="H246" s="2" t="inlineStr"/>
      <c r="I246" s="2" t="inlineStr">
        <is>
          <t>Hard</t>
        </is>
      </c>
      <c r="J246" s="3">
        <f>HYPERLINK("https://www.codechef.com/problems/ISHYNF07", "https://www.codechef.com/problems/ISHYNF07")</f>
        <v/>
      </c>
      <c r="K246" s="2" t="inlineStr"/>
      <c r="L246" s="2" t="inlineStr"/>
      <c r="M246" s="2" t="inlineStr"/>
      <c r="N246" s="2" t="inlineStr">
        <is>
          <t>No</t>
        </is>
      </c>
      <c r="O246" s="2" t="inlineStr">
        <is>
          <t>Unattempted</t>
        </is>
      </c>
    </row>
    <row r="247">
      <c r="A247" s="4" t="inlineStr">
        <is>
          <t>Company Based Questions</t>
        </is>
      </c>
      <c r="B247" s="4" t="inlineStr">
        <is>
          <t>Deloitte NLA Questions</t>
        </is>
      </c>
      <c r="C247" s="4" t="inlineStr">
        <is>
          <t>Prepare for Deloitte NLA with previous years questions. Solve the coding, numerical ability, reasoning ability, verbal ability and quant questions which were asked in the past.</t>
        </is>
      </c>
      <c r="D247" s="4" t="inlineStr">
        <is>
          <t>Numerical Ability Problems - Past Years Numerical Ability Problems</t>
        </is>
      </c>
      <c r="E247" s="4" t="n">
        <v>25</v>
      </c>
      <c r="F247" s="4" t="inlineStr">
        <is>
          <t>Speed, Time and Distance - I</t>
        </is>
      </c>
      <c r="G247" s="4" t="inlineStr">
        <is>
          <t>AAKCGL01</t>
        </is>
      </c>
      <c r="H247" s="4" t="inlineStr"/>
      <c r="I247" s="4" t="inlineStr">
        <is>
          <t>Medium</t>
        </is>
      </c>
      <c r="J247" s="5">
        <f>HYPERLINK("https://www.codechef.com/problems/AAKCGL01", "https://www.codechef.com/problems/AAKCGL01")</f>
        <v/>
      </c>
      <c r="K247" s="4" t="inlineStr"/>
      <c r="L247" s="4" t="inlineStr"/>
      <c r="M247" s="4" t="inlineStr"/>
      <c r="N247" s="4" t="inlineStr">
        <is>
          <t>No</t>
        </is>
      </c>
      <c r="O247" s="4" t="inlineStr">
        <is>
          <t>Unattempted</t>
        </is>
      </c>
    </row>
    <row r="248">
      <c r="A248" s="2" t="inlineStr">
        <is>
          <t>Company Based Questions</t>
        </is>
      </c>
      <c r="B248" s="2" t="inlineStr">
        <is>
          <t>Deloitte NLA Questions</t>
        </is>
      </c>
      <c r="C248" s="2" t="inlineStr">
        <is>
          <t>Prepare for Deloitte NLA with previous years questions. Solve the coding, numerical ability, reasoning ability, verbal ability and quant questions which were asked in the past.</t>
        </is>
      </c>
      <c r="D248" s="2" t="inlineStr">
        <is>
          <t>Numerical Ability Problems - Past Years Numerical Ability Problems</t>
        </is>
      </c>
      <c r="E248" s="2" t="n">
        <v>26</v>
      </c>
      <c r="F248" s="2" t="inlineStr">
        <is>
          <t>Speed, Time and Distance - II</t>
        </is>
      </c>
      <c r="G248" s="2" t="inlineStr">
        <is>
          <t>AAKCGL02</t>
        </is>
      </c>
      <c r="H248" s="2" t="inlineStr"/>
      <c r="I248" s="2" t="inlineStr">
        <is>
          <t>Medium</t>
        </is>
      </c>
      <c r="J248" s="3">
        <f>HYPERLINK("https://www.codechef.com/problems/AAKCGL02", "https://www.codechef.com/problems/AAKCGL02")</f>
        <v/>
      </c>
      <c r="K248" s="2" t="inlineStr"/>
      <c r="L248" s="2" t="inlineStr"/>
      <c r="M248" s="2" t="inlineStr"/>
      <c r="N248" s="2" t="inlineStr">
        <is>
          <t>No</t>
        </is>
      </c>
      <c r="O248" s="2" t="inlineStr">
        <is>
          <t>Unattempted</t>
        </is>
      </c>
    </row>
    <row r="249">
      <c r="A249" s="4" t="inlineStr">
        <is>
          <t>Company Based Questions</t>
        </is>
      </c>
      <c r="B249" s="4" t="inlineStr">
        <is>
          <t>Deloitte NLA Questions</t>
        </is>
      </c>
      <c r="C249" s="4" t="inlineStr">
        <is>
          <t>Prepare for Deloitte NLA with previous years questions. Solve the coding, numerical ability, reasoning ability, verbal ability and quant questions which were asked in the past.</t>
        </is>
      </c>
      <c r="D249" s="4" t="inlineStr">
        <is>
          <t>Numerical Ability Problems - Past Years Numerical Ability Problems</t>
        </is>
      </c>
      <c r="E249" s="4" t="n">
        <v>27</v>
      </c>
      <c r="F249" s="4" t="inlineStr">
        <is>
          <t>Pipe and Cistern</t>
        </is>
      </c>
      <c r="G249" s="4" t="inlineStr">
        <is>
          <t>AAKCGL03</t>
        </is>
      </c>
      <c r="H249" s="4" t="inlineStr"/>
      <c r="I249" s="4" t="inlineStr">
        <is>
          <t>Medium</t>
        </is>
      </c>
      <c r="J249" s="5">
        <f>HYPERLINK("https://www.codechef.com/problems/AAKCGL03", "https://www.codechef.com/problems/AAKCGL03")</f>
        <v/>
      </c>
      <c r="K249" s="4" t="inlineStr"/>
      <c r="L249" s="4" t="inlineStr"/>
      <c r="M249" s="4" t="inlineStr"/>
      <c r="N249" s="4" t="inlineStr">
        <is>
          <t>No</t>
        </is>
      </c>
      <c r="O249" s="4" t="inlineStr">
        <is>
          <t>Unattempted</t>
        </is>
      </c>
    </row>
    <row r="250">
      <c r="A250" s="2" t="inlineStr">
        <is>
          <t>Company Based Questions</t>
        </is>
      </c>
      <c r="B250" s="2" t="inlineStr">
        <is>
          <t>Deloitte NLA Questions</t>
        </is>
      </c>
      <c r="C250" s="2" t="inlineStr">
        <is>
          <t>Prepare for Deloitte NLA with previous years questions. Solve the coding, numerical ability, reasoning ability, verbal ability and quant questions which were asked in the past.</t>
        </is>
      </c>
      <c r="D250" s="2" t="inlineStr">
        <is>
          <t>Numerical Ability Problems - Past Years Numerical Ability Problems</t>
        </is>
      </c>
      <c r="E250" s="2" t="n">
        <v>28</v>
      </c>
      <c r="F250" s="2" t="inlineStr">
        <is>
          <t>Ratio and Proportion</t>
        </is>
      </c>
      <c r="G250" s="2" t="inlineStr">
        <is>
          <t>AAKCGL04</t>
        </is>
      </c>
      <c r="H250" s="2" t="inlineStr"/>
      <c r="I250" s="2" t="inlineStr">
        <is>
          <t>Easy</t>
        </is>
      </c>
      <c r="J250" s="3">
        <f>HYPERLINK("https://www.codechef.com/problems/AAKCGL04", "https://www.codechef.com/problems/AAKCGL04")</f>
        <v/>
      </c>
      <c r="K250" s="2" t="inlineStr"/>
      <c r="L250" s="2" t="inlineStr"/>
      <c r="M250" s="2" t="inlineStr"/>
      <c r="N250" s="2" t="inlineStr">
        <is>
          <t>No</t>
        </is>
      </c>
      <c r="O250" s="2" t="inlineStr">
        <is>
          <t>Unattempted</t>
        </is>
      </c>
    </row>
    <row r="251">
      <c r="A251" s="4" t="inlineStr">
        <is>
          <t>Company Based Questions</t>
        </is>
      </c>
      <c r="B251" s="4" t="inlineStr">
        <is>
          <t>Deloitte NLA Questions</t>
        </is>
      </c>
      <c r="C251" s="4" t="inlineStr">
        <is>
          <t>Prepare for Deloitte NLA with previous years questions. Solve the coding, numerical ability, reasoning ability, verbal ability and quant questions which were asked in the past.</t>
        </is>
      </c>
      <c r="D251" s="4" t="inlineStr">
        <is>
          <t>Numerical Ability Problems - Past Years Numerical Ability Problems</t>
        </is>
      </c>
      <c r="E251" s="4" t="n">
        <v>29</v>
      </c>
      <c r="F251" s="4" t="inlineStr">
        <is>
          <t>Time and Work</t>
        </is>
      </c>
      <c r="G251" s="4" t="inlineStr">
        <is>
          <t>AAKCGL05</t>
        </is>
      </c>
      <c r="H251" s="4" t="inlineStr"/>
      <c r="I251" s="4" t="inlineStr">
        <is>
          <t>Medium</t>
        </is>
      </c>
      <c r="J251" s="5">
        <f>HYPERLINK("https://www.codechef.com/problems/AAKCGL05", "https://www.codechef.com/problems/AAKCGL05")</f>
        <v/>
      </c>
      <c r="K251" s="4" t="inlineStr"/>
      <c r="L251" s="4" t="inlineStr"/>
      <c r="M251" s="4" t="inlineStr"/>
      <c r="N251" s="4" t="inlineStr">
        <is>
          <t>No</t>
        </is>
      </c>
      <c r="O251" s="4" t="inlineStr">
        <is>
          <t>Unattempted</t>
        </is>
      </c>
    </row>
    <row r="252">
      <c r="A252" s="2" t="inlineStr">
        <is>
          <t>Company Based Questions</t>
        </is>
      </c>
      <c r="B252" s="2" t="inlineStr">
        <is>
          <t>Deloitte NLA Questions</t>
        </is>
      </c>
      <c r="C252" s="2" t="inlineStr">
        <is>
          <t>Prepare for Deloitte NLA with previous years questions. Solve the coding, numerical ability, reasoning ability, verbal ability and quant questions which were asked in the past.</t>
        </is>
      </c>
      <c r="D252" s="2" t="inlineStr">
        <is>
          <t>Numerical Ability Problems - Past Years Numerical Ability Problems</t>
        </is>
      </c>
      <c r="E252" s="2" t="n">
        <v>30</v>
      </c>
      <c r="F252" s="2" t="inlineStr">
        <is>
          <t>Percentage</t>
        </is>
      </c>
      <c r="G252" s="2" t="inlineStr">
        <is>
          <t>AAKCGL06</t>
        </is>
      </c>
      <c r="H252" s="2" t="inlineStr"/>
      <c r="I252" s="2" t="inlineStr">
        <is>
          <t>Medium</t>
        </is>
      </c>
      <c r="J252" s="3">
        <f>HYPERLINK("https://www.codechef.com/problems/AAKCGL06", "https://www.codechef.com/problems/AAKCGL06")</f>
        <v/>
      </c>
      <c r="K252" s="2" t="inlineStr"/>
      <c r="L252" s="2" t="inlineStr"/>
      <c r="M252" s="2" t="inlineStr"/>
      <c r="N252" s="2" t="inlineStr">
        <is>
          <t>No</t>
        </is>
      </c>
      <c r="O252" s="2" t="inlineStr">
        <is>
          <t>Unattempted</t>
        </is>
      </c>
    </row>
    <row r="253">
      <c r="A253" s="4" t="inlineStr">
        <is>
          <t>Company Based Questions</t>
        </is>
      </c>
      <c r="B253" s="4" t="inlineStr">
        <is>
          <t>Deloitte NLA Questions</t>
        </is>
      </c>
      <c r="C253" s="4" t="inlineStr">
        <is>
          <t>Prepare for Deloitte NLA with previous years questions. Solve the coding, numerical ability, reasoning ability, verbal ability and quant questions which were asked in the past.</t>
        </is>
      </c>
      <c r="D253" s="4" t="inlineStr">
        <is>
          <t>Numerical Ability Problems - Past Years Numerical Ability Problems</t>
        </is>
      </c>
      <c r="E253" s="4" t="n">
        <v>31</v>
      </c>
      <c r="F253" s="4" t="inlineStr">
        <is>
          <t>Compound Interest Installment</t>
        </is>
      </c>
      <c r="G253" s="4" t="inlineStr">
        <is>
          <t>AAKCGL07</t>
        </is>
      </c>
      <c r="H253" s="4" t="inlineStr"/>
      <c r="I253" s="4" t="inlineStr">
        <is>
          <t>Medium</t>
        </is>
      </c>
      <c r="J253" s="5">
        <f>HYPERLINK("https://www.codechef.com/problems/AAKCGL07", "https://www.codechef.com/problems/AAKCGL07")</f>
        <v/>
      </c>
      <c r="K253" s="4" t="inlineStr"/>
      <c r="L253" s="4" t="inlineStr"/>
      <c r="M253" s="4" t="inlineStr"/>
      <c r="N253" s="4" t="inlineStr">
        <is>
          <t>No</t>
        </is>
      </c>
      <c r="O253" s="4" t="inlineStr">
        <is>
          <t>Unattempted</t>
        </is>
      </c>
    </row>
    <row r="254">
      <c r="A254" s="2" t="inlineStr">
        <is>
          <t>Company Based Questions</t>
        </is>
      </c>
      <c r="B254" s="2" t="inlineStr">
        <is>
          <t>Deloitte NLA Questions</t>
        </is>
      </c>
      <c r="C254" s="2" t="inlineStr">
        <is>
          <t>Prepare for Deloitte NLA with previous years questions. Solve the coding, numerical ability, reasoning ability, verbal ability and quant questions which were asked in the past.</t>
        </is>
      </c>
      <c r="D254" s="2" t="inlineStr">
        <is>
          <t>Numerical Ability Problems - Past Years Numerical Ability Problems</t>
        </is>
      </c>
      <c r="E254" s="2" t="n">
        <v>32</v>
      </c>
      <c r="F254" s="2" t="inlineStr">
        <is>
          <t>Mixture and Allegation</t>
        </is>
      </c>
      <c r="G254" s="2" t="inlineStr">
        <is>
          <t>AAKCGL08</t>
        </is>
      </c>
      <c r="H254" s="2" t="inlineStr"/>
      <c r="I254" s="2" t="inlineStr">
        <is>
          <t>Medium</t>
        </is>
      </c>
      <c r="J254" s="3">
        <f>HYPERLINK("https://www.codechef.com/problems/AAKCGL08", "https://www.codechef.com/problems/AAKCGL08")</f>
        <v/>
      </c>
      <c r="K254" s="2" t="inlineStr"/>
      <c r="L254" s="2" t="inlineStr"/>
      <c r="M254" s="2" t="inlineStr"/>
      <c r="N254" s="2" t="inlineStr">
        <is>
          <t>No</t>
        </is>
      </c>
      <c r="O254" s="2" t="inlineStr">
        <is>
          <t>Unattempted</t>
        </is>
      </c>
    </row>
    <row r="255">
      <c r="A255" s="4" t="inlineStr">
        <is>
          <t>Company Based Questions</t>
        </is>
      </c>
      <c r="B255" s="4" t="inlineStr">
        <is>
          <t>Deloitte NLA Questions</t>
        </is>
      </c>
      <c r="C255" s="4" t="inlineStr">
        <is>
          <t>Prepare for Deloitte NLA with previous years questions. Solve the coding, numerical ability, reasoning ability, verbal ability and quant questions which were asked in the past.</t>
        </is>
      </c>
      <c r="D255" s="4" t="inlineStr">
        <is>
          <t>Numerical Ability Problems - Past Years Numerical Ability Problems</t>
        </is>
      </c>
      <c r="E255" s="4" t="n">
        <v>33</v>
      </c>
      <c r="F255" s="4" t="inlineStr">
        <is>
          <t>Inscribed Square in a Circle</t>
        </is>
      </c>
      <c r="G255" s="4" t="inlineStr">
        <is>
          <t>AAKCGL09</t>
        </is>
      </c>
      <c r="H255" s="4" t="inlineStr"/>
      <c r="I255" s="4" t="inlineStr">
        <is>
          <t>Medium</t>
        </is>
      </c>
      <c r="J255" s="5">
        <f>HYPERLINK("https://www.codechef.com/problems/AAKCGL09", "https://www.codechef.com/problems/AAKCGL09")</f>
        <v/>
      </c>
      <c r="K255" s="4" t="inlineStr"/>
      <c r="L255" s="4" t="inlineStr"/>
      <c r="M255" s="4" t="inlineStr"/>
      <c r="N255" s="4" t="inlineStr">
        <is>
          <t>No</t>
        </is>
      </c>
      <c r="O255" s="4" t="inlineStr">
        <is>
          <t>Unattempted</t>
        </is>
      </c>
    </row>
    <row r="256">
      <c r="A256" s="2" t="inlineStr">
        <is>
          <t>Company Based Questions</t>
        </is>
      </c>
      <c r="B256" s="2" t="inlineStr">
        <is>
          <t>Deloitte NLA Questions</t>
        </is>
      </c>
      <c r="C256" s="2" t="inlineStr">
        <is>
          <t>Prepare for Deloitte NLA with previous years questions. Solve the coding, numerical ability, reasoning ability, verbal ability and quant questions which were asked in the past.</t>
        </is>
      </c>
      <c r="D256" s="2" t="inlineStr">
        <is>
          <t>Numerical Ability Problems - Past Years Numerical Ability Problems</t>
        </is>
      </c>
      <c r="E256" s="2" t="n">
        <v>34</v>
      </c>
      <c r="F256" s="2" t="inlineStr">
        <is>
          <t>HCF of Quadratic Equations</t>
        </is>
      </c>
      <c r="G256" s="2" t="inlineStr">
        <is>
          <t>AAKCGL10</t>
        </is>
      </c>
      <c r="H256" s="2" t="inlineStr"/>
      <c r="I256" s="2" t="inlineStr">
        <is>
          <t>Medium</t>
        </is>
      </c>
      <c r="J256" s="3">
        <f>HYPERLINK("https://www.codechef.com/problems/AAKCGL10", "https://www.codechef.com/problems/AAKCGL10")</f>
        <v/>
      </c>
      <c r="K256" s="2" t="inlineStr"/>
      <c r="L256" s="2" t="inlineStr"/>
      <c r="M256" s="2" t="inlineStr"/>
      <c r="N256" s="2" t="inlineStr">
        <is>
          <t>No</t>
        </is>
      </c>
      <c r="O256" s="2" t="inlineStr">
        <is>
          <t>Unattempted</t>
        </is>
      </c>
    </row>
    <row r="257">
      <c r="A257" s="4" t="inlineStr">
        <is>
          <t>Company Based Questions</t>
        </is>
      </c>
      <c r="B257" s="4" t="inlineStr">
        <is>
          <t>Deloitte NLA Questions</t>
        </is>
      </c>
      <c r="C257" s="4" t="inlineStr">
        <is>
          <t>Prepare for Deloitte NLA with previous years questions. Solve the coding, numerical ability, reasoning ability, verbal ability and quant questions which were asked in the past.</t>
        </is>
      </c>
      <c r="D257" s="4" t="inlineStr">
        <is>
          <t>Reasoning Ability Problems - Past Years Reasoning Ability Problems</t>
        </is>
      </c>
      <c r="E257" s="4" t="n">
        <v>35</v>
      </c>
      <c r="F257" s="4" t="inlineStr">
        <is>
          <t>Unchanged Digits After Rearrangement</t>
        </is>
      </c>
      <c r="G257" s="4" t="inlineStr">
        <is>
          <t>CJACIF01</t>
        </is>
      </c>
      <c r="H257" s="4" t="inlineStr"/>
      <c r="I257" s="4" t="inlineStr">
        <is>
          <t>Easy</t>
        </is>
      </c>
      <c r="J257" s="5">
        <f>HYPERLINK("https://www.codechef.com/problems/CJACIF01", "https://www.codechef.com/problems/CJACIF01")</f>
        <v/>
      </c>
      <c r="K257" s="4" t="inlineStr"/>
      <c r="L257" s="4" t="inlineStr"/>
      <c r="M257" s="4" t="inlineStr"/>
      <c r="N257" s="4" t="inlineStr">
        <is>
          <t>No</t>
        </is>
      </c>
      <c r="O257" s="4" t="inlineStr">
        <is>
          <t>Unattempted</t>
        </is>
      </c>
    </row>
    <row r="258">
      <c r="A258" s="2" t="inlineStr">
        <is>
          <t>Company Based Questions</t>
        </is>
      </c>
      <c r="B258" s="2" t="inlineStr">
        <is>
          <t>Deloitte NLA Questions</t>
        </is>
      </c>
      <c r="C258" s="2" t="inlineStr">
        <is>
          <t>Prepare for Deloitte NLA with previous years questions. Solve the coding, numerical ability, reasoning ability, verbal ability and quant questions which were asked in the past.</t>
        </is>
      </c>
      <c r="D258" s="2" t="inlineStr">
        <is>
          <t>Reasoning Ability Problems - Past Years Reasoning Ability Problems</t>
        </is>
      </c>
      <c r="E258" s="2" t="n">
        <v>36</v>
      </c>
      <c r="F258" s="2" t="inlineStr">
        <is>
          <t>Distance from the Starting Point</t>
        </is>
      </c>
      <c r="G258" s="2" t="inlineStr">
        <is>
          <t>CJACIF02</t>
        </is>
      </c>
      <c r="H258" s="2" t="inlineStr"/>
      <c r="I258" s="2" t="inlineStr">
        <is>
          <t>Easy</t>
        </is>
      </c>
      <c r="J258" s="3">
        <f>HYPERLINK("https://www.codechef.com/problems/CJACIF02", "https://www.codechef.com/problems/CJACIF02")</f>
        <v/>
      </c>
      <c r="K258" s="2" t="inlineStr"/>
      <c r="L258" s="2" t="inlineStr"/>
      <c r="M258" s="2" t="inlineStr"/>
      <c r="N258" s="2" t="inlineStr">
        <is>
          <t>No</t>
        </is>
      </c>
      <c r="O258" s="2" t="inlineStr">
        <is>
          <t>Unattempted</t>
        </is>
      </c>
    </row>
    <row r="259">
      <c r="A259" s="4" t="inlineStr">
        <is>
          <t>Company Based Questions</t>
        </is>
      </c>
      <c r="B259" s="4" t="inlineStr">
        <is>
          <t>Deloitte NLA Questions</t>
        </is>
      </c>
      <c r="C259" s="4" t="inlineStr">
        <is>
          <t>Prepare for Deloitte NLA with previous years questions. Solve the coding, numerical ability, reasoning ability, verbal ability and quant questions which were asked in the past.</t>
        </is>
      </c>
      <c r="D259" s="4" t="inlineStr">
        <is>
          <t>Reasoning Ability Problems - Past Years Reasoning Ability Problems</t>
        </is>
      </c>
      <c r="E259" s="4" t="n">
        <v>37</v>
      </c>
      <c r="F259" s="4" t="inlineStr">
        <is>
          <t>Find the Odd One Out</t>
        </is>
      </c>
      <c r="G259" s="4" t="inlineStr">
        <is>
          <t>CJACIF04</t>
        </is>
      </c>
      <c r="H259" s="4" t="inlineStr"/>
      <c r="I259" s="4" t="inlineStr">
        <is>
          <t>Easy</t>
        </is>
      </c>
      <c r="J259" s="5">
        <f>HYPERLINK("https://www.codechef.com/problems/CJACIF04", "https://www.codechef.com/problems/CJACIF04")</f>
        <v/>
      </c>
      <c r="K259" s="4" t="inlineStr"/>
      <c r="L259" s="4" t="inlineStr"/>
      <c r="M259" s="4" t="inlineStr"/>
      <c r="N259" s="4" t="inlineStr">
        <is>
          <t>No</t>
        </is>
      </c>
      <c r="O259" s="4" t="inlineStr">
        <is>
          <t>Unattempted</t>
        </is>
      </c>
    </row>
    <row r="260">
      <c r="A260" s="2" t="inlineStr">
        <is>
          <t>Company Based Questions</t>
        </is>
      </c>
      <c r="B260" s="2" t="inlineStr">
        <is>
          <t>Deloitte NLA Questions</t>
        </is>
      </c>
      <c r="C260" s="2" t="inlineStr">
        <is>
          <t>Prepare for Deloitte NLA with previous years questions. Solve the coding, numerical ability, reasoning ability, verbal ability and quant questions which were asked in the past.</t>
        </is>
      </c>
      <c r="D260" s="2" t="inlineStr">
        <is>
          <t>Reasoning Ability Problems - Past Years Reasoning Ability Problems</t>
        </is>
      </c>
      <c r="E260" s="2" t="n">
        <v>38</v>
      </c>
      <c r="F260" s="2" t="inlineStr">
        <is>
          <t>Digit Swap</t>
        </is>
      </c>
      <c r="G260" s="2" t="inlineStr">
        <is>
          <t>CJACIF05</t>
        </is>
      </c>
      <c r="H260" s="2" t="inlineStr"/>
      <c r="I260" s="2" t="inlineStr">
        <is>
          <t>Easy</t>
        </is>
      </c>
      <c r="J260" s="3">
        <f>HYPERLINK("https://www.codechef.com/problems/CJACIF05", "https://www.codechef.com/problems/CJACIF05")</f>
        <v/>
      </c>
      <c r="K260" s="2" t="inlineStr"/>
      <c r="L260" s="2" t="inlineStr"/>
      <c r="M260" s="2" t="inlineStr"/>
      <c r="N260" s="2" t="inlineStr">
        <is>
          <t>No</t>
        </is>
      </c>
      <c r="O260" s="2" t="inlineStr">
        <is>
          <t>Unattempted</t>
        </is>
      </c>
    </row>
    <row r="261">
      <c r="A261" s="4" t="inlineStr">
        <is>
          <t>Company Based Questions</t>
        </is>
      </c>
      <c r="B261" s="4" t="inlineStr">
        <is>
          <t>Deloitte NLA Questions</t>
        </is>
      </c>
      <c r="C261" s="4" t="inlineStr">
        <is>
          <t>Prepare for Deloitte NLA with previous years questions. Solve the coding, numerical ability, reasoning ability, verbal ability and quant questions which were asked in the past.</t>
        </is>
      </c>
      <c r="D261" s="4" t="inlineStr">
        <is>
          <t>Reasoning Ability Problems - Past Years Reasoning Ability Problems</t>
        </is>
      </c>
      <c r="E261" s="4" t="n">
        <v>39</v>
      </c>
      <c r="F261" s="4" t="inlineStr">
        <is>
          <t>Next Term in Letter Series</t>
        </is>
      </c>
      <c r="G261" s="4" t="inlineStr">
        <is>
          <t>CJACIF06</t>
        </is>
      </c>
      <c r="H261" s="4" t="inlineStr"/>
      <c r="I261" s="4" t="inlineStr">
        <is>
          <t>Easy</t>
        </is>
      </c>
      <c r="J261" s="5">
        <f>HYPERLINK("https://www.codechef.com/problems/CJACIF06", "https://www.codechef.com/problems/CJACIF06")</f>
        <v/>
      </c>
      <c r="K261" s="4" t="inlineStr"/>
      <c r="L261" s="4" t="inlineStr"/>
      <c r="M261" s="4" t="inlineStr"/>
      <c r="N261" s="4" t="inlineStr">
        <is>
          <t>No</t>
        </is>
      </c>
      <c r="O261" s="4" t="inlineStr">
        <is>
          <t>Unattempted</t>
        </is>
      </c>
    </row>
    <row r="262">
      <c r="A262" s="2" t="inlineStr">
        <is>
          <t>Company Based Questions</t>
        </is>
      </c>
      <c r="B262" s="2" t="inlineStr">
        <is>
          <t>Deloitte NLA Questions</t>
        </is>
      </c>
      <c r="C262" s="2" t="inlineStr">
        <is>
          <t>Prepare for Deloitte NLA with previous years questions. Solve the coding, numerical ability, reasoning ability, verbal ability and quant questions which were asked in the past.</t>
        </is>
      </c>
      <c r="D262" s="2" t="inlineStr">
        <is>
          <t>Reasoning Ability Problems - Past Years Reasoning Ability Problems</t>
        </is>
      </c>
      <c r="E262" s="2" t="n">
        <v>40</v>
      </c>
      <c r="F262" s="2" t="inlineStr">
        <is>
          <t>Guessing Birthday</t>
        </is>
      </c>
      <c r="G262" s="2" t="inlineStr">
        <is>
          <t>CJACIF07</t>
        </is>
      </c>
      <c r="H262" s="2" t="inlineStr"/>
      <c r="I262" s="2" t="inlineStr">
        <is>
          <t>Easy</t>
        </is>
      </c>
      <c r="J262" s="3">
        <f>HYPERLINK("https://www.codechef.com/problems/CJACIF07", "https://www.codechef.com/problems/CJACIF07")</f>
        <v/>
      </c>
      <c r="K262" s="2" t="inlineStr"/>
      <c r="L262" s="2" t="inlineStr"/>
      <c r="M262" s="2" t="inlineStr"/>
      <c r="N262" s="2" t="inlineStr">
        <is>
          <t>No</t>
        </is>
      </c>
      <c r="O262" s="2" t="inlineStr">
        <is>
          <t>Unattempted</t>
        </is>
      </c>
    </row>
    <row r="263">
      <c r="A263" s="4" t="inlineStr">
        <is>
          <t>Company Based Questions</t>
        </is>
      </c>
      <c r="B263" s="4" t="inlineStr">
        <is>
          <t>Deloitte NLA Questions</t>
        </is>
      </c>
      <c r="C263" s="4" t="inlineStr">
        <is>
          <t>Prepare for Deloitte NLA with previous years questions. Solve the coding, numerical ability, reasoning ability, verbal ability and quant questions which were asked in the past.</t>
        </is>
      </c>
      <c r="D263" s="4" t="inlineStr">
        <is>
          <t>Reasoning Ability Problems - Past Years Reasoning Ability Problems</t>
        </is>
      </c>
      <c r="E263" s="4" t="n">
        <v>41</v>
      </c>
      <c r="F263" s="4" t="inlineStr">
        <is>
          <t>Symbolic Arithmetic Operations</t>
        </is>
      </c>
      <c r="G263" s="4" t="inlineStr">
        <is>
          <t>CJACIF08</t>
        </is>
      </c>
      <c r="H263" s="4" t="inlineStr"/>
      <c r="I263" s="4" t="inlineStr">
        <is>
          <t>Easy</t>
        </is>
      </c>
      <c r="J263" s="5">
        <f>HYPERLINK("https://www.codechef.com/problems/CJACIF08", "https://www.codechef.com/problems/CJACIF08")</f>
        <v/>
      </c>
      <c r="K263" s="4" t="inlineStr"/>
      <c r="L263" s="4" t="inlineStr"/>
      <c r="M263" s="4" t="inlineStr"/>
      <c r="N263" s="4" t="inlineStr">
        <is>
          <t>No</t>
        </is>
      </c>
      <c r="O263" s="4" t="inlineStr">
        <is>
          <t>Unattempted</t>
        </is>
      </c>
    </row>
    <row r="264">
      <c r="A264" s="2" t="inlineStr">
        <is>
          <t>Company Based Questions</t>
        </is>
      </c>
      <c r="B264" s="2" t="inlineStr">
        <is>
          <t>Deloitte NLA Questions</t>
        </is>
      </c>
      <c r="C264" s="2" t="inlineStr">
        <is>
          <t>Prepare for Deloitte NLA with previous years questions. Solve the coding, numerical ability, reasoning ability, verbal ability and quant questions which were asked in the past.</t>
        </is>
      </c>
      <c r="D264" s="2" t="inlineStr">
        <is>
          <t>Reasoning Ability Problems - Past Years Reasoning Ability Problems</t>
        </is>
      </c>
      <c r="E264" s="2" t="n">
        <v>42</v>
      </c>
      <c r="F264" s="2" t="inlineStr">
        <is>
          <t>Coding-Decoding</t>
        </is>
      </c>
      <c r="G264" s="2" t="inlineStr">
        <is>
          <t>CJACIF09</t>
        </is>
      </c>
      <c r="H264" s="2" t="inlineStr"/>
      <c r="I264" s="2" t="inlineStr">
        <is>
          <t>Easy</t>
        </is>
      </c>
      <c r="J264" s="3">
        <f>HYPERLINK("https://www.codechef.com/problems/CJACIF09", "https://www.codechef.com/problems/CJACIF09")</f>
        <v/>
      </c>
      <c r="K264" s="2" t="inlineStr"/>
      <c r="L264" s="2" t="inlineStr"/>
      <c r="M264" s="2" t="inlineStr"/>
      <c r="N264" s="2" t="inlineStr">
        <is>
          <t>No</t>
        </is>
      </c>
      <c r="O264" s="2" t="inlineStr">
        <is>
          <t>Unattempted</t>
        </is>
      </c>
    </row>
    <row r="265">
      <c r="A265" s="4" t="inlineStr">
        <is>
          <t>Company Based Questions</t>
        </is>
      </c>
      <c r="B265" s="4" t="inlineStr">
        <is>
          <t>Deloitte NLA Questions</t>
        </is>
      </c>
      <c r="C265" s="4" t="inlineStr">
        <is>
          <t>Prepare for Deloitte NLA with previous years questions. Solve the coding, numerical ability, reasoning ability, verbal ability and quant questions which were asked in the past.</t>
        </is>
      </c>
      <c r="D265" s="4" t="inlineStr">
        <is>
          <t>Reasoning Ability Problems - Past Years Reasoning Ability Problems</t>
        </is>
      </c>
      <c r="E265" s="4" t="n">
        <v>43</v>
      </c>
      <c r="F265" s="4" t="inlineStr">
        <is>
          <t>Letter Rearrangement</t>
        </is>
      </c>
      <c r="G265" s="4" t="inlineStr">
        <is>
          <t>CJACIF10</t>
        </is>
      </c>
      <c r="H265" s="4" t="inlineStr"/>
      <c r="I265" s="4" t="inlineStr">
        <is>
          <t>Easy</t>
        </is>
      </c>
      <c r="J265" s="5">
        <f>HYPERLINK("https://www.codechef.com/problems/CJACIF10", "https://www.codechef.com/problems/CJACIF10")</f>
        <v/>
      </c>
      <c r="K265" s="4" t="inlineStr"/>
      <c r="L265" s="4" t="inlineStr"/>
      <c r="M265" s="4" t="inlineStr"/>
      <c r="N265" s="4" t="inlineStr">
        <is>
          <t>No</t>
        </is>
      </c>
      <c r="O265" s="4" t="inlineStr">
        <is>
          <t>Unattempted</t>
        </is>
      </c>
    </row>
    <row r="266">
      <c r="A266" s="2" t="inlineStr">
        <is>
          <t>Company Based Questions</t>
        </is>
      </c>
      <c r="B266" s="2" t="inlineStr">
        <is>
          <t>Deloitte NLA Questions</t>
        </is>
      </c>
      <c r="C266" s="2" t="inlineStr">
        <is>
          <t>Prepare for Deloitte NLA with previous years questions. Solve the coding, numerical ability, reasoning ability, verbal ability and quant questions which were asked in the past.</t>
        </is>
      </c>
      <c r="D266" s="2" t="inlineStr">
        <is>
          <t>Reasoning Ability Problems - Past Years Reasoning Ability Problems</t>
        </is>
      </c>
      <c r="E266" s="2" t="n">
        <v>44</v>
      </c>
      <c r="F266" s="2" t="inlineStr">
        <is>
          <t>Children in a Row Arrangement</t>
        </is>
      </c>
      <c r="G266" s="2" t="inlineStr">
        <is>
          <t>CJACIF11</t>
        </is>
      </c>
      <c r="H266" s="2" t="inlineStr"/>
      <c r="I266" s="2" t="inlineStr">
        <is>
          <t>Medium</t>
        </is>
      </c>
      <c r="J266" s="3">
        <f>HYPERLINK("https://www.codechef.com/problems/CJACIF11", "https://www.codechef.com/problems/CJACIF11")</f>
        <v/>
      </c>
      <c r="K266" s="2" t="inlineStr"/>
      <c r="L266" s="2" t="inlineStr"/>
      <c r="M266" s="2" t="inlineStr"/>
      <c r="N266" s="2" t="inlineStr">
        <is>
          <t>No</t>
        </is>
      </c>
      <c r="O266" s="2" t="inlineStr">
        <is>
          <t>Unattempted</t>
        </is>
      </c>
    </row>
    <row r="267">
      <c r="A267" s="4" t="inlineStr">
        <is>
          <t>Company Based Questions</t>
        </is>
      </c>
      <c r="B267" s="4" t="inlineStr">
        <is>
          <t>Deloitte NLA Questions</t>
        </is>
      </c>
      <c r="C267" s="4" t="inlineStr">
        <is>
          <t>Prepare for Deloitte NLA with previous years questions. Solve the coding, numerical ability, reasoning ability, verbal ability and quant questions which were asked in the past.</t>
        </is>
      </c>
      <c r="D267" s="4" t="inlineStr">
        <is>
          <t>Reasoning Ability Problems - Past Years Reasoning Ability Problems</t>
        </is>
      </c>
      <c r="E267" s="4" t="n">
        <v>45</v>
      </c>
      <c r="F267" s="4" t="inlineStr">
        <is>
          <t>Coding-decoding</t>
        </is>
      </c>
      <c r="G267" s="4" t="inlineStr">
        <is>
          <t>CJACIF12</t>
        </is>
      </c>
      <c r="H267" s="4" t="inlineStr"/>
      <c r="I267" s="4" t="inlineStr">
        <is>
          <t>Easy</t>
        </is>
      </c>
      <c r="J267" s="5">
        <f>HYPERLINK("https://www.codechef.com/problems/CJACIF12", "https://www.codechef.com/problems/CJACIF12")</f>
        <v/>
      </c>
      <c r="K267" s="4" t="inlineStr"/>
      <c r="L267" s="4" t="inlineStr"/>
      <c r="M267" s="4" t="inlineStr"/>
      <c r="N267" s="4" t="inlineStr">
        <is>
          <t>No</t>
        </is>
      </c>
      <c r="O267" s="4" t="inlineStr">
        <is>
          <t>Unattempted</t>
        </is>
      </c>
    </row>
    <row r="268">
      <c r="A268" s="2" t="inlineStr">
        <is>
          <t>Company Based Questions</t>
        </is>
      </c>
      <c r="B268" s="2" t="inlineStr">
        <is>
          <t>Deloitte NLA Questions</t>
        </is>
      </c>
      <c r="C268" s="2" t="inlineStr">
        <is>
          <t>Prepare for Deloitte NLA with previous years questions. Solve the coding, numerical ability, reasoning ability, verbal ability and quant questions which were asked in the past.</t>
        </is>
      </c>
      <c r="D268" s="2" t="inlineStr">
        <is>
          <t>Reasoning Ability Problems - Past Years Reasoning Ability Problems</t>
        </is>
      </c>
      <c r="E268" s="2" t="n">
        <v>46</v>
      </c>
      <c r="F268" s="2" t="inlineStr">
        <is>
          <t>Statement and Conclusion</t>
        </is>
      </c>
      <c r="G268" s="2" t="inlineStr">
        <is>
          <t>CJACIF14</t>
        </is>
      </c>
      <c r="H268" s="2" t="inlineStr"/>
      <c r="I268" s="2" t="inlineStr">
        <is>
          <t>Medium</t>
        </is>
      </c>
      <c r="J268" s="3">
        <f>HYPERLINK("https://www.codechef.com/problems/CJACIF14", "https://www.codechef.com/problems/CJACIF14")</f>
        <v/>
      </c>
      <c r="K268" s="2" t="inlineStr"/>
      <c r="L268" s="2" t="inlineStr"/>
      <c r="M268" s="2" t="inlineStr"/>
      <c r="N268" s="2" t="inlineStr">
        <is>
          <t>No</t>
        </is>
      </c>
      <c r="O268" s="2" t="inlineStr">
        <is>
          <t>Unattempted</t>
        </is>
      </c>
    </row>
    <row r="269">
      <c r="A269" s="4" t="inlineStr">
        <is>
          <t>Company Based Questions</t>
        </is>
      </c>
      <c r="B269" s="4" t="inlineStr">
        <is>
          <t>Deloitte NLA Questions</t>
        </is>
      </c>
      <c r="C269" s="4" t="inlineStr">
        <is>
          <t>Prepare for Deloitte NLA with previous years questions. Solve the coding, numerical ability, reasoning ability, verbal ability and quant questions which were asked in the past.</t>
        </is>
      </c>
      <c r="D269" s="4" t="inlineStr">
        <is>
          <t>Reasoning Ability Problems - Past Years Reasoning Ability Problems</t>
        </is>
      </c>
      <c r="E269" s="4" t="n">
        <v>47</v>
      </c>
      <c r="F269" s="4" t="inlineStr">
        <is>
          <t>Find the Odd One Out</t>
        </is>
      </c>
      <c r="G269" s="4" t="inlineStr">
        <is>
          <t>CJACIF15</t>
        </is>
      </c>
      <c r="H269" s="4" t="inlineStr"/>
      <c r="I269" s="4" t="inlineStr">
        <is>
          <t>Easy</t>
        </is>
      </c>
      <c r="J269" s="5">
        <f>HYPERLINK("https://www.codechef.com/problems/CJACIF15", "https://www.codechef.com/problems/CJACIF15")</f>
        <v/>
      </c>
      <c r="K269" s="4" t="inlineStr"/>
      <c r="L269" s="4" t="inlineStr"/>
      <c r="M269" s="4" t="inlineStr"/>
      <c r="N269" s="4" t="inlineStr">
        <is>
          <t>No</t>
        </is>
      </c>
      <c r="O269" s="4" t="inlineStr">
        <is>
          <t>Unattempted</t>
        </is>
      </c>
    </row>
    <row r="270">
      <c r="A270" s="2" t="inlineStr">
        <is>
          <t>Company Based Questions</t>
        </is>
      </c>
      <c r="B270" s="2" t="inlineStr">
        <is>
          <t>Deloitte NLA Questions</t>
        </is>
      </c>
      <c r="C270" s="2" t="inlineStr">
        <is>
          <t>Prepare for Deloitte NLA with previous years questions. Solve the coding, numerical ability, reasoning ability, verbal ability and quant questions which were asked in the past.</t>
        </is>
      </c>
      <c r="D270" s="2" t="inlineStr">
        <is>
          <t>Reasoning Ability Problems - Past Years Reasoning Ability Problems</t>
        </is>
      </c>
      <c r="E270" s="2" t="n">
        <v>48</v>
      </c>
      <c r="F270" s="2" t="inlineStr">
        <is>
          <t>Letter Rearrangement</t>
        </is>
      </c>
      <c r="G270" s="2" t="inlineStr">
        <is>
          <t>CJACIF16</t>
        </is>
      </c>
      <c r="H270" s="2" t="inlineStr"/>
      <c r="I270" s="2" t="inlineStr">
        <is>
          <t>Easy</t>
        </is>
      </c>
      <c r="J270" s="3">
        <f>HYPERLINK("https://www.codechef.com/problems/CJACIF16", "https://www.codechef.com/problems/CJACIF16")</f>
        <v/>
      </c>
      <c r="K270" s="2" t="inlineStr"/>
      <c r="L270" s="2" t="inlineStr"/>
      <c r="M270" s="2" t="inlineStr"/>
      <c r="N270" s="2" t="inlineStr">
        <is>
          <t>No</t>
        </is>
      </c>
      <c r="O270" s="2" t="inlineStr">
        <is>
          <t>Unattempted</t>
        </is>
      </c>
    </row>
    <row r="271">
      <c r="A271" s="4" t="inlineStr">
        <is>
          <t>Company Based Questions</t>
        </is>
      </c>
      <c r="B271" s="4" t="inlineStr">
        <is>
          <t>Deloitte NLA Questions</t>
        </is>
      </c>
      <c r="C271" s="4" t="inlineStr">
        <is>
          <t>Prepare for Deloitte NLA with previous years questions. Solve the coding, numerical ability, reasoning ability, verbal ability and quant questions which were asked in the past.</t>
        </is>
      </c>
      <c r="D271" s="4" t="inlineStr">
        <is>
          <t>Reasoning Ability Problems - Past Years Reasoning Ability Problems</t>
        </is>
      </c>
      <c r="E271" s="4" t="n">
        <v>49</v>
      </c>
      <c r="F271" s="4" t="inlineStr">
        <is>
          <t>Find the missing term in alphabet series</t>
        </is>
      </c>
      <c r="G271" s="4" t="inlineStr">
        <is>
          <t>CJACIF17</t>
        </is>
      </c>
      <c r="H271" s="4" t="inlineStr"/>
      <c r="I271" s="4" t="inlineStr">
        <is>
          <t>Easy</t>
        </is>
      </c>
      <c r="J271" s="5">
        <f>HYPERLINK("https://www.codechef.com/problems/CJACIF17", "https://www.codechef.com/problems/CJACIF17")</f>
        <v/>
      </c>
      <c r="K271" s="4" t="inlineStr"/>
      <c r="L271" s="4" t="inlineStr"/>
      <c r="M271" s="4" t="inlineStr"/>
      <c r="N271" s="4" t="inlineStr">
        <is>
          <t>No</t>
        </is>
      </c>
      <c r="O271" s="4" t="inlineStr">
        <is>
          <t>Unattempted</t>
        </is>
      </c>
    </row>
    <row r="272">
      <c r="A272" s="2" t="inlineStr">
        <is>
          <t>Company Based Questions</t>
        </is>
      </c>
      <c r="B272" s="2" t="inlineStr">
        <is>
          <t>Deloitte NLA Questions</t>
        </is>
      </c>
      <c r="C272" s="2" t="inlineStr">
        <is>
          <t>Prepare for Deloitte NLA with previous years questions. Solve the coding, numerical ability, reasoning ability, verbal ability and quant questions which were asked in the past.</t>
        </is>
      </c>
      <c r="D272" s="2" t="inlineStr">
        <is>
          <t>Verbal Ability Problems - Past Years Verbal Ability Problems</t>
        </is>
      </c>
      <c r="E272" s="2" t="n">
        <v>50</v>
      </c>
      <c r="F272" s="2" t="inlineStr">
        <is>
          <t>Antonym of Judicious</t>
        </is>
      </c>
      <c r="G272" s="2" t="inlineStr">
        <is>
          <t>AAKCGL11</t>
        </is>
      </c>
      <c r="H272" s="2" t="inlineStr"/>
      <c r="I272" s="2" t="inlineStr">
        <is>
          <t>Easy</t>
        </is>
      </c>
      <c r="J272" s="3">
        <f>HYPERLINK("https://www.codechef.com/problems/AAKCGL11", "https://www.codechef.com/problems/AAKCGL11")</f>
        <v/>
      </c>
      <c r="K272" s="2" t="inlineStr"/>
      <c r="L272" s="2" t="inlineStr"/>
      <c r="M272" s="2" t="inlineStr"/>
      <c r="N272" s="2" t="inlineStr">
        <is>
          <t>No</t>
        </is>
      </c>
      <c r="O272" s="2" t="inlineStr">
        <is>
          <t>Unattempted</t>
        </is>
      </c>
    </row>
    <row r="273">
      <c r="A273" s="4" t="inlineStr">
        <is>
          <t>Company Based Questions</t>
        </is>
      </c>
      <c r="B273" s="4" t="inlineStr">
        <is>
          <t>Deloitte NLA Questions</t>
        </is>
      </c>
      <c r="C273" s="4" t="inlineStr">
        <is>
          <t>Prepare for Deloitte NLA with previous years questions. Solve the coding, numerical ability, reasoning ability, verbal ability and quant questions which were asked in the past.</t>
        </is>
      </c>
      <c r="D273" s="4" t="inlineStr">
        <is>
          <t>Verbal Ability Problems - Past Years Verbal Ability Problems</t>
        </is>
      </c>
      <c r="E273" s="4" t="n">
        <v>51</v>
      </c>
      <c r="F273" s="4" t="inlineStr">
        <is>
          <t>Synonym of Soporific</t>
        </is>
      </c>
      <c r="G273" s="4" t="inlineStr">
        <is>
          <t>AAKCGL12</t>
        </is>
      </c>
      <c r="H273" s="4" t="inlineStr"/>
      <c r="I273" s="4" t="inlineStr">
        <is>
          <t>Easy</t>
        </is>
      </c>
      <c r="J273" s="5">
        <f>HYPERLINK("https://www.codechef.com/problems/AAKCGL12", "https://www.codechef.com/problems/AAKCGL12")</f>
        <v/>
      </c>
      <c r="K273" s="4" t="inlineStr"/>
      <c r="L273" s="4" t="inlineStr"/>
      <c r="M273" s="4" t="inlineStr"/>
      <c r="N273" s="4" t="inlineStr">
        <is>
          <t>No</t>
        </is>
      </c>
      <c r="O273" s="4" t="inlineStr">
        <is>
          <t>Unattempted</t>
        </is>
      </c>
    </row>
    <row r="274">
      <c r="A274" s="2" t="inlineStr">
        <is>
          <t>Company Based Questions</t>
        </is>
      </c>
      <c r="B274" s="2" t="inlineStr">
        <is>
          <t>Deloitte NLA Questions</t>
        </is>
      </c>
      <c r="C274" s="2" t="inlineStr">
        <is>
          <t>Prepare for Deloitte NLA with previous years questions. Solve the coding, numerical ability, reasoning ability, verbal ability and quant questions which were asked in the past.</t>
        </is>
      </c>
      <c r="D274" s="2" t="inlineStr">
        <is>
          <t>Verbal Ability Problems - Past Years Verbal Ability Problems</t>
        </is>
      </c>
      <c r="E274" s="2" t="n">
        <v>52</v>
      </c>
      <c r="F274" s="2" t="inlineStr">
        <is>
          <t>Correct Sentence Selection</t>
        </is>
      </c>
      <c r="G274" s="2" t="inlineStr">
        <is>
          <t>AAKCGL13</t>
        </is>
      </c>
      <c r="H274" s="2" t="inlineStr"/>
      <c r="I274" s="2" t="inlineStr">
        <is>
          <t>Easy</t>
        </is>
      </c>
      <c r="J274" s="3">
        <f>HYPERLINK("https://www.codechef.com/problems/AAKCGL13", "https://www.codechef.com/problems/AAKCGL13")</f>
        <v/>
      </c>
      <c r="K274" s="2" t="inlineStr"/>
      <c r="L274" s="2" t="inlineStr"/>
      <c r="M274" s="2" t="inlineStr"/>
      <c r="N274" s="2" t="inlineStr">
        <is>
          <t>No</t>
        </is>
      </c>
      <c r="O274" s="2" t="inlineStr">
        <is>
          <t>Unattempted</t>
        </is>
      </c>
    </row>
    <row r="275">
      <c r="A275" s="4" t="inlineStr">
        <is>
          <t>Company Based Questions</t>
        </is>
      </c>
      <c r="B275" s="4" t="inlineStr">
        <is>
          <t>Deloitte NLA Questions</t>
        </is>
      </c>
      <c r="C275" s="4" t="inlineStr">
        <is>
          <t>Prepare for Deloitte NLA with previous years questions. Solve the coding, numerical ability, reasoning ability, verbal ability and quant questions which were asked in the past.</t>
        </is>
      </c>
      <c r="D275" s="4" t="inlineStr">
        <is>
          <t>Verbal Ability Problems - Past Years Verbal Ability Problems</t>
        </is>
      </c>
      <c r="E275" s="4" t="n">
        <v>53</v>
      </c>
      <c r="F275" s="4" t="inlineStr">
        <is>
          <t>One Word Substitution</t>
        </is>
      </c>
      <c r="G275" s="4" t="inlineStr">
        <is>
          <t>AAKCGL14</t>
        </is>
      </c>
      <c r="H275" s="4" t="inlineStr"/>
      <c r="I275" s="4" t="inlineStr">
        <is>
          <t>Easy</t>
        </is>
      </c>
      <c r="J275" s="5">
        <f>HYPERLINK("https://www.codechef.com/problems/AAKCGL14", "https://www.codechef.com/problems/AAKCGL14")</f>
        <v/>
      </c>
      <c r="K275" s="4" t="inlineStr"/>
      <c r="L275" s="4" t="inlineStr"/>
      <c r="M275" s="4" t="inlineStr"/>
      <c r="N275" s="4" t="inlineStr">
        <is>
          <t>No</t>
        </is>
      </c>
      <c r="O275" s="4" t="inlineStr">
        <is>
          <t>Unattempted</t>
        </is>
      </c>
    </row>
    <row r="276">
      <c r="A276" s="2" t="inlineStr">
        <is>
          <t>Company Based Questions</t>
        </is>
      </c>
      <c r="B276" s="2" t="inlineStr">
        <is>
          <t>Deloitte NLA Questions</t>
        </is>
      </c>
      <c r="C276" s="2" t="inlineStr">
        <is>
          <t>Prepare for Deloitte NLA with previous years questions. Solve the coding, numerical ability, reasoning ability, verbal ability and quant questions which were asked in the past.</t>
        </is>
      </c>
      <c r="D276" s="2" t="inlineStr">
        <is>
          <t>Verbal Ability Problems - Past Years Verbal Ability Problems</t>
        </is>
      </c>
      <c r="E276" s="2" t="n">
        <v>54</v>
      </c>
      <c r="F276" s="2" t="inlineStr">
        <is>
          <t>Fill in the Blanks</t>
        </is>
      </c>
      <c r="G276" s="2" t="inlineStr">
        <is>
          <t>AAKCGL15</t>
        </is>
      </c>
      <c r="H276" s="2" t="inlineStr"/>
      <c r="I276" s="2" t="inlineStr">
        <is>
          <t>Easy</t>
        </is>
      </c>
      <c r="J276" s="3">
        <f>HYPERLINK("https://www.codechef.com/problems/AAKCGL15", "https://www.codechef.com/problems/AAKCGL15")</f>
        <v/>
      </c>
      <c r="K276" s="2" t="inlineStr"/>
      <c r="L276" s="2" t="inlineStr"/>
      <c r="M276" s="2" t="inlineStr"/>
      <c r="N276" s="2" t="inlineStr">
        <is>
          <t>No</t>
        </is>
      </c>
      <c r="O276" s="2" t="inlineStr">
        <is>
          <t>Unattempted</t>
        </is>
      </c>
    </row>
    <row r="277">
      <c r="A277" s="4" t="inlineStr">
        <is>
          <t>Company Based Questions</t>
        </is>
      </c>
      <c r="B277" s="4" t="inlineStr">
        <is>
          <t>Deloitte NLA Questions</t>
        </is>
      </c>
      <c r="C277" s="4" t="inlineStr">
        <is>
          <t>Prepare for Deloitte NLA with previous years questions. Solve the coding, numerical ability, reasoning ability, verbal ability and quant questions which were asked in the past.</t>
        </is>
      </c>
      <c r="D277" s="4" t="inlineStr">
        <is>
          <t>Verbal Ability Problems - Past Years Verbal Ability Problems</t>
        </is>
      </c>
      <c r="E277" s="4" t="n">
        <v>55</v>
      </c>
      <c r="F277" s="4" t="inlineStr">
        <is>
          <t>Error Spotting</t>
        </is>
      </c>
      <c r="G277" s="4" t="inlineStr">
        <is>
          <t>AAKCGL16</t>
        </is>
      </c>
      <c r="H277" s="4" t="inlineStr"/>
      <c r="I277" s="4" t="inlineStr">
        <is>
          <t>Easy</t>
        </is>
      </c>
      <c r="J277" s="5">
        <f>HYPERLINK("https://www.codechef.com/problems/AAKCGL16", "https://www.codechef.com/problems/AAKCGL16")</f>
        <v/>
      </c>
      <c r="K277" s="4" t="inlineStr"/>
      <c r="L277" s="4" t="inlineStr"/>
      <c r="M277" s="4" t="inlineStr"/>
      <c r="N277" s="4" t="inlineStr">
        <is>
          <t>No</t>
        </is>
      </c>
      <c r="O277" s="4" t="inlineStr">
        <is>
          <t>Unattempted</t>
        </is>
      </c>
    </row>
    <row r="278">
      <c r="A278" s="2" t="inlineStr">
        <is>
          <t>Company Based Questions</t>
        </is>
      </c>
      <c r="B278" s="2" t="inlineStr">
        <is>
          <t>Deloitte NLA Questions</t>
        </is>
      </c>
      <c r="C278" s="2" t="inlineStr">
        <is>
          <t>Prepare for Deloitte NLA with previous years questions. Solve the coding, numerical ability, reasoning ability, verbal ability and quant questions which were asked in the past.</t>
        </is>
      </c>
      <c r="D278" s="2" t="inlineStr">
        <is>
          <t>Verbal Ability Problems - Past Years Verbal Ability Problems</t>
        </is>
      </c>
      <c r="E278" s="2" t="n">
        <v>56</v>
      </c>
      <c r="F278" s="2" t="inlineStr">
        <is>
          <t>Animal Sound Analogy</t>
        </is>
      </c>
      <c r="G278" s="2" t="inlineStr">
        <is>
          <t>AAKCGL17</t>
        </is>
      </c>
      <c r="H278" s="2" t="inlineStr"/>
      <c r="I278" s="2" t="inlineStr">
        <is>
          <t>Easy</t>
        </is>
      </c>
      <c r="J278" s="3">
        <f>HYPERLINK("https://www.codechef.com/problems/AAKCGL17", "https://www.codechef.com/problems/AAKCGL17")</f>
        <v/>
      </c>
      <c r="K278" s="2" t="inlineStr"/>
      <c r="L278" s="2" t="inlineStr"/>
      <c r="M278" s="2" t="inlineStr"/>
      <c r="N278" s="2" t="inlineStr">
        <is>
          <t>No</t>
        </is>
      </c>
      <c r="O278" s="2" t="inlineStr">
        <is>
          <t>Unattempted</t>
        </is>
      </c>
    </row>
    <row r="279">
      <c r="A279" s="4" t="inlineStr">
        <is>
          <t>Company Based Questions</t>
        </is>
      </c>
      <c r="B279" s="4" t="inlineStr">
        <is>
          <t>Deloitte NLA Questions</t>
        </is>
      </c>
      <c r="C279" s="4" t="inlineStr">
        <is>
          <t>Prepare for Deloitte NLA with previous years questions. Solve the coding, numerical ability, reasoning ability, verbal ability and quant questions which were asked in the past.</t>
        </is>
      </c>
      <c r="D279" s="4" t="inlineStr">
        <is>
          <t>Verbal Ability Problems - Past Years Verbal Ability Problems</t>
        </is>
      </c>
      <c r="E279" s="4" t="n">
        <v>57</v>
      </c>
      <c r="F279" s="4" t="inlineStr">
        <is>
          <t>Idioms and phrases</t>
        </is>
      </c>
      <c r="G279" s="4" t="inlineStr">
        <is>
          <t>AAKCGL18</t>
        </is>
      </c>
      <c r="H279" s="4" t="inlineStr"/>
      <c r="I279" s="4" t="inlineStr">
        <is>
          <t>Easy</t>
        </is>
      </c>
      <c r="J279" s="5">
        <f>HYPERLINK("https://www.codechef.com/problems/AAKCGL18", "https://www.codechef.com/problems/AAKCGL18")</f>
        <v/>
      </c>
      <c r="K279" s="4" t="inlineStr"/>
      <c r="L279" s="4" t="inlineStr"/>
      <c r="M279" s="4" t="inlineStr"/>
      <c r="N279" s="4" t="inlineStr">
        <is>
          <t>No</t>
        </is>
      </c>
      <c r="O279" s="4" t="inlineStr">
        <is>
          <t>Unattempted</t>
        </is>
      </c>
    </row>
    <row r="280">
      <c r="A280" s="2" t="inlineStr">
        <is>
          <t>Company Based Questions</t>
        </is>
      </c>
      <c r="B280" s="2" t="inlineStr">
        <is>
          <t>Deloitte NLA Questions</t>
        </is>
      </c>
      <c r="C280" s="2" t="inlineStr">
        <is>
          <t>Prepare for Deloitte NLA with previous years questions. Solve the coding, numerical ability, reasoning ability, verbal ability and quant questions which were asked in the past.</t>
        </is>
      </c>
      <c r="D280" s="2" t="inlineStr">
        <is>
          <t>Verbal Ability Problems - Past Years Verbal Ability Problems</t>
        </is>
      </c>
      <c r="E280" s="2" t="n">
        <v>58</v>
      </c>
      <c r="F280" s="2" t="inlineStr">
        <is>
          <t>Sentence Rearrangement Problem</t>
        </is>
      </c>
      <c r="G280" s="2" t="inlineStr">
        <is>
          <t>AAKCGL19</t>
        </is>
      </c>
      <c r="H280" s="2" t="inlineStr"/>
      <c r="I280" s="2" t="inlineStr">
        <is>
          <t>Easy</t>
        </is>
      </c>
      <c r="J280" s="3">
        <f>HYPERLINK("https://www.codechef.com/problems/AAKCGL19", "https://www.codechef.com/problems/AAKCGL19")</f>
        <v/>
      </c>
      <c r="K280" s="2" t="inlineStr"/>
      <c r="L280" s="2" t="inlineStr"/>
      <c r="M280" s="2" t="inlineStr"/>
      <c r="N280" s="2" t="inlineStr">
        <is>
          <t>No</t>
        </is>
      </c>
      <c r="O280" s="2" t="inlineStr">
        <is>
          <t>Unattempted</t>
        </is>
      </c>
    </row>
    <row r="281">
      <c r="A281" s="4" t="inlineStr">
        <is>
          <t>Company Based Questions</t>
        </is>
      </c>
      <c r="B281" s="4" t="inlineStr">
        <is>
          <t>Deloitte NLA Questions</t>
        </is>
      </c>
      <c r="C281" s="4" t="inlineStr">
        <is>
          <t>Prepare for Deloitte NLA with previous years questions. Solve the coding, numerical ability, reasoning ability, verbal ability and quant questions which were asked in the past.</t>
        </is>
      </c>
      <c r="D281" s="4" t="inlineStr">
        <is>
          <t>Verbal Ability Problems - Past Years Verbal Ability Problems</t>
        </is>
      </c>
      <c r="E281" s="4" t="n">
        <v>59</v>
      </c>
      <c r="F281" s="4" t="inlineStr">
        <is>
          <t>Antonyms</t>
        </is>
      </c>
      <c r="G281" s="4" t="inlineStr">
        <is>
          <t>AAKCGL20</t>
        </is>
      </c>
      <c r="H281" s="4" t="inlineStr"/>
      <c r="I281" s="4" t="inlineStr">
        <is>
          <t>Easy</t>
        </is>
      </c>
      <c r="J281" s="5">
        <f>HYPERLINK("https://www.codechef.com/problems/AAKCGL20", "https://www.codechef.com/problems/AAKCGL20")</f>
        <v/>
      </c>
      <c r="K281" s="4" t="inlineStr"/>
      <c r="L281" s="4" t="inlineStr"/>
      <c r="M281" s="4" t="inlineStr"/>
      <c r="N281" s="4" t="inlineStr">
        <is>
          <t>No</t>
        </is>
      </c>
      <c r="O281" s="4" t="inlineStr">
        <is>
          <t>Unattempted</t>
        </is>
      </c>
    </row>
    <row r="282">
      <c r="A282" s="2" t="inlineStr">
        <is>
          <t>Company Based Questions</t>
        </is>
      </c>
      <c r="B282" s="2" t="inlineStr">
        <is>
          <t>Deloitte NLA Questions</t>
        </is>
      </c>
      <c r="C282" s="2" t="inlineStr">
        <is>
          <t>Prepare for Deloitte NLA with previous years questions. Solve the coding, numerical ability, reasoning ability, verbal ability and quant questions which were asked in the past.</t>
        </is>
      </c>
      <c r="D282" s="2" t="inlineStr">
        <is>
          <t>Technical Questions - Past Years Technical Questions</t>
        </is>
      </c>
      <c r="E282" s="2" t="n">
        <v>60</v>
      </c>
      <c r="F282" s="2" t="inlineStr">
        <is>
          <t>Primary Purpose of Software Testing</t>
        </is>
      </c>
      <c r="G282" s="2" t="inlineStr">
        <is>
          <t>AAKCGL21</t>
        </is>
      </c>
      <c r="H282" s="2" t="inlineStr"/>
      <c r="I282" s="2" t="inlineStr">
        <is>
          <t>Easy</t>
        </is>
      </c>
      <c r="J282" s="3">
        <f>HYPERLINK("https://www.codechef.com/problems/AAKCGL21", "https://www.codechef.com/problems/AAKCGL21")</f>
        <v/>
      </c>
      <c r="K282" s="2" t="inlineStr"/>
      <c r="L282" s="2" t="inlineStr"/>
      <c r="M282" s="2" t="inlineStr"/>
      <c r="N282" s="2" t="inlineStr">
        <is>
          <t>No</t>
        </is>
      </c>
      <c r="O282" s="2" t="inlineStr">
        <is>
          <t>Unattempted</t>
        </is>
      </c>
    </row>
    <row r="283">
      <c r="A283" s="4" t="inlineStr">
        <is>
          <t>Company Based Questions</t>
        </is>
      </c>
      <c r="B283" s="4" t="inlineStr">
        <is>
          <t>Deloitte NLA Questions</t>
        </is>
      </c>
      <c r="C283" s="4" t="inlineStr">
        <is>
          <t>Prepare for Deloitte NLA with previous years questions. Solve the coding, numerical ability, reasoning ability, verbal ability and quant questions which were asked in the past.</t>
        </is>
      </c>
      <c r="D283" s="4" t="inlineStr">
        <is>
          <t>Technical Questions - Past Years Technical Questions</t>
        </is>
      </c>
      <c r="E283" s="4" t="n">
        <v>61</v>
      </c>
      <c r="F283" s="4" t="inlineStr">
        <is>
          <t>Regression Testing</t>
        </is>
      </c>
      <c r="G283" s="4" t="inlineStr">
        <is>
          <t>AAKCGL22</t>
        </is>
      </c>
      <c r="H283" s="4" t="inlineStr"/>
      <c r="I283" s="4" t="inlineStr">
        <is>
          <t>Easy</t>
        </is>
      </c>
      <c r="J283" s="5">
        <f>HYPERLINK("https://www.codechef.com/problems/AAKCGL22", "https://www.codechef.com/problems/AAKCGL22")</f>
        <v/>
      </c>
      <c r="K283" s="4" t="inlineStr"/>
      <c r="L283" s="4" t="inlineStr"/>
      <c r="M283" s="4" t="inlineStr"/>
      <c r="N283" s="4" t="inlineStr">
        <is>
          <t>No</t>
        </is>
      </c>
      <c r="O283" s="4" t="inlineStr">
        <is>
          <t>Unattempted</t>
        </is>
      </c>
    </row>
    <row r="284">
      <c r="A284" s="2" t="inlineStr">
        <is>
          <t>Company Based Questions</t>
        </is>
      </c>
      <c r="B284" s="2" t="inlineStr">
        <is>
          <t>Deloitte NLA Questions</t>
        </is>
      </c>
      <c r="C284" s="2" t="inlineStr">
        <is>
          <t>Prepare for Deloitte NLA with previous years questions. Solve the coding, numerical ability, reasoning ability, verbal ability and quant questions which were asked in the past.</t>
        </is>
      </c>
      <c r="D284" s="2" t="inlineStr">
        <is>
          <t>Technical Questions - Past Years Technical Questions</t>
        </is>
      </c>
      <c r="E284" s="2" t="n">
        <v>62</v>
      </c>
      <c r="F284" s="2" t="inlineStr">
        <is>
          <t>Purpose of Load Testing</t>
        </is>
      </c>
      <c r="G284" s="2" t="inlineStr">
        <is>
          <t>AAKCGL23</t>
        </is>
      </c>
      <c r="H284" s="2" t="inlineStr"/>
      <c r="I284" s="2" t="inlineStr">
        <is>
          <t>Easy</t>
        </is>
      </c>
      <c r="J284" s="3">
        <f>HYPERLINK("https://www.codechef.com/problems/AAKCGL23", "https://www.codechef.com/problems/AAKCGL23")</f>
        <v/>
      </c>
      <c r="K284" s="2" t="inlineStr"/>
      <c r="L284" s="2" t="inlineStr"/>
      <c r="M284" s="2" t="inlineStr"/>
      <c r="N284" s="2" t="inlineStr">
        <is>
          <t>No</t>
        </is>
      </c>
      <c r="O284" s="2" t="inlineStr">
        <is>
          <t>Unattempted</t>
        </is>
      </c>
    </row>
    <row r="285">
      <c r="A285" s="4" t="inlineStr">
        <is>
          <t>Company Based Questions</t>
        </is>
      </c>
      <c r="B285" s="4" t="inlineStr">
        <is>
          <t>Deloitte NLA Questions</t>
        </is>
      </c>
      <c r="C285" s="4" t="inlineStr">
        <is>
          <t>Prepare for Deloitte NLA with previous years questions. Solve the coding, numerical ability, reasoning ability, verbal ability and quant questions which were asked in the past.</t>
        </is>
      </c>
      <c r="D285" s="4" t="inlineStr">
        <is>
          <t>Technical Questions - Past Years Technical Questions</t>
        </is>
      </c>
      <c r="E285" s="4" t="n">
        <v>63</v>
      </c>
      <c r="F285" s="4" t="inlineStr">
        <is>
          <t>Testing All Possible Routes</t>
        </is>
      </c>
      <c r="G285" s="4" t="inlineStr">
        <is>
          <t>AAKCGL24</t>
        </is>
      </c>
      <c r="H285" s="4" t="inlineStr"/>
      <c r="I285" s="4" t="inlineStr">
        <is>
          <t>Easy</t>
        </is>
      </c>
      <c r="J285" s="5">
        <f>HYPERLINK("https://www.codechef.com/problems/AAKCGL24", "https://www.codechef.com/problems/AAKCGL24")</f>
        <v/>
      </c>
      <c r="K285" s="4" t="inlineStr"/>
      <c r="L285" s="4" t="inlineStr"/>
      <c r="M285" s="4" t="inlineStr"/>
      <c r="N285" s="4" t="inlineStr">
        <is>
          <t>No</t>
        </is>
      </c>
      <c r="O285" s="4" t="inlineStr">
        <is>
          <t>Unattempted</t>
        </is>
      </c>
    </row>
    <row r="286">
      <c r="A286" s="2" t="inlineStr">
        <is>
          <t>Company Based Questions</t>
        </is>
      </c>
      <c r="B286" s="2" t="inlineStr">
        <is>
          <t>Deloitte NLA Questions</t>
        </is>
      </c>
      <c r="C286" s="2" t="inlineStr">
        <is>
          <t>Prepare for Deloitte NLA with previous years questions. Solve the coding, numerical ability, reasoning ability, verbal ability and quant questions which were asked in the past.</t>
        </is>
      </c>
      <c r="D286" s="2" t="inlineStr">
        <is>
          <t>Technical Questions - Past Years Technical Questions</t>
        </is>
      </c>
      <c r="E286" s="2" t="n">
        <v>64</v>
      </c>
      <c r="F286" s="2" t="inlineStr">
        <is>
          <t>Usability Testing</t>
        </is>
      </c>
      <c r="G286" s="2" t="inlineStr">
        <is>
          <t>AAKCGL25</t>
        </is>
      </c>
      <c r="H286" s="2" t="inlineStr"/>
      <c r="I286" s="2" t="inlineStr">
        <is>
          <t>Easy</t>
        </is>
      </c>
      <c r="J286" s="3">
        <f>HYPERLINK("https://www.codechef.com/problems/AAKCGL25", "https://www.codechef.com/problems/AAKCGL25")</f>
        <v/>
      </c>
      <c r="K286" s="2" t="inlineStr"/>
      <c r="L286" s="2" t="inlineStr"/>
      <c r="M286" s="2" t="inlineStr"/>
      <c r="N286" s="2" t="inlineStr">
        <is>
          <t>No</t>
        </is>
      </c>
      <c r="O286" s="2" t="inlineStr">
        <is>
          <t>Unattempted</t>
        </is>
      </c>
    </row>
    <row r="287">
      <c r="A287" s="4" t="inlineStr">
        <is>
          <t>Company Based Questions</t>
        </is>
      </c>
      <c r="B287" s="4" t="inlineStr">
        <is>
          <t>Deloitte NLA Questions</t>
        </is>
      </c>
      <c r="C287" s="4" t="inlineStr">
        <is>
          <t>Prepare for Deloitte NLA with previous years questions. Solve the coding, numerical ability, reasoning ability, verbal ability and quant questions which were asked in the past.</t>
        </is>
      </c>
      <c r="D287" s="4" t="inlineStr">
        <is>
          <t>Technical Questions - Past Years Technical Questions</t>
        </is>
      </c>
      <c r="E287" s="4" t="n">
        <v>65</v>
      </c>
      <c r="F287" s="4" t="inlineStr">
        <is>
          <t>Functions of CPU</t>
        </is>
      </c>
      <c r="G287" s="4" t="inlineStr">
        <is>
          <t>AAKCGL26</t>
        </is>
      </c>
      <c r="H287" s="4" t="inlineStr"/>
      <c r="I287" s="4" t="inlineStr">
        <is>
          <t>Easy</t>
        </is>
      </c>
      <c r="J287" s="5">
        <f>HYPERLINK("https://www.codechef.com/problems/AAKCGL26", "https://www.codechef.com/problems/AAKCGL26")</f>
        <v/>
      </c>
      <c r="K287" s="4" t="inlineStr"/>
      <c r="L287" s="4" t="inlineStr"/>
      <c r="M287" s="4" t="inlineStr"/>
      <c r="N287" s="4" t="inlineStr">
        <is>
          <t>No</t>
        </is>
      </c>
      <c r="O287" s="4" t="inlineStr">
        <is>
          <t>Unattempted</t>
        </is>
      </c>
    </row>
    <row r="288">
      <c r="A288" s="2" t="inlineStr">
        <is>
          <t>Company Based Questions</t>
        </is>
      </c>
      <c r="B288" s="2" t="inlineStr">
        <is>
          <t>Deloitte NLA Questions</t>
        </is>
      </c>
      <c r="C288" s="2" t="inlineStr">
        <is>
          <t>Prepare for Deloitte NLA with previous years questions. Solve the coding, numerical ability, reasoning ability, verbal ability and quant questions which were asked in the past.</t>
        </is>
      </c>
      <c r="D288" s="2" t="inlineStr">
        <is>
          <t>Technical Questions - Past Years Technical Questions</t>
        </is>
      </c>
      <c r="E288" s="2" t="n">
        <v>66</v>
      </c>
      <c r="F288" s="2" t="inlineStr">
        <is>
          <t>Input Devices</t>
        </is>
      </c>
      <c r="G288" s="2" t="inlineStr">
        <is>
          <t>AAKCGL27</t>
        </is>
      </c>
      <c r="H288" s="2" t="inlineStr"/>
      <c r="I288" s="2" t="inlineStr">
        <is>
          <t>Easy</t>
        </is>
      </c>
      <c r="J288" s="3">
        <f>HYPERLINK("https://www.codechef.com/problems/AAKCGL27", "https://www.codechef.com/problems/AAKCGL27")</f>
        <v/>
      </c>
      <c r="K288" s="2" t="inlineStr"/>
      <c r="L288" s="2" t="inlineStr"/>
      <c r="M288" s="2" t="inlineStr"/>
      <c r="N288" s="2" t="inlineStr">
        <is>
          <t>No</t>
        </is>
      </c>
      <c r="O288" s="2" t="inlineStr">
        <is>
          <t>Unattempted</t>
        </is>
      </c>
    </row>
    <row r="289">
      <c r="A289" s="4" t="inlineStr">
        <is>
          <t>Company Based Questions</t>
        </is>
      </c>
      <c r="B289" s="4" t="inlineStr">
        <is>
          <t>Deloitte NLA Questions</t>
        </is>
      </c>
      <c r="C289" s="4" t="inlineStr">
        <is>
          <t>Prepare for Deloitte NLA with previous years questions. Solve the coding, numerical ability, reasoning ability, verbal ability and quant questions which were asked in the past.</t>
        </is>
      </c>
      <c r="D289" s="4" t="inlineStr">
        <is>
          <t>Technical Questions - Past Years Technical Questions</t>
        </is>
      </c>
      <c r="E289" s="4" t="n">
        <v>67</v>
      </c>
      <c r="F289" s="4" t="inlineStr">
        <is>
          <t>Primary Function of ALU</t>
        </is>
      </c>
      <c r="G289" s="4" t="inlineStr">
        <is>
          <t>AAKCGL28</t>
        </is>
      </c>
      <c r="H289" s="4" t="inlineStr"/>
      <c r="I289" s="4" t="inlineStr">
        <is>
          <t>Easy</t>
        </is>
      </c>
      <c r="J289" s="5">
        <f>HYPERLINK("https://www.codechef.com/problems/AAKCGL28", "https://www.codechef.com/problems/AAKCGL28")</f>
        <v/>
      </c>
      <c r="K289" s="4" t="inlineStr"/>
      <c r="L289" s="4" t="inlineStr"/>
      <c r="M289" s="4" t="inlineStr"/>
      <c r="N289" s="4" t="inlineStr">
        <is>
          <t>No</t>
        </is>
      </c>
      <c r="O289" s="4" t="inlineStr">
        <is>
          <t>Unattempted</t>
        </is>
      </c>
    </row>
    <row r="290">
      <c r="A290" s="2" t="inlineStr">
        <is>
          <t>Company Based Questions</t>
        </is>
      </c>
      <c r="B290" s="2" t="inlineStr">
        <is>
          <t>Deloitte NLA Questions</t>
        </is>
      </c>
      <c r="C290" s="2" t="inlineStr">
        <is>
          <t>Prepare for Deloitte NLA with previous years questions. Solve the coding, numerical ability, reasoning ability, verbal ability and quant questions which were asked in the past.</t>
        </is>
      </c>
      <c r="D290" s="2" t="inlineStr">
        <is>
          <t>Technical Questions - Past Years Technical Questions</t>
        </is>
      </c>
      <c r="E290" s="2" t="n">
        <v>68</v>
      </c>
      <c r="F290" s="2" t="inlineStr">
        <is>
          <t>CPU Directly Accessible Memory</t>
        </is>
      </c>
      <c r="G290" s="2" t="inlineStr">
        <is>
          <t>AAKCGL29</t>
        </is>
      </c>
      <c r="H290" s="2" t="inlineStr"/>
      <c r="I290" s="2" t="inlineStr">
        <is>
          <t>Easy</t>
        </is>
      </c>
      <c r="J290" s="3">
        <f>HYPERLINK("https://www.codechef.com/problems/AAKCGL29", "https://www.codechef.com/problems/AAKCGL29")</f>
        <v/>
      </c>
      <c r="K290" s="2" t="inlineStr"/>
      <c r="L290" s="2" t="inlineStr"/>
      <c r="M290" s="2" t="inlineStr"/>
      <c r="N290" s="2" t="inlineStr">
        <is>
          <t>No</t>
        </is>
      </c>
      <c r="O290" s="2" t="inlineStr">
        <is>
          <t>Unattempted</t>
        </is>
      </c>
    </row>
    <row r="291">
      <c r="A291" s="4" t="inlineStr">
        <is>
          <t>Company Based Questions</t>
        </is>
      </c>
      <c r="B291" s="4" t="inlineStr">
        <is>
          <t>Deloitte NLA Questions</t>
        </is>
      </c>
      <c r="C291" s="4" t="inlineStr">
        <is>
          <t>Prepare for Deloitte NLA with previous years questions. Solve the coding, numerical ability, reasoning ability, verbal ability and quant questions which were asked in the past.</t>
        </is>
      </c>
      <c r="D291" s="4" t="inlineStr">
        <is>
          <t>Technical Questions - Past Years Technical Questions</t>
        </is>
      </c>
      <c r="E291" s="4" t="n">
        <v>69</v>
      </c>
      <c r="F291" s="4" t="inlineStr">
        <is>
          <t>Router</t>
        </is>
      </c>
      <c r="G291" s="4" t="inlineStr">
        <is>
          <t>AAKCGL30</t>
        </is>
      </c>
      <c r="H291" s="4" t="inlineStr"/>
      <c r="I291" s="4" t="inlineStr">
        <is>
          <t>Easy</t>
        </is>
      </c>
      <c r="J291" s="5">
        <f>HYPERLINK("https://www.codechef.com/problems/AAKCGL30", "https://www.codechef.com/problems/AAKCGL30")</f>
        <v/>
      </c>
      <c r="K291" s="4" t="inlineStr"/>
      <c r="L291" s="4" t="inlineStr"/>
      <c r="M291" s="4" t="inlineStr"/>
      <c r="N291" s="4" t="inlineStr">
        <is>
          <t>No</t>
        </is>
      </c>
      <c r="O291" s="4" t="inlineStr">
        <is>
          <t>Unattempted</t>
        </is>
      </c>
    </row>
    <row r="292">
      <c r="A292" s="2" t="inlineStr">
        <is>
          <t>Company Based Questions</t>
        </is>
      </c>
      <c r="B292" s="2" t="inlineStr">
        <is>
          <t>Deloitte NLA Questions</t>
        </is>
      </c>
      <c r="C292" s="2" t="inlineStr">
        <is>
          <t>Prepare for Deloitte NLA with previous years questions. Solve the coding, numerical ability, reasoning ability, verbal ability and quant questions which were asked in the past.</t>
        </is>
      </c>
      <c r="D292" s="2" t="inlineStr">
        <is>
          <t>Technical Questions - Past Years Technical Questions</t>
        </is>
      </c>
      <c r="E292" s="2" t="n">
        <v>70</v>
      </c>
      <c r="F292" s="2" t="inlineStr">
        <is>
          <t>Network Topology</t>
        </is>
      </c>
      <c r="G292" s="2" t="inlineStr">
        <is>
          <t>AAKCGL31</t>
        </is>
      </c>
      <c r="H292" s="2" t="inlineStr"/>
      <c r="I292" s="2" t="inlineStr">
        <is>
          <t>Easy</t>
        </is>
      </c>
      <c r="J292" s="3">
        <f>HYPERLINK("https://www.codechef.com/problems/AAKCGL31", "https://www.codechef.com/problems/AAKCGL31")</f>
        <v/>
      </c>
      <c r="K292" s="2" t="inlineStr"/>
      <c r="L292" s="2" t="inlineStr"/>
      <c r="M292" s="2" t="inlineStr"/>
      <c r="N292" s="2" t="inlineStr">
        <is>
          <t>No</t>
        </is>
      </c>
      <c r="O292" s="2" t="inlineStr">
        <is>
          <t>Unattempted</t>
        </is>
      </c>
    </row>
    <row r="293">
      <c r="A293" s="4" t="inlineStr">
        <is>
          <t>Company Based Questions</t>
        </is>
      </c>
      <c r="B293" s="4" t="inlineStr">
        <is>
          <t>Deloitte NLA Questions</t>
        </is>
      </c>
      <c r="C293" s="4" t="inlineStr">
        <is>
          <t>Prepare for Deloitte NLA with previous years questions. Solve the coding, numerical ability, reasoning ability, verbal ability and quant questions which were asked in the past.</t>
        </is>
      </c>
      <c r="D293" s="4" t="inlineStr">
        <is>
          <t>Technical Questions - Past Years Technical Questions</t>
        </is>
      </c>
      <c r="E293" s="4" t="n">
        <v>71</v>
      </c>
      <c r="F293" s="4" t="inlineStr">
        <is>
          <t>User Authentication Method</t>
        </is>
      </c>
      <c r="G293" s="4" t="inlineStr">
        <is>
          <t>AAKCGL32</t>
        </is>
      </c>
      <c r="H293" s="4" t="inlineStr"/>
      <c r="I293" s="4" t="inlineStr">
        <is>
          <t>Easy</t>
        </is>
      </c>
      <c r="J293" s="5">
        <f>HYPERLINK("https://www.codechef.com/problems/AAKCGL32", "https://www.codechef.com/problems/AAKCGL32")</f>
        <v/>
      </c>
      <c r="K293" s="4" t="inlineStr"/>
      <c r="L293" s="4" t="inlineStr"/>
      <c r="M293" s="4" t="inlineStr"/>
      <c r="N293" s="4" t="inlineStr">
        <is>
          <t>No</t>
        </is>
      </c>
      <c r="O293" s="4" t="inlineStr">
        <is>
          <t>Unattempted</t>
        </is>
      </c>
    </row>
    <row r="294">
      <c r="A294" s="2" t="inlineStr">
        <is>
          <t>Company Based Questions</t>
        </is>
      </c>
      <c r="B294" s="2" t="inlineStr">
        <is>
          <t>Deloitte NLA Questions</t>
        </is>
      </c>
      <c r="C294" s="2" t="inlineStr">
        <is>
          <t>Prepare for Deloitte NLA with previous years questions. Solve the coding, numerical ability, reasoning ability, verbal ability and quant questions which were asked in the past.</t>
        </is>
      </c>
      <c r="D294" s="2" t="inlineStr">
        <is>
          <t>Technical Questions - Past Years Technical Questions</t>
        </is>
      </c>
      <c r="E294" s="2" t="n">
        <v>72</v>
      </c>
      <c r="F294" s="2" t="inlineStr">
        <is>
          <t>Attack Identification</t>
        </is>
      </c>
      <c r="G294" s="2" t="inlineStr">
        <is>
          <t>AAKCGL33</t>
        </is>
      </c>
      <c r="H294" s="2" t="inlineStr"/>
      <c r="I294" s="2" t="inlineStr">
        <is>
          <t>Easy</t>
        </is>
      </c>
      <c r="J294" s="3">
        <f>HYPERLINK("https://www.codechef.com/problems/AAKCGL33", "https://www.codechef.com/problems/AAKCGL33")</f>
        <v/>
      </c>
      <c r="K294" s="2" t="inlineStr"/>
      <c r="L294" s="2" t="inlineStr"/>
      <c r="M294" s="2" t="inlineStr"/>
      <c r="N294" s="2" t="inlineStr">
        <is>
          <t>No</t>
        </is>
      </c>
      <c r="O294" s="2" t="inlineStr">
        <is>
          <t>Unattempted</t>
        </is>
      </c>
    </row>
    <row r="295">
      <c r="A295" s="4" t="inlineStr">
        <is>
          <t>Company Based Questions</t>
        </is>
      </c>
      <c r="B295" s="4" t="inlineStr">
        <is>
          <t>Deloitte NLA Questions</t>
        </is>
      </c>
      <c r="C295" s="4" t="inlineStr">
        <is>
          <t>Prepare for Deloitte NLA with previous years questions. Solve the coding, numerical ability, reasoning ability, verbal ability and quant questions which were asked in the past.</t>
        </is>
      </c>
      <c r="D295" s="4" t="inlineStr">
        <is>
          <t>Technical Questions - Past Years Technical Questions</t>
        </is>
      </c>
      <c r="E295" s="4" t="n">
        <v>73</v>
      </c>
      <c r="F295" s="4" t="inlineStr">
        <is>
          <t>Firewall</t>
        </is>
      </c>
      <c r="G295" s="4" t="inlineStr">
        <is>
          <t>AAKCGL34</t>
        </is>
      </c>
      <c r="H295" s="4" t="inlineStr"/>
      <c r="I295" s="4" t="inlineStr">
        <is>
          <t>Easy</t>
        </is>
      </c>
      <c r="J295" s="5">
        <f>HYPERLINK("https://www.codechef.com/problems/AAKCGL34", "https://www.codechef.com/problems/AAKCGL34")</f>
        <v/>
      </c>
      <c r="K295" s="4" t="inlineStr"/>
      <c r="L295" s="4" t="inlineStr"/>
      <c r="M295" s="4" t="inlineStr"/>
      <c r="N295" s="4" t="inlineStr">
        <is>
          <t>No</t>
        </is>
      </c>
      <c r="O295" s="4" t="inlineStr">
        <is>
          <t>Unattempted</t>
        </is>
      </c>
    </row>
    <row r="296">
      <c r="A296" s="2" t="inlineStr">
        <is>
          <t>Company Based Questions</t>
        </is>
      </c>
      <c r="B296" s="2" t="inlineStr">
        <is>
          <t>Deloitte NLA Questions</t>
        </is>
      </c>
      <c r="C296" s="2" t="inlineStr">
        <is>
          <t>Prepare for Deloitte NLA with previous years questions. Solve the coding, numerical ability, reasoning ability, verbal ability and quant questions which were asked in the past.</t>
        </is>
      </c>
      <c r="D296" s="2" t="inlineStr">
        <is>
          <t>Technical Questions - Past Years Technical Questions</t>
        </is>
      </c>
      <c r="E296" s="2" t="n">
        <v>74</v>
      </c>
      <c r="F296" s="2" t="inlineStr">
        <is>
          <t>Social Engineering Breach</t>
        </is>
      </c>
      <c r="G296" s="2" t="inlineStr">
        <is>
          <t>AAKCGL35</t>
        </is>
      </c>
      <c r="H296" s="2" t="inlineStr"/>
      <c r="I296" s="2" t="inlineStr">
        <is>
          <t>Easy</t>
        </is>
      </c>
      <c r="J296" s="3">
        <f>HYPERLINK("https://www.codechef.com/problems/AAKCGL35", "https://www.codechef.com/problems/AAKCGL35")</f>
        <v/>
      </c>
      <c r="K296" s="2" t="inlineStr"/>
      <c r="L296" s="2" t="inlineStr"/>
      <c r="M296" s="2" t="inlineStr"/>
      <c r="N296" s="2" t="inlineStr">
        <is>
          <t>No</t>
        </is>
      </c>
      <c r="O296" s="2" t="inlineStr">
        <is>
          <t>Unattempted</t>
        </is>
      </c>
    </row>
    <row r="297">
      <c r="A297" s="4" t="inlineStr">
        <is>
          <t>Company Based Questions</t>
        </is>
      </c>
      <c r="B297" s="4" t="inlineStr">
        <is>
          <t>Deloitte NLA Questions</t>
        </is>
      </c>
      <c r="C297" s="4" t="inlineStr">
        <is>
          <t>Prepare for Deloitte NLA with previous years questions. Solve the coding, numerical ability, reasoning ability, verbal ability and quant questions which were asked in the past.</t>
        </is>
      </c>
      <c r="D297" s="4" t="inlineStr">
        <is>
          <t>Technical Questions - Past Years Technical Questions</t>
        </is>
      </c>
      <c r="E297" s="4" t="n">
        <v>75</v>
      </c>
      <c r="F297" s="4" t="inlineStr">
        <is>
          <t>Cloud Archival Storage Service</t>
        </is>
      </c>
      <c r="G297" s="4" t="inlineStr">
        <is>
          <t>AAKCGL36</t>
        </is>
      </c>
      <c r="H297" s="4" t="inlineStr"/>
      <c r="I297" s="4" t="inlineStr">
        <is>
          <t>Easy</t>
        </is>
      </c>
      <c r="J297" s="5">
        <f>HYPERLINK("https://www.codechef.com/problems/AAKCGL36", "https://www.codechef.com/problems/AAKCGL36")</f>
        <v/>
      </c>
      <c r="K297" s="4" t="inlineStr"/>
      <c r="L297" s="4" t="inlineStr"/>
      <c r="M297" s="4" t="inlineStr"/>
      <c r="N297" s="4" t="inlineStr">
        <is>
          <t>No</t>
        </is>
      </c>
      <c r="O297" s="4" t="inlineStr">
        <is>
          <t>Unattempted</t>
        </is>
      </c>
    </row>
    <row r="298">
      <c r="A298" s="2" t="inlineStr">
        <is>
          <t>Company Based Questions</t>
        </is>
      </c>
      <c r="B298" s="2" t="inlineStr">
        <is>
          <t>Deloitte NLA Questions</t>
        </is>
      </c>
      <c r="C298" s="2" t="inlineStr">
        <is>
          <t>Prepare for Deloitte NLA with previous years questions. Solve the coding, numerical ability, reasoning ability, verbal ability and quant questions which were asked in the past.</t>
        </is>
      </c>
      <c r="D298" s="2" t="inlineStr">
        <is>
          <t>Technical Questions - Past Years Technical Questions</t>
        </is>
      </c>
      <c r="E298" s="2" t="n">
        <v>76</v>
      </c>
      <c r="F298" s="2" t="inlineStr">
        <is>
          <t>Serverless Computing</t>
        </is>
      </c>
      <c r="G298" s="2" t="inlineStr">
        <is>
          <t>AAKCGL37</t>
        </is>
      </c>
      <c r="H298" s="2" t="inlineStr"/>
      <c r="I298" s="2" t="inlineStr">
        <is>
          <t>Easy</t>
        </is>
      </c>
      <c r="J298" s="3">
        <f>HYPERLINK("https://www.codechef.com/problems/AAKCGL37", "https://www.codechef.com/problems/AAKCGL37")</f>
        <v/>
      </c>
      <c r="K298" s="2" t="inlineStr"/>
      <c r="L298" s="2" t="inlineStr"/>
      <c r="M298" s="2" t="inlineStr"/>
      <c r="N298" s="2" t="inlineStr">
        <is>
          <t>No</t>
        </is>
      </c>
      <c r="O298" s="2" t="inlineStr">
        <is>
          <t>Unattempted</t>
        </is>
      </c>
    </row>
    <row r="299">
      <c r="A299" s="4" t="inlineStr">
        <is>
          <t>Company Based Questions</t>
        </is>
      </c>
      <c r="B299" s="4" t="inlineStr">
        <is>
          <t>Deloitte NLA Questions</t>
        </is>
      </c>
      <c r="C299" s="4" t="inlineStr">
        <is>
          <t>Prepare for Deloitte NLA with previous years questions. Solve the coding, numerical ability, reasoning ability, verbal ability and quant questions which were asked in the past.</t>
        </is>
      </c>
      <c r="D299" s="4" t="inlineStr">
        <is>
          <t>Technical Questions - Past Years Technical Questions</t>
        </is>
      </c>
      <c r="E299" s="4" t="n">
        <v>77</v>
      </c>
      <c r="F299" s="4" t="inlineStr">
        <is>
          <t>Load Balancer</t>
        </is>
      </c>
      <c r="G299" s="4" t="inlineStr">
        <is>
          <t>AAKCGL38</t>
        </is>
      </c>
      <c r="H299" s="4" t="inlineStr"/>
      <c r="I299" s="4" t="inlineStr">
        <is>
          <t>Easy</t>
        </is>
      </c>
      <c r="J299" s="5">
        <f>HYPERLINK("https://www.codechef.com/problems/AAKCGL38", "https://www.codechef.com/problems/AAKCGL38")</f>
        <v/>
      </c>
      <c r="K299" s="4" t="inlineStr"/>
      <c r="L299" s="4" t="inlineStr"/>
      <c r="M299" s="4" t="inlineStr"/>
      <c r="N299" s="4" t="inlineStr">
        <is>
          <t>No</t>
        </is>
      </c>
      <c r="O299" s="4" t="inlineStr">
        <is>
          <t>Unattempted</t>
        </is>
      </c>
    </row>
    <row r="300">
      <c r="A300" s="2" t="inlineStr">
        <is>
          <t>Company Based Questions</t>
        </is>
      </c>
      <c r="B300" s="2" t="inlineStr">
        <is>
          <t>Deloitte NLA Questions</t>
        </is>
      </c>
      <c r="C300" s="2" t="inlineStr">
        <is>
          <t>Prepare for Deloitte NLA with previous years questions. Solve the coding, numerical ability, reasoning ability, verbal ability and quant questions which were asked in the past.</t>
        </is>
      </c>
      <c r="D300" s="2" t="inlineStr">
        <is>
          <t>Technical Questions - Past Years Technical Questions</t>
        </is>
      </c>
      <c r="E300" s="2" t="n">
        <v>78</v>
      </c>
      <c r="F300" s="2" t="inlineStr">
        <is>
          <t>Docker in Cloud Computing</t>
        </is>
      </c>
      <c r="G300" s="2" t="inlineStr">
        <is>
          <t>AAKCGL39</t>
        </is>
      </c>
      <c r="H300" s="2" t="inlineStr"/>
      <c r="I300" s="2" t="inlineStr">
        <is>
          <t>Easy</t>
        </is>
      </c>
      <c r="J300" s="3">
        <f>HYPERLINK("https://www.codechef.com/problems/AAKCGL39", "https://www.codechef.com/problems/AAKCGL39")</f>
        <v/>
      </c>
      <c r="K300" s="2" t="inlineStr"/>
      <c r="L300" s="2" t="inlineStr"/>
      <c r="M300" s="2" t="inlineStr"/>
      <c r="N300" s="2" t="inlineStr">
        <is>
          <t>No</t>
        </is>
      </c>
      <c r="O300" s="2" t="inlineStr">
        <is>
          <t>Unattempted</t>
        </is>
      </c>
    </row>
    <row r="301">
      <c r="A301" s="4" t="inlineStr">
        <is>
          <t>Company Based Questions</t>
        </is>
      </c>
      <c r="B301" s="4" t="inlineStr">
        <is>
          <t>Deloitte NLA Questions</t>
        </is>
      </c>
      <c r="C301" s="4" t="inlineStr">
        <is>
          <t>Prepare for Deloitte NLA with previous years questions. Solve the coding, numerical ability, reasoning ability, verbal ability and quant questions which were asked in the past.</t>
        </is>
      </c>
      <c r="D301" s="4" t="inlineStr">
        <is>
          <t>Technical Questions - Past Years Technical Questions</t>
        </is>
      </c>
      <c r="E301" s="4" t="n">
        <v>79</v>
      </c>
      <c r="F301" s="4" t="inlineStr">
        <is>
          <t>Cloud Service Model for Applications</t>
        </is>
      </c>
      <c r="G301" s="4" t="inlineStr">
        <is>
          <t>AAKCGL40</t>
        </is>
      </c>
      <c r="H301" s="4" t="inlineStr"/>
      <c r="I301" s="4" t="inlineStr">
        <is>
          <t>Easy</t>
        </is>
      </c>
      <c r="J301" s="5">
        <f>HYPERLINK("https://www.codechef.com/problems/AAKCGL40", "https://www.codechef.com/problems/AAKCGL40")</f>
        <v/>
      </c>
      <c r="K301" s="4" t="inlineStr"/>
      <c r="L301" s="4" t="inlineStr"/>
      <c r="M301" s="4" t="inlineStr"/>
      <c r="N301" s="4" t="inlineStr">
        <is>
          <t>No</t>
        </is>
      </c>
      <c r="O301" s="4" t="inlineStr">
        <is>
          <t>Unattempted</t>
        </is>
      </c>
    </row>
    <row r="302">
      <c r="A302" s="2" t="inlineStr">
        <is>
          <t>Company Based Questions</t>
        </is>
      </c>
      <c r="B302" s="2" t="inlineStr">
        <is>
          <t>Deloitte NLA Questions</t>
        </is>
      </c>
      <c r="C302" s="2" t="inlineStr">
        <is>
          <t>Prepare for Deloitte NLA with previous years questions. Solve the coding, numerical ability, reasoning ability, verbal ability and quant questions which were asked in the past.</t>
        </is>
      </c>
      <c r="D302" s="2" t="inlineStr">
        <is>
          <t>Technical Questions - Past Years Technical Questions</t>
        </is>
      </c>
      <c r="E302" s="2" t="n">
        <v>80</v>
      </c>
      <c r="F302" s="2" t="inlineStr">
        <is>
          <t>Role of a SIEM System</t>
        </is>
      </c>
      <c r="G302" s="2" t="inlineStr">
        <is>
          <t>AAKCGL41</t>
        </is>
      </c>
      <c r="H302" s="2" t="inlineStr"/>
      <c r="I302" s="2" t="inlineStr">
        <is>
          <t>Easy</t>
        </is>
      </c>
      <c r="J302" s="3">
        <f>HYPERLINK("https://www.codechef.com/problems/AAKCGL41", "https://www.codechef.com/problems/AAKCGL41")</f>
        <v/>
      </c>
      <c r="K302" s="2" t="inlineStr"/>
      <c r="L302" s="2" t="inlineStr"/>
      <c r="M302" s="2" t="inlineStr"/>
      <c r="N302" s="2" t="inlineStr">
        <is>
          <t>No</t>
        </is>
      </c>
      <c r="O302" s="2" t="inlineStr">
        <is>
          <t>Unattempted</t>
        </is>
      </c>
    </row>
    <row r="303">
      <c r="A303" s="4" t="inlineStr">
        <is>
          <t>Company Based Questions</t>
        </is>
      </c>
      <c r="B303" s="4" t="inlineStr">
        <is>
          <t>Deloitte NLA Questions</t>
        </is>
      </c>
      <c r="C303" s="4" t="inlineStr">
        <is>
          <t>Prepare for Deloitte NLA with previous years questions. Solve the coding, numerical ability, reasoning ability, verbal ability and quant questions which were asked in the past.</t>
        </is>
      </c>
      <c r="D303" s="4" t="inlineStr">
        <is>
          <t>Technical Questions - Past Years Technical Questions</t>
        </is>
      </c>
      <c r="E303" s="4" t="n">
        <v>81</v>
      </c>
      <c r="F303" s="4" t="inlineStr">
        <is>
          <t>Ransomware</t>
        </is>
      </c>
      <c r="G303" s="4" t="inlineStr">
        <is>
          <t>AAKCGL42</t>
        </is>
      </c>
      <c r="H303" s="4" t="inlineStr"/>
      <c r="I303" s="4" t="inlineStr">
        <is>
          <t>Easy</t>
        </is>
      </c>
      <c r="J303" s="5">
        <f>HYPERLINK("https://www.codechef.com/problems/AAKCGL42", "https://www.codechef.com/problems/AAKCGL42")</f>
        <v/>
      </c>
      <c r="K303" s="4" t="inlineStr"/>
      <c r="L303" s="4" t="inlineStr"/>
      <c r="M303" s="4" t="inlineStr"/>
      <c r="N303" s="4" t="inlineStr">
        <is>
          <t>No</t>
        </is>
      </c>
      <c r="O303" s="4" t="inlineStr">
        <is>
          <t>Unattempted</t>
        </is>
      </c>
    </row>
    <row r="304">
      <c r="A304" s="2" t="inlineStr">
        <is>
          <t>Company Based Questions</t>
        </is>
      </c>
      <c r="B304" s="2" t="inlineStr">
        <is>
          <t>Deloitte NLA Questions</t>
        </is>
      </c>
      <c r="C304" s="2" t="inlineStr">
        <is>
          <t>Prepare for Deloitte NLA with previous years questions. Solve the coding, numerical ability, reasoning ability, verbal ability and quant questions which were asked in the past.</t>
        </is>
      </c>
      <c r="D304" s="2" t="inlineStr">
        <is>
          <t>Technical Questions - Past Years Technical Questions</t>
        </is>
      </c>
      <c r="E304" s="2" t="n">
        <v>82</v>
      </c>
      <c r="F304" s="2" t="inlineStr">
        <is>
          <t>Man in the Middle Attack</t>
        </is>
      </c>
      <c r="G304" s="2" t="inlineStr">
        <is>
          <t>AAKCGL43</t>
        </is>
      </c>
      <c r="H304" s="2" t="inlineStr"/>
      <c r="I304" s="2" t="inlineStr">
        <is>
          <t>Easy</t>
        </is>
      </c>
      <c r="J304" s="3">
        <f>HYPERLINK("https://www.codechef.com/problems/AAKCGL43", "https://www.codechef.com/problems/AAKCGL43")</f>
        <v/>
      </c>
      <c r="K304" s="2" t="inlineStr"/>
      <c r="L304" s="2" t="inlineStr"/>
      <c r="M304" s="2" t="inlineStr"/>
      <c r="N304" s="2" t="inlineStr">
        <is>
          <t>No</t>
        </is>
      </c>
      <c r="O304" s="2" t="inlineStr">
        <is>
          <t>Unattempted</t>
        </is>
      </c>
    </row>
    <row r="305">
      <c r="A305" s="4" t="inlineStr">
        <is>
          <t>Company Based Questions</t>
        </is>
      </c>
      <c r="B305" s="4" t="inlineStr">
        <is>
          <t>Deloitte NLA Questions</t>
        </is>
      </c>
      <c r="C305" s="4" t="inlineStr">
        <is>
          <t>Prepare for Deloitte NLA with previous years questions. Solve the coding, numerical ability, reasoning ability, verbal ability and quant questions which were asked in the past.</t>
        </is>
      </c>
      <c r="D305" s="4" t="inlineStr">
        <is>
          <t>Technical Questions - Past Years Technical Questions</t>
        </is>
      </c>
      <c r="E305" s="4" t="n">
        <v>83</v>
      </c>
      <c r="F305" s="4" t="inlineStr">
        <is>
          <t>Access Control</t>
        </is>
      </c>
      <c r="G305" s="4" t="inlineStr">
        <is>
          <t>AAKCGL44</t>
        </is>
      </c>
      <c r="H305" s="4" t="inlineStr"/>
      <c r="I305" s="4" t="inlineStr">
        <is>
          <t>Easy</t>
        </is>
      </c>
      <c r="J305" s="5">
        <f>HYPERLINK("https://www.codechef.com/problems/AAKCGL44", "https://www.codechef.com/problems/AAKCGL44")</f>
        <v/>
      </c>
      <c r="K305" s="4" t="inlineStr"/>
      <c r="L305" s="4" t="inlineStr"/>
      <c r="M305" s="4" t="inlineStr"/>
      <c r="N305" s="4" t="inlineStr">
        <is>
          <t>No</t>
        </is>
      </c>
      <c r="O305" s="4" t="inlineStr">
        <is>
          <t>Unattempted</t>
        </is>
      </c>
    </row>
    <row r="306">
      <c r="A306" s="2" t="inlineStr">
        <is>
          <t>Company Based Questions</t>
        </is>
      </c>
      <c r="B306" s="2" t="inlineStr">
        <is>
          <t>Deloitte NLA Questions</t>
        </is>
      </c>
      <c r="C306" s="2" t="inlineStr">
        <is>
          <t>Prepare for Deloitte NLA with previous years questions. Solve the coding, numerical ability, reasoning ability, verbal ability and quant questions which were asked in the past.</t>
        </is>
      </c>
      <c r="D306" s="2" t="inlineStr">
        <is>
          <t>Technical Questions - Past Years Technical Questions</t>
        </is>
      </c>
      <c r="E306" s="2" t="n">
        <v>84</v>
      </c>
      <c r="F306" s="2" t="inlineStr">
        <is>
          <t>Incident Response Plan</t>
        </is>
      </c>
      <c r="G306" s="2" t="inlineStr">
        <is>
          <t>AAKCGL45</t>
        </is>
      </c>
      <c r="H306" s="2" t="inlineStr"/>
      <c r="I306" s="2" t="inlineStr">
        <is>
          <t>Easy</t>
        </is>
      </c>
      <c r="J306" s="3">
        <f>HYPERLINK("https://www.codechef.com/problems/AAKCGL45", "https://www.codechef.com/problems/AAKCGL45")</f>
        <v/>
      </c>
      <c r="K306" s="2" t="inlineStr"/>
      <c r="L306" s="2" t="inlineStr"/>
      <c r="M306" s="2" t="inlineStr"/>
      <c r="N306" s="2" t="inlineStr">
        <is>
          <t>No</t>
        </is>
      </c>
      <c r="O306" s="2" t="inlineStr">
        <is>
          <t>Unattempted</t>
        </is>
      </c>
    </row>
    <row r="307">
      <c r="A307" s="4" t="inlineStr">
        <is>
          <t>Company Based Questions</t>
        </is>
      </c>
      <c r="B307" s="4" t="inlineStr">
        <is>
          <t>WIPRO Elite Questions</t>
        </is>
      </c>
      <c r="C307" s="4" t="inlineStr">
        <is>
          <t>Prepare for WIPRO Elite NTH with previous years questions. Solve the coding, numerical ability, reasoning ability, verbal ability and quant questions which were asked in the past.</t>
        </is>
      </c>
      <c r="D307" s="4" t="inlineStr">
        <is>
          <t>Coding Problems - Past Years Coding Problems</t>
        </is>
      </c>
      <c r="E307" s="4" t="n">
        <v>1</v>
      </c>
      <c r="F307" s="4" t="inlineStr">
        <is>
          <t>Buy Apples</t>
        </is>
      </c>
      <c r="G307" s="4" t="inlineStr">
        <is>
          <t>YJQPVI01</t>
        </is>
      </c>
      <c r="H307" s="4" t="inlineStr"/>
      <c r="I307" s="4" t="inlineStr">
        <is>
          <t>Medium</t>
        </is>
      </c>
      <c r="J307" s="5">
        <f>HYPERLINK("https://www.codechef.com/problems/YJQPVI01", "https://www.codechef.com/problems/YJQPVI01")</f>
        <v/>
      </c>
      <c r="K307" s="4" t="inlineStr"/>
      <c r="L307" s="4" t="inlineStr"/>
      <c r="M307" s="4" t="inlineStr"/>
      <c r="N307" s="4" t="inlineStr">
        <is>
          <t>No</t>
        </is>
      </c>
      <c r="O307" s="4" t="inlineStr">
        <is>
          <t>Unattempted</t>
        </is>
      </c>
    </row>
    <row r="308">
      <c r="A308" s="2" t="inlineStr">
        <is>
          <t>Company Based Questions</t>
        </is>
      </c>
      <c r="B308" s="2" t="inlineStr">
        <is>
          <t>WIPRO Elite Questions</t>
        </is>
      </c>
      <c r="C308" s="2" t="inlineStr">
        <is>
          <t>Prepare for WIPRO Elite NTH with previous years questions. Solve the coding, numerical ability, reasoning ability, verbal ability and quant questions which were asked in the past.</t>
        </is>
      </c>
      <c r="D308" s="2" t="inlineStr">
        <is>
          <t>Coding Problems - Past Years Coding Problems</t>
        </is>
      </c>
      <c r="E308" s="2" t="n">
        <v>2</v>
      </c>
      <c r="F308" s="2" t="inlineStr">
        <is>
          <t>Parity Partition</t>
        </is>
      </c>
      <c r="G308" s="2" t="inlineStr">
        <is>
          <t>YJQPVI02</t>
        </is>
      </c>
      <c r="H308" s="2" t="inlineStr"/>
      <c r="I308" s="2" t="inlineStr">
        <is>
          <t>Easy</t>
        </is>
      </c>
      <c r="J308" s="3">
        <f>HYPERLINK("https://www.codechef.com/problems/YJQPVI02", "https://www.codechef.com/problems/YJQPVI02")</f>
        <v/>
      </c>
      <c r="K308" s="2" t="inlineStr"/>
      <c r="L308" s="2" t="inlineStr"/>
      <c r="M308" s="2" t="inlineStr"/>
      <c r="N308" s="2" t="inlineStr">
        <is>
          <t>No</t>
        </is>
      </c>
      <c r="O308" s="2" t="inlineStr">
        <is>
          <t>Unattempted</t>
        </is>
      </c>
    </row>
    <row r="309">
      <c r="A309" s="4" t="inlineStr">
        <is>
          <t>Company Based Questions</t>
        </is>
      </c>
      <c r="B309" s="4" t="inlineStr">
        <is>
          <t>WIPRO Elite Questions</t>
        </is>
      </c>
      <c r="C309" s="4" t="inlineStr">
        <is>
          <t>Prepare for WIPRO Elite NTH with previous years questions. Solve the coding, numerical ability, reasoning ability, verbal ability and quant questions which were asked in the past.</t>
        </is>
      </c>
      <c r="D309" s="4" t="inlineStr">
        <is>
          <t>Coding Problems - Past Years Coding Problems</t>
        </is>
      </c>
      <c r="E309" s="4" t="n">
        <v>3</v>
      </c>
      <c r="F309" s="4" t="inlineStr">
        <is>
          <t>Word Reversal</t>
        </is>
      </c>
      <c r="G309" s="4" t="inlineStr">
        <is>
          <t>YJQPVI03</t>
        </is>
      </c>
      <c r="H309" s="4" t="inlineStr"/>
      <c r="I309" s="4" t="inlineStr">
        <is>
          <t>Easy</t>
        </is>
      </c>
      <c r="J309" s="5">
        <f>HYPERLINK("https://www.codechef.com/problems/YJQPVI03", "https://www.codechef.com/problems/YJQPVI03")</f>
        <v/>
      </c>
      <c r="K309" s="4" t="inlineStr"/>
      <c r="L309" s="4" t="inlineStr"/>
      <c r="M309" s="4" t="inlineStr"/>
      <c r="N309" s="4" t="inlineStr">
        <is>
          <t>No</t>
        </is>
      </c>
      <c r="O309" s="4" t="inlineStr">
        <is>
          <t>Unattempted</t>
        </is>
      </c>
    </row>
    <row r="310">
      <c r="A310" s="2" t="inlineStr">
        <is>
          <t>Company Based Questions</t>
        </is>
      </c>
      <c r="B310" s="2" t="inlineStr">
        <is>
          <t>WIPRO Elite Questions</t>
        </is>
      </c>
      <c r="C310" s="2" t="inlineStr">
        <is>
          <t>Prepare for WIPRO Elite NTH with previous years questions. Solve the coding, numerical ability, reasoning ability, verbal ability and quant questions which were asked in the past.</t>
        </is>
      </c>
      <c r="D310" s="2" t="inlineStr">
        <is>
          <t>Coding Problems - Past Years Coding Problems</t>
        </is>
      </c>
      <c r="E310" s="2" t="n">
        <v>4</v>
      </c>
      <c r="F310" s="2" t="inlineStr">
        <is>
          <t>First Unique Character</t>
        </is>
      </c>
      <c r="G310" s="2" t="inlineStr">
        <is>
          <t>YJQPVI04</t>
        </is>
      </c>
      <c r="H310" s="2" t="inlineStr"/>
      <c r="I310" s="2" t="inlineStr">
        <is>
          <t>Medium</t>
        </is>
      </c>
      <c r="J310" s="3">
        <f>HYPERLINK("https://www.codechef.com/problems/YJQPVI04", "https://www.codechef.com/problems/YJQPVI04")</f>
        <v/>
      </c>
      <c r="K310" s="2" t="inlineStr"/>
      <c r="L310" s="2" t="inlineStr"/>
      <c r="M310" s="2" t="inlineStr"/>
      <c r="N310" s="2" t="inlineStr">
        <is>
          <t>No</t>
        </is>
      </c>
      <c r="O310" s="2" t="inlineStr">
        <is>
          <t>Unattempted</t>
        </is>
      </c>
    </row>
    <row r="311">
      <c r="A311" s="4" t="inlineStr">
        <is>
          <t>Company Based Questions</t>
        </is>
      </c>
      <c r="B311" s="4" t="inlineStr">
        <is>
          <t>WIPRO Elite Questions</t>
        </is>
      </c>
      <c r="C311" s="4" t="inlineStr">
        <is>
          <t>Prepare for WIPRO Elite NTH with previous years questions. Solve the coding, numerical ability, reasoning ability, verbal ability and quant questions which were asked in the past.</t>
        </is>
      </c>
      <c r="D311" s="4" t="inlineStr">
        <is>
          <t>Coding Problems - Past Years Coding Problems</t>
        </is>
      </c>
      <c r="E311" s="4" t="n">
        <v>5</v>
      </c>
      <c r="F311" s="4" t="inlineStr">
        <is>
          <t>Find The Missing Number</t>
        </is>
      </c>
      <c r="G311" s="4" t="inlineStr">
        <is>
          <t>YJQPVI05</t>
        </is>
      </c>
      <c r="H311" s="4" t="inlineStr"/>
      <c r="I311" s="4" t="inlineStr">
        <is>
          <t>Easy</t>
        </is>
      </c>
      <c r="J311" s="5">
        <f>HYPERLINK("https://www.codechef.com/problems/YJQPVI05", "https://www.codechef.com/problems/YJQPVI05")</f>
        <v/>
      </c>
      <c r="K311" s="4" t="inlineStr"/>
      <c r="L311" s="4" t="inlineStr"/>
      <c r="M311" s="4" t="inlineStr"/>
      <c r="N311" s="4" t="inlineStr">
        <is>
          <t>No</t>
        </is>
      </c>
      <c r="O311" s="4" t="inlineStr">
        <is>
          <t>Unattempted</t>
        </is>
      </c>
    </row>
    <row r="312">
      <c r="A312" s="2" t="inlineStr">
        <is>
          <t>Company Based Questions</t>
        </is>
      </c>
      <c r="B312" s="2" t="inlineStr">
        <is>
          <t>WIPRO Elite Questions</t>
        </is>
      </c>
      <c r="C312" s="2" t="inlineStr">
        <is>
          <t>Prepare for WIPRO Elite NTH with previous years questions. Solve the coding, numerical ability, reasoning ability, verbal ability and quant questions which were asked in the past.</t>
        </is>
      </c>
      <c r="D312" s="2" t="inlineStr">
        <is>
          <t>Coding Problems - Past Years Coding Problems</t>
        </is>
      </c>
      <c r="E312" s="2" t="n">
        <v>6</v>
      </c>
      <c r="F312" s="2" t="inlineStr">
        <is>
          <t>Word Counter</t>
        </is>
      </c>
      <c r="G312" s="2" t="inlineStr">
        <is>
          <t>YJQPVI06</t>
        </is>
      </c>
      <c r="H312" s="2" t="inlineStr"/>
      <c r="I312" s="2" t="inlineStr">
        <is>
          <t>Easy</t>
        </is>
      </c>
      <c r="J312" s="3">
        <f>HYPERLINK("https://www.codechef.com/problems/YJQPVI06", "https://www.codechef.com/problems/YJQPVI06")</f>
        <v/>
      </c>
      <c r="K312" s="2" t="inlineStr"/>
      <c r="L312" s="2" t="inlineStr"/>
      <c r="M312" s="2" t="inlineStr"/>
      <c r="N312" s="2" t="inlineStr">
        <is>
          <t>No</t>
        </is>
      </c>
      <c r="O312" s="2" t="inlineStr">
        <is>
          <t>Unattempted</t>
        </is>
      </c>
    </row>
    <row r="313">
      <c r="A313" s="4" t="inlineStr">
        <is>
          <t>Company Based Questions</t>
        </is>
      </c>
      <c r="B313" s="4" t="inlineStr">
        <is>
          <t>WIPRO Elite Questions</t>
        </is>
      </c>
      <c r="C313" s="4" t="inlineStr">
        <is>
          <t>Prepare for WIPRO Elite NTH with previous years questions. Solve the coding, numerical ability, reasoning ability, verbal ability and quant questions which were asked in the past.</t>
        </is>
      </c>
      <c r="D313" s="4" t="inlineStr">
        <is>
          <t>Coding Problems - Past Years Coding Problems</t>
        </is>
      </c>
      <c r="E313" s="4" t="n">
        <v>7</v>
      </c>
      <c r="F313" s="4" t="inlineStr">
        <is>
          <t>eBay Shipping Price Calculator</t>
        </is>
      </c>
      <c r="G313" s="4" t="inlineStr">
        <is>
          <t>YJQPVI07</t>
        </is>
      </c>
      <c r="H313" s="4" t="inlineStr"/>
      <c r="I313" s="4" t="inlineStr">
        <is>
          <t>Easy</t>
        </is>
      </c>
      <c r="J313" s="5">
        <f>HYPERLINK("https://www.codechef.com/problems/YJQPVI07", "https://www.codechef.com/problems/YJQPVI07")</f>
        <v/>
      </c>
      <c r="K313" s="4" t="inlineStr"/>
      <c r="L313" s="4" t="inlineStr"/>
      <c r="M313" s="4" t="inlineStr"/>
      <c r="N313" s="4" t="inlineStr">
        <is>
          <t>No</t>
        </is>
      </c>
      <c r="O313" s="4" t="inlineStr">
        <is>
          <t>Unattempted</t>
        </is>
      </c>
    </row>
    <row r="314">
      <c r="A314" s="2" t="inlineStr">
        <is>
          <t>Company Based Questions</t>
        </is>
      </c>
      <c r="B314" s="2" t="inlineStr">
        <is>
          <t>WIPRO Elite Questions</t>
        </is>
      </c>
      <c r="C314" s="2" t="inlineStr">
        <is>
          <t>Prepare for WIPRO Elite NTH with previous years questions. Solve the coding, numerical ability, reasoning ability, verbal ability and quant questions which were asked in the past.</t>
        </is>
      </c>
      <c r="D314" s="2" t="inlineStr">
        <is>
          <t>Coding Problems - Past Years Coding Problems</t>
        </is>
      </c>
      <c r="E314" s="2" t="n">
        <v>8</v>
      </c>
      <c r="F314" s="2" t="inlineStr">
        <is>
          <t>Sum of Divisibles</t>
        </is>
      </c>
      <c r="G314" s="2" t="inlineStr">
        <is>
          <t>YJQPVI08</t>
        </is>
      </c>
      <c r="H314" s="2" t="inlineStr"/>
      <c r="I314" s="2" t="inlineStr">
        <is>
          <t>Easy</t>
        </is>
      </c>
      <c r="J314" s="3">
        <f>HYPERLINK("https://www.codechef.com/problems/YJQPVI08", "https://www.codechef.com/problems/YJQPVI08")</f>
        <v/>
      </c>
      <c r="K314" s="2" t="inlineStr"/>
      <c r="L314" s="2" t="inlineStr"/>
      <c r="M314" s="2" t="inlineStr"/>
      <c r="N314" s="2" t="inlineStr">
        <is>
          <t>No</t>
        </is>
      </c>
      <c r="O314" s="2" t="inlineStr">
        <is>
          <t>Unattempted</t>
        </is>
      </c>
    </row>
    <row r="315">
      <c r="A315" s="4" t="inlineStr">
        <is>
          <t>Company Based Questions</t>
        </is>
      </c>
      <c r="B315" s="4" t="inlineStr">
        <is>
          <t>WIPRO Elite Questions</t>
        </is>
      </c>
      <c r="C315" s="4" t="inlineStr">
        <is>
          <t>Prepare for WIPRO Elite NTH with previous years questions. Solve the coding, numerical ability, reasoning ability, verbal ability and quant questions which were asked in the past.</t>
        </is>
      </c>
      <c r="D315" s="4" t="inlineStr">
        <is>
          <t>Coding Problems - Past Years Coding Problems</t>
        </is>
      </c>
      <c r="E315" s="4" t="n">
        <v>9</v>
      </c>
      <c r="F315" s="4" t="inlineStr">
        <is>
          <t>Left Array Rotation</t>
        </is>
      </c>
      <c r="G315" s="4" t="inlineStr">
        <is>
          <t>YJQPVI14</t>
        </is>
      </c>
      <c r="H315" s="4" t="inlineStr"/>
      <c r="I315" s="4" t="inlineStr">
        <is>
          <t>Easy</t>
        </is>
      </c>
      <c r="J315" s="5">
        <f>HYPERLINK("https://www.codechef.com/problems/YJQPVI14", "https://www.codechef.com/problems/YJQPVI14")</f>
        <v/>
      </c>
      <c r="K315" s="4" t="inlineStr"/>
      <c r="L315" s="4" t="inlineStr"/>
      <c r="M315" s="4" t="inlineStr"/>
      <c r="N315" s="4" t="inlineStr">
        <is>
          <t>No</t>
        </is>
      </c>
      <c r="O315" s="4" t="inlineStr">
        <is>
          <t>Unattempted</t>
        </is>
      </c>
    </row>
    <row r="316">
      <c r="A316" s="2" t="inlineStr">
        <is>
          <t>Company Based Questions</t>
        </is>
      </c>
      <c r="B316" s="2" t="inlineStr">
        <is>
          <t>WIPRO Elite Questions</t>
        </is>
      </c>
      <c r="C316" s="2" t="inlineStr">
        <is>
          <t>Prepare for WIPRO Elite NTH with previous years questions. Solve the coding, numerical ability, reasoning ability, verbal ability and quant questions which were asked in the past.</t>
        </is>
      </c>
      <c r="D316" s="2" t="inlineStr">
        <is>
          <t>Coding Problems - Past Years Coding Problems</t>
        </is>
      </c>
      <c r="E316" s="2" t="n">
        <v>10</v>
      </c>
      <c r="F316" s="2" t="inlineStr">
        <is>
          <t>Data Encryption</t>
        </is>
      </c>
      <c r="G316" s="2" t="inlineStr">
        <is>
          <t>YJQPVI15</t>
        </is>
      </c>
      <c r="H316" s="2" t="inlineStr"/>
      <c r="I316" s="2" t="inlineStr">
        <is>
          <t>Easy</t>
        </is>
      </c>
      <c r="J316" s="3">
        <f>HYPERLINK("https://www.codechef.com/problems/YJQPVI15", "https://www.codechef.com/problems/YJQPVI15")</f>
        <v/>
      </c>
      <c r="K316" s="2" t="inlineStr"/>
      <c r="L316" s="2" t="inlineStr"/>
      <c r="M316" s="2" t="inlineStr"/>
      <c r="N316" s="2" t="inlineStr">
        <is>
          <t>No</t>
        </is>
      </c>
      <c r="O316" s="2" t="inlineStr">
        <is>
          <t>Unattempted</t>
        </is>
      </c>
    </row>
    <row r="317">
      <c r="A317" s="4" t="inlineStr">
        <is>
          <t>Company Based Questions</t>
        </is>
      </c>
      <c r="B317" s="4" t="inlineStr">
        <is>
          <t>WIPRO Elite Questions</t>
        </is>
      </c>
      <c r="C317" s="4" t="inlineStr">
        <is>
          <t>Prepare for WIPRO Elite NTH with previous years questions. Solve the coding, numerical ability, reasoning ability, verbal ability and quant questions which were asked in the past.</t>
        </is>
      </c>
      <c r="D317" s="4" t="inlineStr">
        <is>
          <t>Coding Problems - Past Years Coding Problems</t>
        </is>
      </c>
      <c r="E317" s="4" t="n">
        <v>11</v>
      </c>
      <c r="F317" s="4" t="inlineStr">
        <is>
          <t>Digit Exclusion Game</t>
        </is>
      </c>
      <c r="G317" s="4" t="inlineStr">
        <is>
          <t>YJQPVI16</t>
        </is>
      </c>
      <c r="H317" s="4" t="inlineStr"/>
      <c r="I317" s="4" t="inlineStr">
        <is>
          <t>Easy</t>
        </is>
      </c>
      <c r="J317" s="5">
        <f>HYPERLINK("https://www.codechef.com/problems/YJQPVI16", "https://www.codechef.com/problems/YJQPVI16")</f>
        <v/>
      </c>
      <c r="K317" s="4" t="inlineStr"/>
      <c r="L317" s="4" t="inlineStr"/>
      <c r="M317" s="4" t="inlineStr"/>
      <c r="N317" s="4" t="inlineStr">
        <is>
          <t>No</t>
        </is>
      </c>
      <c r="O317" s="4" t="inlineStr">
        <is>
          <t>Unattempted</t>
        </is>
      </c>
    </row>
    <row r="318">
      <c r="A318" s="2" t="inlineStr">
        <is>
          <t>Company Based Questions</t>
        </is>
      </c>
      <c r="B318" s="2" t="inlineStr">
        <is>
          <t>WIPRO Elite Questions</t>
        </is>
      </c>
      <c r="C318" s="2" t="inlineStr">
        <is>
          <t>Prepare for WIPRO Elite NTH with previous years questions. Solve the coding, numerical ability, reasoning ability, verbal ability and quant questions which were asked in the past.</t>
        </is>
      </c>
      <c r="D318" s="2" t="inlineStr">
        <is>
          <t>Coding Problems - Past Years Coding Problems</t>
        </is>
      </c>
      <c r="E318" s="2" t="n">
        <v>12</v>
      </c>
      <c r="F318" s="2" t="inlineStr">
        <is>
          <t>Sorted Array Deduplication</t>
        </is>
      </c>
      <c r="G318" s="2" t="inlineStr">
        <is>
          <t>YJQPVI17</t>
        </is>
      </c>
      <c r="H318" s="2" t="inlineStr"/>
      <c r="I318" s="2" t="inlineStr">
        <is>
          <t>Easy</t>
        </is>
      </c>
      <c r="J318" s="3">
        <f>HYPERLINK("https://www.codechef.com/problems/YJQPVI17", "https://www.codechef.com/problems/YJQPVI17")</f>
        <v/>
      </c>
      <c r="K318" s="2" t="inlineStr"/>
      <c r="L318" s="2" t="inlineStr"/>
      <c r="M318" s="2" t="inlineStr"/>
      <c r="N318" s="2" t="inlineStr">
        <is>
          <t>No</t>
        </is>
      </c>
      <c r="O318" s="2" t="inlineStr">
        <is>
          <t>Unattempted</t>
        </is>
      </c>
    </row>
    <row r="319">
      <c r="A319" s="4" t="inlineStr">
        <is>
          <t>Company Based Questions</t>
        </is>
      </c>
      <c r="B319" s="4" t="inlineStr">
        <is>
          <t>WIPRO Elite Questions</t>
        </is>
      </c>
      <c r="C319" s="4" t="inlineStr">
        <is>
          <t>Prepare for WIPRO Elite NTH with previous years questions. Solve the coding, numerical ability, reasoning ability, verbal ability and quant questions which were asked in the past.</t>
        </is>
      </c>
      <c r="D319" s="4" t="inlineStr">
        <is>
          <t>Coding Problems - Past Years Coding Problems</t>
        </is>
      </c>
      <c r="E319" s="4" t="n">
        <v>13</v>
      </c>
      <c r="F319" s="4" t="inlineStr">
        <is>
          <t>Unique Elements</t>
        </is>
      </c>
      <c r="G319" s="4" t="inlineStr">
        <is>
          <t>YJQPVI18</t>
        </is>
      </c>
      <c r="H319" s="4" t="inlineStr"/>
      <c r="I319" s="4" t="inlineStr">
        <is>
          <t>Easy</t>
        </is>
      </c>
      <c r="J319" s="5">
        <f>HYPERLINK("https://www.codechef.com/problems/YJQPVI18", "https://www.codechef.com/problems/YJQPVI18")</f>
        <v/>
      </c>
      <c r="K319" s="4" t="inlineStr"/>
      <c r="L319" s="4" t="inlineStr"/>
      <c r="M319" s="4" t="inlineStr"/>
      <c r="N319" s="4" t="inlineStr">
        <is>
          <t>No</t>
        </is>
      </c>
      <c r="O319" s="4" t="inlineStr">
        <is>
          <t>Unattempted</t>
        </is>
      </c>
    </row>
    <row r="320">
      <c r="A320" s="2" t="inlineStr">
        <is>
          <t>Company Based Questions</t>
        </is>
      </c>
      <c r="B320" s="2" t="inlineStr">
        <is>
          <t>WIPRO Elite Questions</t>
        </is>
      </c>
      <c r="C320" s="2" t="inlineStr">
        <is>
          <t>Prepare for WIPRO Elite NTH with previous years questions. Solve the coding, numerical ability, reasoning ability, verbal ability and quant questions which were asked in the past.</t>
        </is>
      </c>
      <c r="D320" s="2" t="inlineStr">
        <is>
          <t>Coding Problems - Past Years Coding Problems</t>
        </is>
      </c>
      <c r="E320" s="2" t="n">
        <v>14</v>
      </c>
      <c r="F320" s="2" t="inlineStr">
        <is>
          <t>Count Set Bits</t>
        </is>
      </c>
      <c r="G320" s="2" t="inlineStr">
        <is>
          <t>YJQPVI19</t>
        </is>
      </c>
      <c r="H320" s="2" t="inlineStr"/>
      <c r="I320" s="2" t="inlineStr">
        <is>
          <t>Easy</t>
        </is>
      </c>
      <c r="J320" s="3">
        <f>HYPERLINK("https://www.codechef.com/problems/YJQPVI19", "https://www.codechef.com/problems/YJQPVI19")</f>
        <v/>
      </c>
      <c r="K320" s="2" t="inlineStr"/>
      <c r="L320" s="2" t="inlineStr"/>
      <c r="M320" s="2" t="inlineStr"/>
      <c r="N320" s="2" t="inlineStr">
        <is>
          <t>No</t>
        </is>
      </c>
      <c r="O320" s="2" t="inlineStr">
        <is>
          <t>Unattempted</t>
        </is>
      </c>
    </row>
    <row r="321">
      <c r="A321" s="4" t="inlineStr">
        <is>
          <t>Company Based Questions</t>
        </is>
      </c>
      <c r="B321" s="4" t="inlineStr">
        <is>
          <t>WIPRO Elite Questions</t>
        </is>
      </c>
      <c r="C321" s="4" t="inlineStr">
        <is>
          <t>Prepare for WIPRO Elite NTH with previous years questions. Solve the coding, numerical ability, reasoning ability, verbal ability and quant questions which were asked in the past.</t>
        </is>
      </c>
      <c r="D321" s="4" t="inlineStr">
        <is>
          <t>Coding Problems - Past Years Coding Problems</t>
        </is>
      </c>
      <c r="E321" s="4" t="n">
        <v>15</v>
      </c>
      <c r="F321" s="4" t="inlineStr">
        <is>
          <t>Maximum Subarray Sum</t>
        </is>
      </c>
      <c r="G321" s="4" t="inlineStr">
        <is>
          <t>YJQPVI09</t>
        </is>
      </c>
      <c r="H321" s="4" t="inlineStr"/>
      <c r="I321" s="4" t="inlineStr">
        <is>
          <t>Medium</t>
        </is>
      </c>
      <c r="J321" s="5">
        <f>HYPERLINK("https://www.codechef.com/problems/YJQPVI09", "https://www.codechef.com/problems/YJQPVI09")</f>
        <v/>
      </c>
      <c r="K321" s="4" t="inlineStr"/>
      <c r="L321" s="4" t="inlineStr"/>
      <c r="M321" s="4" t="inlineStr"/>
      <c r="N321" s="4" t="inlineStr">
        <is>
          <t>No</t>
        </is>
      </c>
      <c r="O321" s="4" t="inlineStr">
        <is>
          <t>Unattempted</t>
        </is>
      </c>
    </row>
    <row r="322">
      <c r="A322" s="2" t="inlineStr">
        <is>
          <t>Company Based Questions</t>
        </is>
      </c>
      <c r="B322" s="2" t="inlineStr">
        <is>
          <t>WIPRO Elite Questions</t>
        </is>
      </c>
      <c r="C322" s="2" t="inlineStr">
        <is>
          <t>Prepare for WIPRO Elite NTH with previous years questions. Solve the coding, numerical ability, reasoning ability, verbal ability and quant questions which were asked in the past.</t>
        </is>
      </c>
      <c r="D322" s="2" t="inlineStr">
        <is>
          <t>Coding Problems - Past Years Coding Problems</t>
        </is>
      </c>
      <c r="E322" s="2" t="n">
        <v>16</v>
      </c>
      <c r="F322" s="2" t="inlineStr">
        <is>
          <t>Spaceship Fleets</t>
        </is>
      </c>
      <c r="G322" s="2" t="inlineStr">
        <is>
          <t>YJQPVI10</t>
        </is>
      </c>
      <c r="H322" s="2" t="inlineStr"/>
      <c r="I322" s="2" t="inlineStr">
        <is>
          <t>Medium</t>
        </is>
      </c>
      <c r="J322" s="3">
        <f>HYPERLINK("https://www.codechef.com/problems/YJQPVI10", "https://www.codechef.com/problems/YJQPVI10")</f>
        <v/>
      </c>
      <c r="K322" s="2" t="inlineStr"/>
      <c r="L322" s="2" t="inlineStr"/>
      <c r="M322" s="2" t="inlineStr"/>
      <c r="N322" s="2" t="inlineStr">
        <is>
          <t>No</t>
        </is>
      </c>
      <c r="O322" s="2" t="inlineStr">
        <is>
          <t>Unattempted</t>
        </is>
      </c>
    </row>
    <row r="323">
      <c r="A323" s="4" t="inlineStr">
        <is>
          <t>Company Based Questions</t>
        </is>
      </c>
      <c r="B323" s="4" t="inlineStr">
        <is>
          <t>WIPRO Elite Questions</t>
        </is>
      </c>
      <c r="C323" s="4" t="inlineStr">
        <is>
          <t>Prepare for WIPRO Elite NTH with previous years questions. Solve the coding, numerical ability, reasoning ability, verbal ability and quant questions which were asked in the past.</t>
        </is>
      </c>
      <c r="D323" s="4" t="inlineStr">
        <is>
          <t>Coding Problems - Past Years Coding Problems</t>
        </is>
      </c>
      <c r="E323" s="4" t="n">
        <v>17</v>
      </c>
      <c r="F323" s="4" t="inlineStr">
        <is>
          <t>Lexicographically Smallest String</t>
        </is>
      </c>
      <c r="G323" s="4" t="inlineStr">
        <is>
          <t>YJQPVI11</t>
        </is>
      </c>
      <c r="H323" s="4" t="inlineStr"/>
      <c r="I323" s="4" t="inlineStr">
        <is>
          <t>Medium</t>
        </is>
      </c>
      <c r="J323" s="5">
        <f>HYPERLINK("https://www.codechef.com/problems/YJQPVI11", "https://www.codechef.com/problems/YJQPVI11")</f>
        <v/>
      </c>
      <c r="K323" s="4" t="inlineStr"/>
      <c r="L323" s="4" t="inlineStr"/>
      <c r="M323" s="4" t="inlineStr"/>
      <c r="N323" s="4" t="inlineStr">
        <is>
          <t>No</t>
        </is>
      </c>
      <c r="O323" s="4" t="inlineStr">
        <is>
          <t>Unattempted</t>
        </is>
      </c>
    </row>
    <row r="324">
      <c r="A324" s="2" t="inlineStr">
        <is>
          <t>Company Based Questions</t>
        </is>
      </c>
      <c r="B324" s="2" t="inlineStr">
        <is>
          <t>WIPRO Elite Questions</t>
        </is>
      </c>
      <c r="C324" s="2" t="inlineStr">
        <is>
          <t>Prepare for WIPRO Elite NTH with previous years questions. Solve the coding, numerical ability, reasoning ability, verbal ability and quant questions which were asked in the past.</t>
        </is>
      </c>
      <c r="D324" s="2" t="inlineStr">
        <is>
          <t>Coding Problems - Past Years Coding Problems</t>
        </is>
      </c>
      <c r="E324" s="2" t="n">
        <v>18</v>
      </c>
      <c r="F324" s="2" t="inlineStr">
        <is>
          <t>Matching Socks</t>
        </is>
      </c>
      <c r="G324" s="2" t="inlineStr">
        <is>
          <t>YJQPVI12</t>
        </is>
      </c>
      <c r="H324" s="2" t="inlineStr"/>
      <c r="I324" s="2" t="inlineStr">
        <is>
          <t>Easy</t>
        </is>
      </c>
      <c r="J324" s="3">
        <f>HYPERLINK("https://www.codechef.com/problems/YJQPVI12", "https://www.codechef.com/problems/YJQPVI12")</f>
        <v/>
      </c>
      <c r="K324" s="2" t="inlineStr"/>
      <c r="L324" s="2" t="inlineStr"/>
      <c r="M324" s="2" t="inlineStr"/>
      <c r="N324" s="2" t="inlineStr">
        <is>
          <t>No</t>
        </is>
      </c>
      <c r="O324" s="2" t="inlineStr">
        <is>
          <t>Unattempted</t>
        </is>
      </c>
    </row>
    <row r="325">
      <c r="A325" s="4" t="inlineStr">
        <is>
          <t>Company Based Questions</t>
        </is>
      </c>
      <c r="B325" s="4" t="inlineStr">
        <is>
          <t>WIPRO Elite Questions</t>
        </is>
      </c>
      <c r="C325" s="4" t="inlineStr">
        <is>
          <t>Prepare for WIPRO Elite NTH with previous years questions. Solve the coding, numerical ability, reasoning ability, verbal ability and quant questions which were asked in the past.</t>
        </is>
      </c>
      <c r="D325" s="4" t="inlineStr">
        <is>
          <t>Coding Problems - Past Years Coding Problems</t>
        </is>
      </c>
      <c r="E325" s="4" t="n">
        <v>19</v>
      </c>
      <c r="F325" s="4" t="inlineStr">
        <is>
          <t>Counting Valleys</t>
        </is>
      </c>
      <c r="G325" s="4" t="inlineStr">
        <is>
          <t>YJQPVI13</t>
        </is>
      </c>
      <c r="H325" s="4" t="inlineStr"/>
      <c r="I325" s="4" t="inlineStr">
        <is>
          <t>Medium</t>
        </is>
      </c>
      <c r="J325" s="5">
        <f>HYPERLINK("https://www.codechef.com/problems/YJQPVI13", "https://www.codechef.com/problems/YJQPVI13")</f>
        <v/>
      </c>
      <c r="K325" s="4" t="inlineStr"/>
      <c r="L325" s="4" t="inlineStr"/>
      <c r="M325" s="4" t="inlineStr"/>
      <c r="N325" s="4" t="inlineStr">
        <is>
          <t>No</t>
        </is>
      </c>
      <c r="O325" s="4" t="inlineStr">
        <is>
          <t>Unattempted</t>
        </is>
      </c>
    </row>
    <row r="326">
      <c r="A326" s="2" t="inlineStr">
        <is>
          <t>Company Based Questions</t>
        </is>
      </c>
      <c r="B326" s="2" t="inlineStr">
        <is>
          <t>WIPRO Elite Questions</t>
        </is>
      </c>
      <c r="C326" s="2" t="inlineStr">
        <is>
          <t>Prepare for WIPRO Elite NTH with previous years questions. Solve the coding, numerical ability, reasoning ability, verbal ability and quant questions which were asked in the past.</t>
        </is>
      </c>
      <c r="D326" s="2" t="inlineStr">
        <is>
          <t>Coding Problems - Past Years Coding Problems</t>
        </is>
      </c>
      <c r="E326" s="2" t="n">
        <v>20</v>
      </c>
      <c r="F326" s="2" t="inlineStr">
        <is>
          <t>Majority Element</t>
        </is>
      </c>
      <c r="G326" s="2" t="inlineStr">
        <is>
          <t>YJQPVI20</t>
        </is>
      </c>
      <c r="H326" s="2" t="inlineStr"/>
      <c r="I326" s="2" t="inlineStr">
        <is>
          <t>Medium</t>
        </is>
      </c>
      <c r="J326" s="3">
        <f>HYPERLINK("https://www.codechef.com/problems/YJQPVI20", "https://www.codechef.com/problems/YJQPVI20")</f>
        <v/>
      </c>
      <c r="K326" s="2" t="inlineStr"/>
      <c r="L326" s="2" t="inlineStr"/>
      <c r="M326" s="2" t="inlineStr"/>
      <c r="N326" s="2" t="inlineStr">
        <is>
          <t>No</t>
        </is>
      </c>
      <c r="O326" s="2" t="inlineStr">
        <is>
          <t>Unattempted</t>
        </is>
      </c>
    </row>
    <row r="327">
      <c r="A327" s="4" t="inlineStr">
        <is>
          <t>Company Based Questions</t>
        </is>
      </c>
      <c r="B327" s="4" t="inlineStr">
        <is>
          <t>WIPRO Elite Questions</t>
        </is>
      </c>
      <c r="C327" s="4" t="inlineStr">
        <is>
          <t>Prepare for WIPRO Elite NTH with previous years questions. Solve the coding, numerical ability, reasoning ability, verbal ability and quant questions which were asked in the past.</t>
        </is>
      </c>
      <c r="D327" s="4" t="inlineStr">
        <is>
          <t>Coding Problems - Past Years Coding Problems</t>
        </is>
      </c>
      <c r="E327" s="4" t="n">
        <v>21</v>
      </c>
      <c r="F327" s="4" t="inlineStr">
        <is>
          <t>Rotate the List</t>
        </is>
      </c>
      <c r="G327" s="4" t="inlineStr">
        <is>
          <t>YJQPVI21</t>
        </is>
      </c>
      <c r="H327" s="4" t="inlineStr"/>
      <c r="I327" s="4" t="inlineStr">
        <is>
          <t>Medium</t>
        </is>
      </c>
      <c r="J327" s="5">
        <f>HYPERLINK("https://www.codechef.com/problems/YJQPVI21", "https://www.codechef.com/problems/YJQPVI21")</f>
        <v/>
      </c>
      <c r="K327" s="4" t="inlineStr"/>
      <c r="L327" s="4" t="inlineStr"/>
      <c r="M327" s="4" t="inlineStr"/>
      <c r="N327" s="4" t="inlineStr">
        <is>
          <t>No</t>
        </is>
      </c>
      <c r="O327" s="4" t="inlineStr">
        <is>
          <t>Unattempted</t>
        </is>
      </c>
    </row>
    <row r="328">
      <c r="A328" s="2" t="inlineStr">
        <is>
          <t>Company Based Questions</t>
        </is>
      </c>
      <c r="B328" s="2" t="inlineStr">
        <is>
          <t>WIPRO Elite Questions</t>
        </is>
      </c>
      <c r="C328" s="2" t="inlineStr">
        <is>
          <t>Prepare for WIPRO Elite NTH with previous years questions. Solve the coding, numerical ability, reasoning ability, verbal ability and quant questions which were asked in the past.</t>
        </is>
      </c>
      <c r="D328" s="2" t="inlineStr">
        <is>
          <t>Coding Problems - Past Years Coding Problems</t>
        </is>
      </c>
      <c r="E328" s="2" t="n">
        <v>22</v>
      </c>
      <c r="F328" s="2" t="inlineStr">
        <is>
          <t>K-Group Reversal</t>
        </is>
      </c>
      <c r="G328" s="2" t="inlineStr">
        <is>
          <t>YJQPVI22</t>
        </is>
      </c>
      <c r="H328" s="2" t="inlineStr"/>
      <c r="I328" s="2" t="inlineStr">
        <is>
          <t>Hard</t>
        </is>
      </c>
      <c r="J328" s="3">
        <f>HYPERLINK("https://www.codechef.com/problems/YJQPVI22", "https://www.codechef.com/problems/YJQPVI22")</f>
        <v/>
      </c>
      <c r="K328" s="2" t="inlineStr"/>
      <c r="L328" s="2" t="inlineStr"/>
      <c r="M328" s="2" t="inlineStr"/>
      <c r="N328" s="2" t="inlineStr">
        <is>
          <t>No</t>
        </is>
      </c>
      <c r="O328" s="2" t="inlineStr">
        <is>
          <t>Unattempted</t>
        </is>
      </c>
    </row>
    <row r="329">
      <c r="A329" s="4" t="inlineStr">
        <is>
          <t>Company Based Questions</t>
        </is>
      </c>
      <c r="B329" s="4" t="inlineStr">
        <is>
          <t>WIPRO Elite Questions</t>
        </is>
      </c>
      <c r="C329" s="4" t="inlineStr">
        <is>
          <t>Prepare for WIPRO Elite NTH with previous years questions. Solve the coding, numerical ability, reasoning ability, verbal ability and quant questions which were asked in the past.</t>
        </is>
      </c>
      <c r="D329" s="4" t="inlineStr">
        <is>
          <t>Coding Problems - Past Years Coding Problems</t>
        </is>
      </c>
      <c r="E329" s="4" t="n">
        <v>23</v>
      </c>
      <c r="F329" s="4" t="inlineStr">
        <is>
          <t>Wildcard Pattern Matching</t>
        </is>
      </c>
      <c r="G329" s="4" t="inlineStr">
        <is>
          <t>YJQPVI23</t>
        </is>
      </c>
      <c r="H329" s="4" t="inlineStr"/>
      <c r="I329" s="4" t="inlineStr">
        <is>
          <t>Hard</t>
        </is>
      </c>
      <c r="J329" s="5">
        <f>HYPERLINK("https://www.codechef.com/problems/YJQPVI23", "https://www.codechef.com/problems/YJQPVI23")</f>
        <v/>
      </c>
      <c r="K329" s="4" t="inlineStr"/>
      <c r="L329" s="4" t="inlineStr"/>
      <c r="M329" s="4" t="inlineStr"/>
      <c r="N329" s="4" t="inlineStr">
        <is>
          <t>No</t>
        </is>
      </c>
      <c r="O329" s="4" t="inlineStr">
        <is>
          <t>Unattempted</t>
        </is>
      </c>
    </row>
    <row r="330">
      <c r="A330" s="2" t="inlineStr">
        <is>
          <t>Company Based Questions</t>
        </is>
      </c>
      <c r="B330" s="2" t="inlineStr">
        <is>
          <t>WIPRO Elite Questions</t>
        </is>
      </c>
      <c r="C330" s="2" t="inlineStr">
        <is>
          <t>Prepare for WIPRO Elite NTH with previous years questions. Solve the coding, numerical ability, reasoning ability, verbal ability and quant questions which were asked in the past.</t>
        </is>
      </c>
      <c r="D330" s="2" t="inlineStr">
        <is>
          <t>Coding Problems - Past Years Coding Problems</t>
        </is>
      </c>
      <c r="E330" s="2" t="n">
        <v>24</v>
      </c>
      <c r="F330" s="2" t="inlineStr">
        <is>
          <t>Subarray Product</t>
        </is>
      </c>
      <c r="G330" s="2" t="inlineStr">
        <is>
          <t>YJQPVI24</t>
        </is>
      </c>
      <c r="H330" s="2" t="inlineStr"/>
      <c r="I330" s="2" t="inlineStr">
        <is>
          <t>Medium</t>
        </is>
      </c>
      <c r="J330" s="3">
        <f>HYPERLINK("https://www.codechef.com/problems/YJQPVI24", "https://www.codechef.com/problems/YJQPVI24")</f>
        <v/>
      </c>
      <c r="K330" s="2" t="inlineStr"/>
      <c r="L330" s="2" t="inlineStr"/>
      <c r="M330" s="2" t="inlineStr"/>
      <c r="N330" s="2" t="inlineStr">
        <is>
          <t>No</t>
        </is>
      </c>
      <c r="O330" s="2" t="inlineStr">
        <is>
          <t>Unattempted</t>
        </is>
      </c>
    </row>
    <row r="331">
      <c r="A331" s="4" t="inlineStr">
        <is>
          <t>Company Based Questions</t>
        </is>
      </c>
      <c r="B331" s="4" t="inlineStr">
        <is>
          <t>WIPRO Elite Questions</t>
        </is>
      </c>
      <c r="C331" s="4" t="inlineStr">
        <is>
          <t>Prepare for WIPRO Elite NTH with previous years questions. Solve the coding, numerical ability, reasoning ability, verbal ability and quant questions which were asked in the past.</t>
        </is>
      </c>
      <c r="D331" s="4" t="inlineStr">
        <is>
          <t>Coding Problems - Past Years Coding Problems</t>
        </is>
      </c>
      <c r="E331" s="4" t="n">
        <v>25</v>
      </c>
      <c r="F331" s="4" t="inlineStr">
        <is>
          <t>Queens Arrangement</t>
        </is>
      </c>
      <c r="G331" s="4" t="inlineStr">
        <is>
          <t>YJQPVI25</t>
        </is>
      </c>
      <c r="H331" s="4" t="inlineStr"/>
      <c r="I331" s="4" t="inlineStr">
        <is>
          <t>Hard</t>
        </is>
      </c>
      <c r="J331" s="5">
        <f>HYPERLINK("https://www.codechef.com/problems/YJQPVI25", "https://www.codechef.com/problems/YJQPVI25")</f>
        <v/>
      </c>
      <c r="K331" s="4" t="inlineStr"/>
      <c r="L331" s="4" t="inlineStr"/>
      <c r="M331" s="4" t="inlineStr"/>
      <c r="N331" s="4" t="inlineStr">
        <is>
          <t>No</t>
        </is>
      </c>
      <c r="O331" s="4" t="inlineStr">
        <is>
          <t>Unattempted</t>
        </is>
      </c>
    </row>
    <row r="332">
      <c r="A332" s="2" t="inlineStr">
        <is>
          <t>Company Based Questions</t>
        </is>
      </c>
      <c r="B332" s="2" t="inlineStr">
        <is>
          <t>WIPRO Elite Questions</t>
        </is>
      </c>
      <c r="C332" s="2" t="inlineStr">
        <is>
          <t>Prepare for WIPRO Elite NTH with previous years questions. Solve the coding, numerical ability, reasoning ability, verbal ability and quant questions which were asked in the past.</t>
        </is>
      </c>
      <c r="D332" s="2" t="inlineStr">
        <is>
          <t>Coding Problems - Past Years Coding Problems</t>
        </is>
      </c>
      <c r="E332" s="2" t="n">
        <v>26</v>
      </c>
      <c r="F332" s="2" t="inlineStr">
        <is>
          <t>Optimal Matrix Multiplication</t>
        </is>
      </c>
      <c r="G332" s="2" t="inlineStr">
        <is>
          <t>YJQPVI26</t>
        </is>
      </c>
      <c r="H332" s="2" t="inlineStr"/>
      <c r="I332" s="2" t="inlineStr">
        <is>
          <t>Hard</t>
        </is>
      </c>
      <c r="J332" s="3">
        <f>HYPERLINK("https://www.codechef.com/problems/YJQPVI26", "https://www.codechef.com/problems/YJQPVI26")</f>
        <v/>
      </c>
      <c r="K332" s="2" t="inlineStr"/>
      <c r="L332" s="2" t="inlineStr"/>
      <c r="M332" s="2" t="inlineStr"/>
      <c r="N332" s="2" t="inlineStr">
        <is>
          <t>No</t>
        </is>
      </c>
      <c r="O332" s="2" t="inlineStr">
        <is>
          <t>Unattempted</t>
        </is>
      </c>
    </row>
    <row r="333">
      <c r="A333" s="4" t="inlineStr">
        <is>
          <t>Company Based Questions</t>
        </is>
      </c>
      <c r="B333" s="4" t="inlineStr">
        <is>
          <t>WIPRO Elite Questions</t>
        </is>
      </c>
      <c r="C333" s="4" t="inlineStr">
        <is>
          <t>Prepare for WIPRO Elite NTH with previous years questions. Solve the coding, numerical ability, reasoning ability, verbal ability and quant questions which were asked in the past.</t>
        </is>
      </c>
      <c r="D333" s="4" t="inlineStr">
        <is>
          <t>Numerical Ability Problems - Past Years Numerical Ability Problems</t>
        </is>
      </c>
      <c r="E333" s="4" t="n">
        <v>27</v>
      </c>
      <c r="F333" s="4" t="inlineStr">
        <is>
          <t>Shopkeeper's Cost Price Calculation</t>
        </is>
      </c>
      <c r="G333" s="4" t="inlineStr">
        <is>
          <t>LKCCTY01</t>
        </is>
      </c>
      <c r="H333" s="4" t="inlineStr"/>
      <c r="I333" s="4" t="inlineStr">
        <is>
          <t>Easy</t>
        </is>
      </c>
      <c r="J333" s="5">
        <f>HYPERLINK("https://www.codechef.com/problems/LKCCTY01", "https://www.codechef.com/problems/LKCCTY01")</f>
        <v/>
      </c>
      <c r="K333" s="4" t="inlineStr"/>
      <c r="L333" s="4" t="inlineStr"/>
      <c r="M333" s="4" t="inlineStr"/>
      <c r="N333" s="4" t="inlineStr">
        <is>
          <t>No</t>
        </is>
      </c>
      <c r="O333" s="4" t="inlineStr">
        <is>
          <t>Unattempted</t>
        </is>
      </c>
    </row>
    <row r="334">
      <c r="A334" s="2" t="inlineStr">
        <is>
          <t>Company Based Questions</t>
        </is>
      </c>
      <c r="B334" s="2" t="inlineStr">
        <is>
          <t>WIPRO Elite Questions</t>
        </is>
      </c>
      <c r="C334" s="2" t="inlineStr">
        <is>
          <t>Prepare for WIPRO Elite NTH with previous years questions. Solve the coding, numerical ability, reasoning ability, verbal ability and quant questions which were asked in the past.</t>
        </is>
      </c>
      <c r="D334" s="2" t="inlineStr">
        <is>
          <t>Numerical Ability Problems - Past Years Numerical Ability Problems</t>
        </is>
      </c>
      <c r="E334" s="2" t="n">
        <v>28</v>
      </c>
      <c r="F334" s="2" t="inlineStr">
        <is>
          <t>Efficiency and Work Time Problem</t>
        </is>
      </c>
      <c r="G334" s="2" t="inlineStr">
        <is>
          <t>LKCCTY02</t>
        </is>
      </c>
      <c r="H334" s="2" t="inlineStr"/>
      <c r="I334" s="2" t="inlineStr">
        <is>
          <t>Medium</t>
        </is>
      </c>
      <c r="J334" s="3">
        <f>HYPERLINK("https://www.codechef.com/problems/LKCCTY02", "https://www.codechef.com/problems/LKCCTY02")</f>
        <v/>
      </c>
      <c r="K334" s="2" t="inlineStr"/>
      <c r="L334" s="2" t="inlineStr"/>
      <c r="M334" s="2" t="inlineStr"/>
      <c r="N334" s="2" t="inlineStr">
        <is>
          <t>No</t>
        </is>
      </c>
      <c r="O334" s="2" t="inlineStr">
        <is>
          <t>Unattempted</t>
        </is>
      </c>
    </row>
    <row r="335">
      <c r="A335" s="4" t="inlineStr">
        <is>
          <t>Company Based Questions</t>
        </is>
      </c>
      <c r="B335" s="4" t="inlineStr">
        <is>
          <t>WIPRO Elite Questions</t>
        </is>
      </c>
      <c r="C335" s="4" t="inlineStr">
        <is>
          <t>Prepare for WIPRO Elite NTH with previous years questions. Solve the coding, numerical ability, reasoning ability, verbal ability and quant questions which were asked in the past.</t>
        </is>
      </c>
      <c r="D335" s="4" t="inlineStr">
        <is>
          <t>Numerical Ability Problems - Past Years Numerical Ability Problems</t>
        </is>
      </c>
      <c r="E335" s="4" t="n">
        <v>29</v>
      </c>
      <c r="F335" s="4" t="inlineStr">
        <is>
          <t>Coins Ratio Problem</t>
        </is>
      </c>
      <c r="G335" s="4" t="inlineStr">
        <is>
          <t>LKCCTY03</t>
        </is>
      </c>
      <c r="H335" s="4" t="inlineStr"/>
      <c r="I335" s="4" t="inlineStr">
        <is>
          <t>Easy</t>
        </is>
      </c>
      <c r="J335" s="5">
        <f>HYPERLINK("https://www.codechef.com/problems/LKCCTY03", "https://www.codechef.com/problems/LKCCTY03")</f>
        <v/>
      </c>
      <c r="K335" s="4" t="inlineStr"/>
      <c r="L335" s="4" t="inlineStr"/>
      <c r="M335" s="4" t="inlineStr"/>
      <c r="N335" s="4" t="inlineStr">
        <is>
          <t>No</t>
        </is>
      </c>
      <c r="O335" s="4" t="inlineStr">
        <is>
          <t>Unattempted</t>
        </is>
      </c>
    </row>
    <row r="336">
      <c r="A336" s="2" t="inlineStr">
        <is>
          <t>Company Based Questions</t>
        </is>
      </c>
      <c r="B336" s="2" t="inlineStr">
        <is>
          <t>WIPRO Elite Questions</t>
        </is>
      </c>
      <c r="C336" s="2" t="inlineStr">
        <is>
          <t>Prepare for WIPRO Elite NTH with previous years questions. Solve the coding, numerical ability, reasoning ability, verbal ability and quant questions which were asked in the past.</t>
        </is>
      </c>
      <c r="D336" s="2" t="inlineStr">
        <is>
          <t>Numerical Ability Problems - Past Years Numerical Ability Problems</t>
        </is>
      </c>
      <c r="E336" s="2" t="n">
        <v>30</v>
      </c>
      <c r="F336" s="2" t="inlineStr">
        <is>
          <t>Relative Speed of Two Trains</t>
        </is>
      </c>
      <c r="G336" s="2" t="inlineStr">
        <is>
          <t>LKCCTY04</t>
        </is>
      </c>
      <c r="H336" s="2" t="inlineStr"/>
      <c r="I336" s="2" t="inlineStr">
        <is>
          <t>Easy</t>
        </is>
      </c>
      <c r="J336" s="3">
        <f>HYPERLINK("https://www.codechef.com/problems/LKCCTY04", "https://www.codechef.com/problems/LKCCTY04")</f>
        <v/>
      </c>
      <c r="K336" s="2" t="inlineStr"/>
      <c r="L336" s="2" t="inlineStr"/>
      <c r="M336" s="2" t="inlineStr"/>
      <c r="N336" s="2" t="inlineStr">
        <is>
          <t>No</t>
        </is>
      </c>
      <c r="O336" s="2" t="inlineStr">
        <is>
          <t>Unattempted</t>
        </is>
      </c>
    </row>
    <row r="337">
      <c r="A337" s="4" t="inlineStr">
        <is>
          <t>Company Based Questions</t>
        </is>
      </c>
      <c r="B337" s="4" t="inlineStr">
        <is>
          <t>WIPRO Elite Questions</t>
        </is>
      </c>
      <c r="C337" s="4" t="inlineStr">
        <is>
          <t>Prepare for WIPRO Elite NTH with previous years questions. Solve the coding, numerical ability, reasoning ability, verbal ability and quant questions which were asked in the past.</t>
        </is>
      </c>
      <c r="D337" s="4" t="inlineStr">
        <is>
          <t>Numerical Ability Problems - Past Years Numerical Ability Problems</t>
        </is>
      </c>
      <c r="E337" s="4" t="n">
        <v>31</v>
      </c>
      <c r="F337" s="4" t="inlineStr">
        <is>
          <t>Algebraic Expression</t>
        </is>
      </c>
      <c r="G337" s="4" t="inlineStr">
        <is>
          <t>LKCCTY05</t>
        </is>
      </c>
      <c r="H337" s="4" t="inlineStr"/>
      <c r="I337" s="4" t="inlineStr">
        <is>
          <t>Easy</t>
        </is>
      </c>
      <c r="J337" s="5">
        <f>HYPERLINK("https://www.codechef.com/problems/LKCCTY05", "https://www.codechef.com/problems/LKCCTY05")</f>
        <v/>
      </c>
      <c r="K337" s="4" t="inlineStr"/>
      <c r="L337" s="4" t="inlineStr"/>
      <c r="M337" s="4" t="inlineStr"/>
      <c r="N337" s="4" t="inlineStr">
        <is>
          <t>No</t>
        </is>
      </c>
      <c r="O337" s="4" t="inlineStr">
        <is>
          <t>Unattempted</t>
        </is>
      </c>
    </row>
    <row r="338">
      <c r="A338" s="2" t="inlineStr">
        <is>
          <t>Company Based Questions</t>
        </is>
      </c>
      <c r="B338" s="2" t="inlineStr">
        <is>
          <t>WIPRO Elite Questions</t>
        </is>
      </c>
      <c r="C338" s="2" t="inlineStr">
        <is>
          <t>Prepare for WIPRO Elite NTH with previous years questions. Solve the coding, numerical ability, reasoning ability, verbal ability and quant questions which were asked in the past.</t>
        </is>
      </c>
      <c r="D338" s="2" t="inlineStr">
        <is>
          <t>Numerical Ability Problems - Past Years Numerical Ability Problems</t>
        </is>
      </c>
      <c r="E338" s="2" t="n">
        <v>32</v>
      </c>
      <c r="F338" s="2" t="inlineStr">
        <is>
          <t>Arithmetic Progression: Concert Ticket Sales</t>
        </is>
      </c>
      <c r="G338" s="2" t="inlineStr">
        <is>
          <t>LKCCTY06</t>
        </is>
      </c>
      <c r="H338" s="2" t="inlineStr"/>
      <c r="I338" s="2" t="inlineStr">
        <is>
          <t>Easy</t>
        </is>
      </c>
      <c r="J338" s="3">
        <f>HYPERLINK("https://www.codechef.com/problems/LKCCTY06", "https://www.codechef.com/problems/LKCCTY06")</f>
        <v/>
      </c>
      <c r="K338" s="2" t="inlineStr"/>
      <c r="L338" s="2" t="inlineStr"/>
      <c r="M338" s="2" t="inlineStr"/>
      <c r="N338" s="2" t="inlineStr">
        <is>
          <t>No</t>
        </is>
      </c>
      <c r="O338" s="2" t="inlineStr">
        <is>
          <t>Unattempted</t>
        </is>
      </c>
    </row>
    <row r="339">
      <c r="A339" s="4" t="inlineStr">
        <is>
          <t>Company Based Questions</t>
        </is>
      </c>
      <c r="B339" s="4" t="inlineStr">
        <is>
          <t>WIPRO Elite Questions</t>
        </is>
      </c>
      <c r="C339" s="4" t="inlineStr">
        <is>
          <t>Prepare for WIPRO Elite NTH with previous years questions. Solve the coding, numerical ability, reasoning ability, verbal ability and quant questions which were asked in the past.</t>
        </is>
      </c>
      <c r="D339" s="4" t="inlineStr">
        <is>
          <t>Numerical Ability Problems - Past Years Numerical Ability Problems</t>
        </is>
      </c>
      <c r="E339" s="4" t="n">
        <v>33</v>
      </c>
      <c r="F339" s="4" t="inlineStr">
        <is>
          <t>Midpoint Coordinates</t>
        </is>
      </c>
      <c r="G339" s="4" t="inlineStr">
        <is>
          <t>LKCCTY07</t>
        </is>
      </c>
      <c r="H339" s="4" t="inlineStr"/>
      <c r="I339" s="4" t="inlineStr">
        <is>
          <t>Easy</t>
        </is>
      </c>
      <c r="J339" s="5">
        <f>HYPERLINK("https://www.codechef.com/problems/LKCCTY07", "https://www.codechef.com/problems/LKCCTY07")</f>
        <v/>
      </c>
      <c r="K339" s="4" t="inlineStr"/>
      <c r="L339" s="4" t="inlineStr"/>
      <c r="M339" s="4" t="inlineStr"/>
      <c r="N339" s="4" t="inlineStr">
        <is>
          <t>No</t>
        </is>
      </c>
      <c r="O339" s="4" t="inlineStr">
        <is>
          <t>Unattempted</t>
        </is>
      </c>
    </row>
    <row r="340">
      <c r="A340" s="2" t="inlineStr">
        <is>
          <t>Company Based Questions</t>
        </is>
      </c>
      <c r="B340" s="2" t="inlineStr">
        <is>
          <t>WIPRO Elite Questions</t>
        </is>
      </c>
      <c r="C340" s="2" t="inlineStr">
        <is>
          <t>Prepare for WIPRO Elite NTH with previous years questions. Solve the coding, numerical ability, reasoning ability, verbal ability and quant questions which were asked in the past.</t>
        </is>
      </c>
      <c r="D340" s="2" t="inlineStr">
        <is>
          <t>Numerical Ability Problems - Past Years Numerical Ability Problems</t>
        </is>
      </c>
      <c r="E340" s="2" t="n">
        <v>34</v>
      </c>
      <c r="F340" s="2" t="inlineStr">
        <is>
          <t>Rectangular Park Area</t>
        </is>
      </c>
      <c r="G340" s="2" t="inlineStr">
        <is>
          <t>LKCCTY08</t>
        </is>
      </c>
      <c r="H340" s="2" t="inlineStr"/>
      <c r="I340" s="2" t="inlineStr">
        <is>
          <t>Easy</t>
        </is>
      </c>
      <c r="J340" s="3">
        <f>HYPERLINK("https://www.codechef.com/problems/LKCCTY08", "https://www.codechef.com/problems/LKCCTY08")</f>
        <v/>
      </c>
      <c r="K340" s="2" t="inlineStr"/>
      <c r="L340" s="2" t="inlineStr"/>
      <c r="M340" s="2" t="inlineStr"/>
      <c r="N340" s="2" t="inlineStr">
        <is>
          <t>No</t>
        </is>
      </c>
      <c r="O340" s="2" t="inlineStr">
        <is>
          <t>Unattempted</t>
        </is>
      </c>
    </row>
    <row r="341">
      <c r="A341" s="4" t="inlineStr">
        <is>
          <t>Company Based Questions</t>
        </is>
      </c>
      <c r="B341" s="4" t="inlineStr">
        <is>
          <t>WIPRO Elite Questions</t>
        </is>
      </c>
      <c r="C341" s="4" t="inlineStr">
        <is>
          <t>Prepare for WIPRO Elite NTH with previous years questions. Solve the coding, numerical ability, reasoning ability, verbal ability and quant questions which were asked in the past.</t>
        </is>
      </c>
      <c r="D341" s="4" t="inlineStr">
        <is>
          <t>Numerical Ability Problems - Past Years Numerical Ability Problems</t>
        </is>
      </c>
      <c r="E341" s="4" t="n">
        <v>35</v>
      </c>
      <c r="F341" s="4" t="inlineStr">
        <is>
          <t>Alloy Mixture Composition</t>
        </is>
      </c>
      <c r="G341" s="4" t="inlineStr">
        <is>
          <t>LKCCTY09</t>
        </is>
      </c>
      <c r="H341" s="4" t="inlineStr"/>
      <c r="I341" s="4" t="inlineStr">
        <is>
          <t>Medium</t>
        </is>
      </c>
      <c r="J341" s="5">
        <f>HYPERLINK("https://www.codechef.com/problems/LKCCTY09", "https://www.codechef.com/problems/LKCCTY09")</f>
        <v/>
      </c>
      <c r="K341" s="4" t="inlineStr"/>
      <c r="L341" s="4" t="inlineStr"/>
      <c r="M341" s="4" t="inlineStr"/>
      <c r="N341" s="4" t="inlineStr">
        <is>
          <t>No</t>
        </is>
      </c>
      <c r="O341" s="4" t="inlineStr">
        <is>
          <t>Unattempted</t>
        </is>
      </c>
    </row>
    <row r="342">
      <c r="A342" s="2" t="inlineStr">
        <is>
          <t>Company Based Questions</t>
        </is>
      </c>
      <c r="B342" s="2" t="inlineStr">
        <is>
          <t>WIPRO Elite Questions</t>
        </is>
      </c>
      <c r="C342" s="2" t="inlineStr">
        <is>
          <t>Prepare for WIPRO Elite NTH with previous years questions. Solve the coding, numerical ability, reasoning ability, verbal ability and quant questions which were asked in the past.</t>
        </is>
      </c>
      <c r="D342" s="2" t="inlineStr">
        <is>
          <t>Numerical Ability Problems - Past Years Numerical Ability Problems</t>
        </is>
      </c>
      <c r="E342" s="2" t="n">
        <v>36</v>
      </c>
      <c r="F342" s="2" t="inlineStr">
        <is>
          <t>Average Players from Three States</t>
        </is>
      </c>
      <c r="G342" s="2" t="inlineStr">
        <is>
          <t>LKCCTY10</t>
        </is>
      </c>
      <c r="H342" s="2" t="inlineStr"/>
      <c r="I342" s="2" t="inlineStr">
        <is>
          <t>Medium</t>
        </is>
      </c>
      <c r="J342" s="3">
        <f>HYPERLINK("https://www.codechef.com/problems/LKCCTY10", "https://www.codechef.com/problems/LKCCTY10")</f>
        <v/>
      </c>
      <c r="K342" s="2" t="inlineStr"/>
      <c r="L342" s="2" t="inlineStr"/>
      <c r="M342" s="2" t="inlineStr"/>
      <c r="N342" s="2" t="inlineStr">
        <is>
          <t>No</t>
        </is>
      </c>
      <c r="O342" s="2" t="inlineStr">
        <is>
          <t>Unattempted</t>
        </is>
      </c>
    </row>
    <row r="343">
      <c r="A343" s="4" t="inlineStr">
        <is>
          <t>Company Based Questions</t>
        </is>
      </c>
      <c r="B343" s="4" t="inlineStr">
        <is>
          <t>WIPRO Elite Questions</t>
        </is>
      </c>
      <c r="C343" s="4" t="inlineStr">
        <is>
          <t>Prepare for WIPRO Elite NTH with previous years questions. Solve the coding, numerical ability, reasoning ability, verbal ability and quant questions which were asked in the past.</t>
        </is>
      </c>
      <c r="D343" s="4" t="inlineStr">
        <is>
          <t>Numerical Ability Problems - Past Years Numerical Ability Problems</t>
        </is>
      </c>
      <c r="E343" s="4" t="n">
        <v>37</v>
      </c>
      <c r="F343" s="4" t="inlineStr">
        <is>
          <t>Dilution Profit Calculation</t>
        </is>
      </c>
      <c r="G343" s="4" t="inlineStr">
        <is>
          <t>LKCCTY11</t>
        </is>
      </c>
      <c r="H343" s="4" t="inlineStr"/>
      <c r="I343" s="4" t="inlineStr">
        <is>
          <t>Easy</t>
        </is>
      </c>
      <c r="J343" s="5">
        <f>HYPERLINK("https://www.codechef.com/problems/LKCCTY11", "https://www.codechef.com/problems/LKCCTY11")</f>
        <v/>
      </c>
      <c r="K343" s="4" t="inlineStr"/>
      <c r="L343" s="4" t="inlineStr"/>
      <c r="M343" s="4" t="inlineStr"/>
      <c r="N343" s="4" t="inlineStr">
        <is>
          <t>No</t>
        </is>
      </c>
      <c r="O343" s="4" t="inlineStr">
        <is>
          <t>Unattempted</t>
        </is>
      </c>
    </row>
    <row r="344">
      <c r="A344" s="2" t="inlineStr">
        <is>
          <t>Company Based Questions</t>
        </is>
      </c>
      <c r="B344" s="2" t="inlineStr">
        <is>
          <t>WIPRO Elite Questions</t>
        </is>
      </c>
      <c r="C344" s="2" t="inlineStr">
        <is>
          <t>Prepare for WIPRO Elite NTH with previous years questions. Solve the coding, numerical ability, reasoning ability, verbal ability and quant questions which were asked in the past.</t>
        </is>
      </c>
      <c r="D344" s="2" t="inlineStr">
        <is>
          <t>Numerical Ability Problems - Past Years Numerical Ability Problems</t>
        </is>
      </c>
      <c r="E344" s="2" t="n">
        <v>38</v>
      </c>
      <c r="F344" s="2" t="inlineStr">
        <is>
          <t>Gold Medal Ratio</t>
        </is>
      </c>
      <c r="G344" s="2" t="inlineStr">
        <is>
          <t>LKCCTY12</t>
        </is>
      </c>
      <c r="H344" s="2" t="inlineStr"/>
      <c r="I344" s="2" t="inlineStr">
        <is>
          <t>Medium</t>
        </is>
      </c>
      <c r="J344" s="3">
        <f>HYPERLINK("https://www.codechef.com/problems/LKCCTY12", "https://www.codechef.com/problems/LKCCTY12")</f>
        <v/>
      </c>
      <c r="K344" s="2" t="inlineStr"/>
      <c r="L344" s="2" t="inlineStr"/>
      <c r="M344" s="2" t="inlineStr"/>
      <c r="N344" s="2" t="inlineStr">
        <is>
          <t>No</t>
        </is>
      </c>
      <c r="O344" s="2" t="inlineStr">
        <is>
          <t>Unattempted</t>
        </is>
      </c>
    </row>
    <row r="345">
      <c r="A345" s="4" t="inlineStr">
        <is>
          <t>Company Based Questions</t>
        </is>
      </c>
      <c r="B345" s="4" t="inlineStr">
        <is>
          <t>WIPRO Elite Questions</t>
        </is>
      </c>
      <c r="C345" s="4" t="inlineStr">
        <is>
          <t>Prepare for WIPRO Elite NTH with previous years questions. Solve the coding, numerical ability, reasoning ability, verbal ability and quant questions which were asked in the past.</t>
        </is>
      </c>
      <c r="D345" s="4" t="inlineStr">
        <is>
          <t>Numerical Ability Problems - Past Years Numerical Ability Problems</t>
        </is>
      </c>
      <c r="E345" s="4" t="n">
        <v>39</v>
      </c>
      <c r="F345" s="4" t="inlineStr">
        <is>
          <t>Fraction Alteration Problem</t>
        </is>
      </c>
      <c r="G345" s="4" t="inlineStr">
        <is>
          <t>LKCCTY13</t>
        </is>
      </c>
      <c r="H345" s="4" t="inlineStr"/>
      <c r="I345" s="4" t="inlineStr">
        <is>
          <t>Medium</t>
        </is>
      </c>
      <c r="J345" s="5">
        <f>HYPERLINK("https://www.codechef.com/problems/LKCCTY13", "https://www.codechef.com/problems/LKCCTY13")</f>
        <v/>
      </c>
      <c r="K345" s="4" t="inlineStr"/>
      <c r="L345" s="4" t="inlineStr"/>
      <c r="M345" s="4" t="inlineStr"/>
      <c r="N345" s="4" t="inlineStr">
        <is>
          <t>No</t>
        </is>
      </c>
      <c r="O345" s="4" t="inlineStr">
        <is>
          <t>Unattempted</t>
        </is>
      </c>
    </row>
    <row r="346">
      <c r="A346" s="2" t="inlineStr">
        <is>
          <t>Company Based Questions</t>
        </is>
      </c>
      <c r="B346" s="2" t="inlineStr">
        <is>
          <t>WIPRO Elite Questions</t>
        </is>
      </c>
      <c r="C346" s="2" t="inlineStr">
        <is>
          <t>Prepare for WIPRO Elite NTH with previous years questions. Solve the coding, numerical ability, reasoning ability, verbal ability and quant questions which were asked in the past.</t>
        </is>
      </c>
      <c r="D346" s="2" t="inlineStr">
        <is>
          <t>Numerical Ability Problems - Past Years Numerical Ability Problems</t>
        </is>
      </c>
      <c r="E346" s="2" t="n">
        <v>40</v>
      </c>
      <c r="F346" s="2" t="inlineStr">
        <is>
          <t>Student Marks Comparison</t>
        </is>
      </c>
      <c r="G346" s="2" t="inlineStr">
        <is>
          <t>LKCCTY14</t>
        </is>
      </c>
      <c r="H346" s="2" t="inlineStr"/>
      <c r="I346" s="2" t="inlineStr">
        <is>
          <t>Medium</t>
        </is>
      </c>
      <c r="J346" s="3">
        <f>HYPERLINK("https://www.codechef.com/problems/LKCCTY14", "https://www.codechef.com/problems/LKCCTY14")</f>
        <v/>
      </c>
      <c r="K346" s="2" t="inlineStr"/>
      <c r="L346" s="2" t="inlineStr"/>
      <c r="M346" s="2" t="inlineStr"/>
      <c r="N346" s="2" t="inlineStr">
        <is>
          <t>No</t>
        </is>
      </c>
      <c r="O346" s="2" t="inlineStr">
        <is>
          <t>Unattempted</t>
        </is>
      </c>
    </row>
    <row r="347">
      <c r="A347" s="4" t="inlineStr">
        <is>
          <t>Company Based Questions</t>
        </is>
      </c>
      <c r="B347" s="4" t="inlineStr">
        <is>
          <t>WIPRO Elite Questions</t>
        </is>
      </c>
      <c r="C347" s="4" t="inlineStr">
        <is>
          <t>Prepare for WIPRO Elite NTH with previous years questions. Solve the coding, numerical ability, reasoning ability, verbal ability and quant questions which were asked in the past.</t>
        </is>
      </c>
      <c r="D347" s="4" t="inlineStr">
        <is>
          <t>Reasoning Ability Problems - Past Years Reasoning Ability Problems</t>
        </is>
      </c>
      <c r="E347" s="4" t="n">
        <v>41</v>
      </c>
      <c r="F347" s="4" t="inlineStr">
        <is>
          <t>Coded Inequality I</t>
        </is>
      </c>
      <c r="G347" s="4" t="inlineStr">
        <is>
          <t>LKCCTY15</t>
        </is>
      </c>
      <c r="H347" s="4" t="inlineStr"/>
      <c r="I347" s="4" t="inlineStr">
        <is>
          <t>Medium</t>
        </is>
      </c>
      <c r="J347" s="5">
        <f>HYPERLINK("https://www.codechef.com/problems/LKCCTY15", "https://www.codechef.com/problems/LKCCTY15")</f>
        <v/>
      </c>
      <c r="K347" s="4" t="inlineStr"/>
      <c r="L347" s="4" t="inlineStr"/>
      <c r="M347" s="4" t="inlineStr"/>
      <c r="N347" s="4" t="inlineStr">
        <is>
          <t>No</t>
        </is>
      </c>
      <c r="O347" s="4" t="inlineStr">
        <is>
          <t>Unattempted</t>
        </is>
      </c>
    </row>
    <row r="348">
      <c r="A348" s="2" t="inlineStr">
        <is>
          <t>Company Based Questions</t>
        </is>
      </c>
      <c r="B348" s="2" t="inlineStr">
        <is>
          <t>WIPRO Elite Questions</t>
        </is>
      </c>
      <c r="C348" s="2" t="inlineStr">
        <is>
          <t>Prepare for WIPRO Elite NTH with previous years questions. Solve the coding, numerical ability, reasoning ability, verbal ability and quant questions which were asked in the past.</t>
        </is>
      </c>
      <c r="D348" s="2" t="inlineStr">
        <is>
          <t>Reasoning Ability Problems - Past Years Reasoning Ability Problems</t>
        </is>
      </c>
      <c r="E348" s="2" t="n">
        <v>42</v>
      </c>
      <c r="F348" s="2" t="inlineStr">
        <is>
          <t>Coded Inequality II</t>
        </is>
      </c>
      <c r="G348" s="2" t="inlineStr">
        <is>
          <t>LKCCTY16</t>
        </is>
      </c>
      <c r="H348" s="2" t="inlineStr"/>
      <c r="I348" s="2" t="inlineStr">
        <is>
          <t>Medium</t>
        </is>
      </c>
      <c r="J348" s="3">
        <f>HYPERLINK("https://www.codechef.com/problems/LKCCTY16", "https://www.codechef.com/problems/LKCCTY16")</f>
        <v/>
      </c>
      <c r="K348" s="2" t="inlineStr"/>
      <c r="L348" s="2" t="inlineStr"/>
      <c r="M348" s="2" t="inlineStr"/>
      <c r="N348" s="2" t="inlineStr">
        <is>
          <t>No</t>
        </is>
      </c>
      <c r="O348" s="2" t="inlineStr">
        <is>
          <t>Unattempted</t>
        </is>
      </c>
    </row>
    <row r="349">
      <c r="A349" s="4" t="inlineStr">
        <is>
          <t>Company Based Questions</t>
        </is>
      </c>
      <c r="B349" s="4" t="inlineStr">
        <is>
          <t>WIPRO Elite Questions</t>
        </is>
      </c>
      <c r="C349" s="4" t="inlineStr">
        <is>
          <t>Prepare for WIPRO Elite NTH with previous years questions. Solve the coding, numerical ability, reasoning ability, verbal ability and quant questions which were asked in the past.</t>
        </is>
      </c>
      <c r="D349" s="4" t="inlineStr">
        <is>
          <t>Reasoning Ability Problems - Past Years Reasoning Ability Problems</t>
        </is>
      </c>
      <c r="E349" s="4" t="n">
        <v>43</v>
      </c>
      <c r="F349" s="4" t="inlineStr">
        <is>
          <t>Seating Arrangement</t>
        </is>
      </c>
      <c r="G349" s="4" t="inlineStr">
        <is>
          <t>LKCCTY17</t>
        </is>
      </c>
      <c r="H349" s="4" t="inlineStr"/>
      <c r="I349" s="4" t="inlineStr">
        <is>
          <t>Medium</t>
        </is>
      </c>
      <c r="J349" s="5">
        <f>HYPERLINK("https://www.codechef.com/problems/LKCCTY17", "https://www.codechef.com/problems/LKCCTY17")</f>
        <v/>
      </c>
      <c r="K349" s="4" t="inlineStr"/>
      <c r="L349" s="4" t="inlineStr"/>
      <c r="M349" s="4" t="inlineStr"/>
      <c r="N349" s="4" t="inlineStr">
        <is>
          <t>No</t>
        </is>
      </c>
      <c r="O349" s="4" t="inlineStr">
        <is>
          <t>Unattempted</t>
        </is>
      </c>
    </row>
    <row r="350">
      <c r="A350" s="2" t="inlineStr">
        <is>
          <t>Company Based Questions</t>
        </is>
      </c>
      <c r="B350" s="2" t="inlineStr">
        <is>
          <t>WIPRO Elite Questions</t>
        </is>
      </c>
      <c r="C350" s="2" t="inlineStr">
        <is>
          <t>Prepare for WIPRO Elite NTH with previous years questions. Solve the coding, numerical ability, reasoning ability, verbal ability and quant questions which were asked in the past.</t>
        </is>
      </c>
      <c r="D350" s="2" t="inlineStr">
        <is>
          <t>Reasoning Ability Problems - Past Years Reasoning Ability Problems</t>
        </is>
      </c>
      <c r="E350" s="2" t="n">
        <v>44</v>
      </c>
      <c r="F350" s="2" t="inlineStr">
        <is>
          <t>Statement and Argument Analysis</t>
        </is>
      </c>
      <c r="G350" s="2" t="inlineStr">
        <is>
          <t>LKCCTY18</t>
        </is>
      </c>
      <c r="H350" s="2" t="inlineStr"/>
      <c r="I350" s="2" t="inlineStr">
        <is>
          <t>Medium</t>
        </is>
      </c>
      <c r="J350" s="3">
        <f>HYPERLINK("https://www.codechef.com/problems/LKCCTY18", "https://www.codechef.com/problems/LKCCTY18")</f>
        <v/>
      </c>
      <c r="K350" s="2" t="inlineStr"/>
      <c r="L350" s="2" t="inlineStr"/>
      <c r="M350" s="2" t="inlineStr"/>
      <c r="N350" s="2" t="inlineStr">
        <is>
          <t>No</t>
        </is>
      </c>
      <c r="O350" s="2" t="inlineStr">
        <is>
          <t>Unattempted</t>
        </is>
      </c>
    </row>
    <row r="351">
      <c r="A351" s="4" t="inlineStr">
        <is>
          <t>Company Based Questions</t>
        </is>
      </c>
      <c r="B351" s="4" t="inlineStr">
        <is>
          <t>WIPRO Elite Questions</t>
        </is>
      </c>
      <c r="C351" s="4" t="inlineStr">
        <is>
          <t>Prepare for WIPRO Elite NTH with previous years questions. Solve the coding, numerical ability, reasoning ability, verbal ability and quant questions which were asked in the past.</t>
        </is>
      </c>
      <c r="D351" s="4" t="inlineStr">
        <is>
          <t>Reasoning Ability Problems - Past Years Reasoning Ability Problems</t>
        </is>
      </c>
      <c r="E351" s="4" t="n">
        <v>45</v>
      </c>
      <c r="F351" s="4" t="inlineStr">
        <is>
          <t>Data Sufficiency: Student Scores</t>
        </is>
      </c>
      <c r="G351" s="4" t="inlineStr">
        <is>
          <t>LKCCTY19</t>
        </is>
      </c>
      <c r="H351" s="4" t="inlineStr"/>
      <c r="I351" s="4" t="inlineStr">
        <is>
          <t>Medium</t>
        </is>
      </c>
      <c r="J351" s="5">
        <f>HYPERLINK("https://www.codechef.com/problems/LKCCTY19", "https://www.codechef.com/problems/LKCCTY19")</f>
        <v/>
      </c>
      <c r="K351" s="4" t="inlineStr"/>
      <c r="L351" s="4" t="inlineStr"/>
      <c r="M351" s="4" t="inlineStr"/>
      <c r="N351" s="4" t="inlineStr">
        <is>
          <t>No</t>
        </is>
      </c>
      <c r="O351" s="4" t="inlineStr">
        <is>
          <t>Unattempted</t>
        </is>
      </c>
    </row>
    <row r="352">
      <c r="A352" s="2" t="inlineStr">
        <is>
          <t>Company Based Questions</t>
        </is>
      </c>
      <c r="B352" s="2" t="inlineStr">
        <is>
          <t>WIPRO Elite Questions</t>
        </is>
      </c>
      <c r="C352" s="2" t="inlineStr">
        <is>
          <t>Prepare for WIPRO Elite NTH with previous years questions. Solve the coding, numerical ability, reasoning ability, verbal ability and quant questions which were asked in the past.</t>
        </is>
      </c>
      <c r="D352" s="2" t="inlineStr">
        <is>
          <t>Reasoning Ability Problems - Past Years Reasoning Ability Problems</t>
        </is>
      </c>
      <c r="E352" s="2" t="n">
        <v>46</v>
      </c>
      <c r="F352" s="2" t="inlineStr">
        <is>
          <t>Letter Series with Mixed Pattern</t>
        </is>
      </c>
      <c r="G352" s="2" t="inlineStr">
        <is>
          <t>LKCCTY20</t>
        </is>
      </c>
      <c r="H352" s="2" t="inlineStr"/>
      <c r="I352" s="2" t="inlineStr">
        <is>
          <t>Easy</t>
        </is>
      </c>
      <c r="J352" s="3">
        <f>HYPERLINK("https://www.codechef.com/problems/LKCCTY20", "https://www.codechef.com/problems/LKCCTY20")</f>
        <v/>
      </c>
      <c r="K352" s="2" t="inlineStr"/>
      <c r="L352" s="2" t="inlineStr"/>
      <c r="M352" s="2" t="inlineStr"/>
      <c r="N352" s="2" t="inlineStr">
        <is>
          <t>No</t>
        </is>
      </c>
      <c r="O352" s="2" t="inlineStr">
        <is>
          <t>Unattempted</t>
        </is>
      </c>
    </row>
    <row r="353">
      <c r="A353" s="4" t="inlineStr">
        <is>
          <t>Company Based Questions</t>
        </is>
      </c>
      <c r="B353" s="4" t="inlineStr">
        <is>
          <t>WIPRO Elite Questions</t>
        </is>
      </c>
      <c r="C353" s="4" t="inlineStr">
        <is>
          <t>Prepare for WIPRO Elite NTH with previous years questions. Solve the coding, numerical ability, reasoning ability, verbal ability and quant questions which were asked in the past.</t>
        </is>
      </c>
      <c r="D353" s="4" t="inlineStr">
        <is>
          <t>Reasoning Ability Problems - Past Years Reasoning Ability Problems</t>
        </is>
      </c>
      <c r="E353" s="4" t="n">
        <v>47</v>
      </c>
      <c r="F353" s="4" t="inlineStr">
        <is>
          <t>Alternating Number Series Puzzle</t>
        </is>
      </c>
      <c r="G353" s="4" t="inlineStr">
        <is>
          <t>NJTODZ37</t>
        </is>
      </c>
      <c r="H353" s="4" t="inlineStr"/>
      <c r="I353" s="4" t="inlineStr">
        <is>
          <t>Medium</t>
        </is>
      </c>
      <c r="J353" s="5">
        <f>HYPERLINK("https://www.codechef.com/problems/NJTODZ37", "https://www.codechef.com/problems/NJTODZ37")</f>
        <v/>
      </c>
      <c r="K353" s="4" t="inlineStr"/>
      <c r="L353" s="4" t="inlineStr"/>
      <c r="M353" s="4" t="inlineStr"/>
      <c r="N353" s="4" t="inlineStr">
        <is>
          <t>No</t>
        </is>
      </c>
      <c r="O353" s="4" t="inlineStr">
        <is>
          <t>Unattempted</t>
        </is>
      </c>
    </row>
    <row r="354">
      <c r="A354" s="2" t="inlineStr">
        <is>
          <t>Company Based Questions</t>
        </is>
      </c>
      <c r="B354" s="2" t="inlineStr">
        <is>
          <t>WIPRO Elite Questions</t>
        </is>
      </c>
      <c r="C354" s="2" t="inlineStr">
        <is>
          <t>Prepare for WIPRO Elite NTH with previous years questions. Solve the coding, numerical ability, reasoning ability, verbal ability and quant questions which were asked in the past.</t>
        </is>
      </c>
      <c r="D354" s="2" t="inlineStr">
        <is>
          <t>Reasoning Ability Problems - Past Years Reasoning Ability Problems</t>
        </is>
      </c>
      <c r="E354" s="2" t="n">
        <v>48</v>
      </c>
      <c r="F354" s="2" t="inlineStr">
        <is>
          <t>Logical Deduction: School Uniforms</t>
        </is>
      </c>
      <c r="G354" s="2" t="inlineStr">
        <is>
          <t>NJTODZ38</t>
        </is>
      </c>
      <c r="H354" s="2" t="inlineStr"/>
      <c r="I354" s="2" t="inlineStr">
        <is>
          <t>Easy</t>
        </is>
      </c>
      <c r="J354" s="3">
        <f>HYPERLINK("https://www.codechef.com/problems/NJTODZ38", "https://www.codechef.com/problems/NJTODZ38")</f>
        <v/>
      </c>
      <c r="K354" s="2" t="inlineStr"/>
      <c r="L354" s="2" t="inlineStr"/>
      <c r="M354" s="2" t="inlineStr"/>
      <c r="N354" s="2" t="inlineStr">
        <is>
          <t>No</t>
        </is>
      </c>
      <c r="O354" s="2" t="inlineStr">
        <is>
          <t>Unattempted</t>
        </is>
      </c>
    </row>
    <row r="355">
      <c r="A355" s="4" t="inlineStr">
        <is>
          <t>Company Based Questions</t>
        </is>
      </c>
      <c r="B355" s="4" t="inlineStr">
        <is>
          <t>WIPRO Elite Questions</t>
        </is>
      </c>
      <c r="C355" s="4" t="inlineStr">
        <is>
          <t>Prepare for WIPRO Elite NTH with previous years questions. Solve the coding, numerical ability, reasoning ability, verbal ability and quant questions which were asked in the past.</t>
        </is>
      </c>
      <c r="D355" s="4" t="inlineStr">
        <is>
          <t>Reasoning Ability Problems - Past Years Reasoning Ability Problems</t>
        </is>
      </c>
      <c r="E355" s="4" t="n">
        <v>49</v>
      </c>
      <c r="F355" s="4" t="inlineStr">
        <is>
          <t>Family Relation Puzzle</t>
        </is>
      </c>
      <c r="G355" s="4" t="inlineStr">
        <is>
          <t>NJTODZ39</t>
        </is>
      </c>
      <c r="H355" s="4" t="inlineStr"/>
      <c r="I355" s="4" t="inlineStr">
        <is>
          <t>Easy</t>
        </is>
      </c>
      <c r="J355" s="5">
        <f>HYPERLINK("https://www.codechef.com/problems/NJTODZ39", "https://www.codechef.com/problems/NJTODZ39")</f>
        <v/>
      </c>
      <c r="K355" s="4" t="inlineStr"/>
      <c r="L355" s="4" t="inlineStr"/>
      <c r="M355" s="4" t="inlineStr"/>
      <c r="N355" s="4" t="inlineStr">
        <is>
          <t>No</t>
        </is>
      </c>
      <c r="O355" s="4" t="inlineStr">
        <is>
          <t>Unattempted</t>
        </is>
      </c>
    </row>
    <row r="356">
      <c r="A356" s="2" t="inlineStr">
        <is>
          <t>Company Based Questions</t>
        </is>
      </c>
      <c r="B356" s="2" t="inlineStr">
        <is>
          <t>WIPRO Elite Questions</t>
        </is>
      </c>
      <c r="C356" s="2" t="inlineStr">
        <is>
          <t>Prepare for WIPRO Elite NTH with previous years questions. Solve the coding, numerical ability, reasoning ability, verbal ability and quant questions which were asked in the past.</t>
        </is>
      </c>
      <c r="D356" s="2" t="inlineStr">
        <is>
          <t>Reasoning Ability Problems - Past Years Reasoning Ability Problems</t>
        </is>
      </c>
      <c r="E356" s="2" t="n">
        <v>50</v>
      </c>
      <c r="F356" s="2" t="inlineStr">
        <is>
          <t>Family Relationship Puzzle</t>
        </is>
      </c>
      <c r="G356" s="2" t="inlineStr">
        <is>
          <t>NJTODZ40</t>
        </is>
      </c>
      <c r="H356" s="2" t="inlineStr"/>
      <c r="I356" s="2" t="inlineStr">
        <is>
          <t>Easy</t>
        </is>
      </c>
      <c r="J356" s="3">
        <f>HYPERLINK("https://www.codechef.com/problems/NJTODZ40", "https://www.codechef.com/problems/NJTODZ40")</f>
        <v/>
      </c>
      <c r="K356" s="2" t="inlineStr"/>
      <c r="L356" s="2" t="inlineStr"/>
      <c r="M356" s="2" t="inlineStr"/>
      <c r="N356" s="2" t="inlineStr">
        <is>
          <t>No</t>
        </is>
      </c>
      <c r="O356" s="2" t="inlineStr">
        <is>
          <t>Unattempted</t>
        </is>
      </c>
    </row>
    <row r="357">
      <c r="A357" s="4" t="inlineStr">
        <is>
          <t>Company Based Questions</t>
        </is>
      </c>
      <c r="B357" s="4" t="inlineStr">
        <is>
          <t>WIPRO Elite Questions</t>
        </is>
      </c>
      <c r="C357" s="4" t="inlineStr">
        <is>
          <t>Prepare for WIPRO Elite NTH with previous years questions. Solve the coding, numerical ability, reasoning ability, verbal ability and quant questions which were asked in the past.</t>
        </is>
      </c>
      <c r="D357" s="4" t="inlineStr">
        <is>
          <t>Reasoning Ability Problems - Past Years Reasoning Ability Problems</t>
        </is>
      </c>
      <c r="E357" s="4" t="n">
        <v>51</v>
      </c>
      <c r="F357" s="4" t="inlineStr">
        <is>
          <t>Directional Turn Puzzle</t>
        </is>
      </c>
      <c r="G357" s="4" t="inlineStr">
        <is>
          <t>NJTODZ41</t>
        </is>
      </c>
      <c r="H357" s="4" t="inlineStr"/>
      <c r="I357" s="4" t="inlineStr">
        <is>
          <t>Easy</t>
        </is>
      </c>
      <c r="J357" s="5">
        <f>HYPERLINK("https://www.codechef.com/problems/NJTODZ41", "https://www.codechef.com/problems/NJTODZ41")</f>
        <v/>
      </c>
      <c r="K357" s="4" t="inlineStr"/>
      <c r="L357" s="4" t="inlineStr"/>
      <c r="M357" s="4" t="inlineStr"/>
      <c r="N357" s="4" t="inlineStr">
        <is>
          <t>No</t>
        </is>
      </c>
      <c r="O357" s="4" t="inlineStr">
        <is>
          <t>Unattempted</t>
        </is>
      </c>
    </row>
    <row r="358">
      <c r="A358" s="2" t="inlineStr">
        <is>
          <t>Company Based Questions</t>
        </is>
      </c>
      <c r="B358" s="2" t="inlineStr">
        <is>
          <t>WIPRO Elite Questions</t>
        </is>
      </c>
      <c r="C358" s="2" t="inlineStr">
        <is>
          <t>Prepare for WIPRO Elite NTH with previous years questions. Solve the coding, numerical ability, reasoning ability, verbal ability and quant questions which were asked in the past.</t>
        </is>
      </c>
      <c r="D358" s="2" t="inlineStr">
        <is>
          <t>Reasoning Ability Problems - Past Years Reasoning Ability Problems</t>
        </is>
      </c>
      <c r="E358" s="2" t="n">
        <v>52</v>
      </c>
      <c r="F358" s="2" t="inlineStr">
        <is>
          <t>Remote Work Policy Debate</t>
        </is>
      </c>
      <c r="G358" s="2" t="inlineStr">
        <is>
          <t>NJTODZ42</t>
        </is>
      </c>
      <c r="H358" s="2" t="inlineStr"/>
      <c r="I358" s="2" t="inlineStr">
        <is>
          <t>Easy</t>
        </is>
      </c>
      <c r="J358" s="3">
        <f>HYPERLINK("https://www.codechef.com/problems/NJTODZ42", "https://www.codechef.com/problems/NJTODZ42")</f>
        <v/>
      </c>
      <c r="K358" s="2" t="inlineStr"/>
      <c r="L358" s="2" t="inlineStr"/>
      <c r="M358" s="2" t="inlineStr"/>
      <c r="N358" s="2" t="inlineStr">
        <is>
          <t>No</t>
        </is>
      </c>
      <c r="O358" s="2" t="inlineStr">
        <is>
          <t>Unattempted</t>
        </is>
      </c>
    </row>
    <row r="359">
      <c r="A359" s="4" t="inlineStr">
        <is>
          <t>Company Based Questions</t>
        </is>
      </c>
      <c r="B359" s="4" t="inlineStr">
        <is>
          <t>WIPRO Elite Questions</t>
        </is>
      </c>
      <c r="C359" s="4" t="inlineStr">
        <is>
          <t>Prepare for WIPRO Elite NTH with previous years questions. Solve the coding, numerical ability, reasoning ability, verbal ability and quant questions which were asked in the past.</t>
        </is>
      </c>
      <c r="D359" s="4" t="inlineStr">
        <is>
          <t>Reasoning Ability Problems - Past Years Reasoning Ability Problems</t>
        </is>
      </c>
      <c r="E359" s="4" t="n">
        <v>53</v>
      </c>
      <c r="F359" s="4" t="inlineStr">
        <is>
          <t>Strong Arguments on Education</t>
        </is>
      </c>
      <c r="G359" s="4" t="inlineStr">
        <is>
          <t>NJTODZ43</t>
        </is>
      </c>
      <c r="H359" s="4" t="inlineStr"/>
      <c r="I359" s="4" t="inlineStr">
        <is>
          <t>Medium</t>
        </is>
      </c>
      <c r="J359" s="5">
        <f>HYPERLINK("https://www.codechef.com/problems/NJTODZ43", "https://www.codechef.com/problems/NJTODZ43")</f>
        <v/>
      </c>
      <c r="K359" s="4" t="inlineStr"/>
      <c r="L359" s="4" t="inlineStr"/>
      <c r="M359" s="4" t="inlineStr"/>
      <c r="N359" s="4" t="inlineStr">
        <is>
          <t>No</t>
        </is>
      </c>
      <c r="O359" s="4" t="inlineStr">
        <is>
          <t>Unattempted</t>
        </is>
      </c>
    </row>
    <row r="360">
      <c r="A360" s="2" t="inlineStr">
        <is>
          <t>Company Based Questions</t>
        </is>
      </c>
      <c r="B360" s="2" t="inlineStr">
        <is>
          <t>WIPRO Elite Questions</t>
        </is>
      </c>
      <c r="C360" s="2" t="inlineStr">
        <is>
          <t>Prepare for WIPRO Elite NTH with previous years questions. Solve the coding, numerical ability, reasoning ability, verbal ability and quant questions which were asked in the past.</t>
        </is>
      </c>
      <c r="D360" s="2" t="inlineStr">
        <is>
          <t>Reasoning Ability Problems - Past Years Reasoning Ability Problems</t>
        </is>
      </c>
      <c r="E360" s="2" t="n">
        <v>54</v>
      </c>
      <c r="F360" s="2" t="inlineStr">
        <is>
          <t>Logical Deduction Tools</t>
        </is>
      </c>
      <c r="G360" s="2" t="inlineStr">
        <is>
          <t>NJTODZ44</t>
        </is>
      </c>
      <c r="H360" s="2" t="inlineStr"/>
      <c r="I360" s="2" t="inlineStr">
        <is>
          <t>Easy</t>
        </is>
      </c>
      <c r="J360" s="3">
        <f>HYPERLINK("https://www.codechef.com/problems/NJTODZ44", "https://www.codechef.com/problems/NJTODZ44")</f>
        <v/>
      </c>
      <c r="K360" s="2" t="inlineStr"/>
      <c r="L360" s="2" t="inlineStr"/>
      <c r="M360" s="2" t="inlineStr"/>
      <c r="N360" s="2" t="inlineStr">
        <is>
          <t>No</t>
        </is>
      </c>
      <c r="O360" s="2" t="inlineStr">
        <is>
          <t>Unattempted</t>
        </is>
      </c>
    </row>
    <row r="361">
      <c r="A361" s="4" t="inlineStr">
        <is>
          <t>Company Based Questions</t>
        </is>
      </c>
      <c r="B361" s="4" t="inlineStr">
        <is>
          <t>WIPRO Elite Questions</t>
        </is>
      </c>
      <c r="C361" s="4" t="inlineStr">
        <is>
          <t>Prepare for WIPRO Elite NTH with previous years questions. Solve the coding, numerical ability, reasoning ability, verbal ability and quant questions which were asked in the past.</t>
        </is>
      </c>
      <c r="D361" s="4" t="inlineStr">
        <is>
          <t>Reasoning Ability Problems - Past Years Reasoning Ability Problems</t>
        </is>
      </c>
      <c r="E361" s="4" t="n">
        <v>55</v>
      </c>
      <c r="F361" s="4" t="inlineStr">
        <is>
          <t>Logical Reasoning: Vehicles and Engines</t>
        </is>
      </c>
      <c r="G361" s="4" t="inlineStr">
        <is>
          <t>NJTODZ45</t>
        </is>
      </c>
      <c r="H361" s="4" t="inlineStr"/>
      <c r="I361" s="4" t="inlineStr">
        <is>
          <t>Easy</t>
        </is>
      </c>
      <c r="J361" s="5">
        <f>HYPERLINK("https://www.codechef.com/problems/NJTODZ45", "https://www.codechef.com/problems/NJTODZ45")</f>
        <v/>
      </c>
      <c r="K361" s="4" t="inlineStr"/>
      <c r="L361" s="4" t="inlineStr"/>
      <c r="M361" s="4" t="inlineStr"/>
      <c r="N361" s="4" t="inlineStr">
        <is>
          <t>No</t>
        </is>
      </c>
      <c r="O361" s="4" t="inlineStr">
        <is>
          <t>Unattempted</t>
        </is>
      </c>
    </row>
    <row r="362">
      <c r="A362" s="2" t="inlineStr">
        <is>
          <t>Company Based Questions</t>
        </is>
      </c>
      <c r="B362" s="2" t="inlineStr">
        <is>
          <t>WIPRO Elite Questions</t>
        </is>
      </c>
      <c r="C362" s="2" t="inlineStr">
        <is>
          <t>Prepare for WIPRO Elite NTH with previous years questions. Solve the coding, numerical ability, reasoning ability, verbal ability and quant questions which were asked in the past.</t>
        </is>
      </c>
      <c r="D362" s="2" t="inlineStr">
        <is>
          <t>Reasoning Ability Problems - Past Years Reasoning Ability Problems</t>
        </is>
      </c>
      <c r="E362" s="2" t="n">
        <v>56</v>
      </c>
      <c r="F362" s="2" t="inlineStr">
        <is>
          <t>Family Relation Puzzle</t>
        </is>
      </c>
      <c r="G362" s="2" t="inlineStr">
        <is>
          <t>NJTODZ46</t>
        </is>
      </c>
      <c r="H362" s="2" t="inlineStr"/>
      <c r="I362" s="2" t="inlineStr">
        <is>
          <t>Easy</t>
        </is>
      </c>
      <c r="J362" s="3">
        <f>HYPERLINK("https://www.codechef.com/problems/NJTODZ46", "https://www.codechef.com/problems/NJTODZ46")</f>
        <v/>
      </c>
      <c r="K362" s="2" t="inlineStr"/>
      <c r="L362" s="2" t="inlineStr"/>
      <c r="M362" s="2" t="inlineStr"/>
      <c r="N362" s="2" t="inlineStr">
        <is>
          <t>No</t>
        </is>
      </c>
      <c r="O362" s="2" t="inlineStr">
        <is>
          <t>Unattempted</t>
        </is>
      </c>
    </row>
    <row r="363">
      <c r="A363" s="4" t="inlineStr">
        <is>
          <t>Company Based Questions</t>
        </is>
      </c>
      <c r="B363" s="4" t="inlineStr">
        <is>
          <t>WIPRO Elite Questions</t>
        </is>
      </c>
      <c r="C363" s="4" t="inlineStr">
        <is>
          <t>Prepare for WIPRO Elite NTH with previous years questions. Solve the coding, numerical ability, reasoning ability, verbal ability and quant questions which were asked in the past.</t>
        </is>
      </c>
      <c r="D363" s="4" t="inlineStr">
        <is>
          <t>Verbal Ability Problems - Past Years Verbal Ability Problems</t>
        </is>
      </c>
      <c r="E363" s="4" t="n">
        <v>57</v>
      </c>
      <c r="F363" s="4" t="inlineStr">
        <is>
          <t>Meaning of visitors in a sentence</t>
        </is>
      </c>
      <c r="G363" s="4" t="inlineStr">
        <is>
          <t>LKCCTY21</t>
        </is>
      </c>
      <c r="H363" s="4" t="inlineStr"/>
      <c r="I363" s="4" t="inlineStr">
        <is>
          <t>Easy</t>
        </is>
      </c>
      <c r="J363" s="5">
        <f>HYPERLINK("https://www.codechef.com/problems/LKCCTY21", "https://www.codechef.com/problems/LKCCTY21")</f>
        <v/>
      </c>
      <c r="K363" s="4" t="inlineStr"/>
      <c r="L363" s="4" t="inlineStr"/>
      <c r="M363" s="4" t="inlineStr"/>
      <c r="N363" s="4" t="inlineStr">
        <is>
          <t>No</t>
        </is>
      </c>
      <c r="O363" s="4" t="inlineStr">
        <is>
          <t>Unattempted</t>
        </is>
      </c>
    </row>
    <row r="364">
      <c r="A364" s="2" t="inlineStr">
        <is>
          <t>Company Based Questions</t>
        </is>
      </c>
      <c r="B364" s="2" t="inlineStr">
        <is>
          <t>WIPRO Elite Questions</t>
        </is>
      </c>
      <c r="C364" s="2" t="inlineStr">
        <is>
          <t>Prepare for WIPRO Elite NTH with previous years questions. Solve the coding, numerical ability, reasoning ability, verbal ability and quant questions which were asked in the past.</t>
        </is>
      </c>
      <c r="D364" s="2" t="inlineStr">
        <is>
          <t>Verbal Ability Problems - Past Years Verbal Ability Problems</t>
        </is>
      </c>
      <c r="E364" s="2" t="n">
        <v>58</v>
      </c>
      <c r="F364" s="2" t="inlineStr">
        <is>
          <t>Spot the Error: Subject-Verb Agreement</t>
        </is>
      </c>
      <c r="G364" s="2" t="inlineStr">
        <is>
          <t>LKCCTY22</t>
        </is>
      </c>
      <c r="H364" s="2" t="inlineStr"/>
      <c r="I364" s="2" t="inlineStr">
        <is>
          <t>Easy</t>
        </is>
      </c>
      <c r="J364" s="3">
        <f>HYPERLINK("https://www.codechef.com/problems/LKCCTY22", "https://www.codechef.com/problems/LKCCTY22")</f>
        <v/>
      </c>
      <c r="K364" s="2" t="inlineStr"/>
      <c r="L364" s="2" t="inlineStr"/>
      <c r="M364" s="2" t="inlineStr"/>
      <c r="N364" s="2" t="inlineStr">
        <is>
          <t>No</t>
        </is>
      </c>
      <c r="O364" s="2" t="inlineStr">
        <is>
          <t>Unattempted</t>
        </is>
      </c>
    </row>
    <row r="365">
      <c r="A365" s="4" t="inlineStr">
        <is>
          <t>Company Based Questions</t>
        </is>
      </c>
      <c r="B365" s="4" t="inlineStr">
        <is>
          <t>WIPRO Elite Questions</t>
        </is>
      </c>
      <c r="C365" s="4" t="inlineStr">
        <is>
          <t>Prepare for WIPRO Elite NTH with previous years questions. Solve the coding, numerical ability, reasoning ability, verbal ability and quant questions which were asked in the past.</t>
        </is>
      </c>
      <c r="D365" s="4" t="inlineStr">
        <is>
          <t>Verbal Ability Problems - Past Years Verbal Ability Problems</t>
        </is>
      </c>
      <c r="E365" s="4" t="n">
        <v>59</v>
      </c>
      <c r="F365" s="4" t="inlineStr">
        <is>
          <t>Active and Passive Voice Transformation</t>
        </is>
      </c>
      <c r="G365" s="4" t="inlineStr">
        <is>
          <t>LKCCTY23</t>
        </is>
      </c>
      <c r="H365" s="4" t="inlineStr"/>
      <c r="I365" s="4" t="inlineStr">
        <is>
          <t>Easy</t>
        </is>
      </c>
      <c r="J365" s="5">
        <f>HYPERLINK("https://www.codechef.com/problems/LKCCTY23", "https://www.codechef.com/problems/LKCCTY23")</f>
        <v/>
      </c>
      <c r="K365" s="4" t="inlineStr"/>
      <c r="L365" s="4" t="inlineStr"/>
      <c r="M365" s="4" t="inlineStr"/>
      <c r="N365" s="4" t="inlineStr">
        <is>
          <t>No</t>
        </is>
      </c>
      <c r="O365" s="4" t="inlineStr">
        <is>
          <t>Unattempted</t>
        </is>
      </c>
    </row>
    <row r="366">
      <c r="A366" s="2" t="inlineStr">
        <is>
          <t>Company Based Questions</t>
        </is>
      </c>
      <c r="B366" s="2" t="inlineStr">
        <is>
          <t>WIPRO Elite Questions</t>
        </is>
      </c>
      <c r="C366" s="2" t="inlineStr">
        <is>
          <t>Prepare for WIPRO Elite NTH with previous years questions. Solve the coding, numerical ability, reasoning ability, verbal ability and quant questions which were asked in the past.</t>
        </is>
      </c>
      <c r="D366" s="2" t="inlineStr">
        <is>
          <t>Verbal Ability Problems - Past Years Verbal Ability Problems</t>
        </is>
      </c>
      <c r="E366" s="2" t="n">
        <v>60</v>
      </c>
      <c r="F366" s="2" t="inlineStr">
        <is>
          <t>Spot the Error: Subject-Verb Agreement</t>
        </is>
      </c>
      <c r="G366" s="2" t="inlineStr">
        <is>
          <t>LKCCTY24</t>
        </is>
      </c>
      <c r="H366" s="2" t="inlineStr"/>
      <c r="I366" s="2" t="inlineStr">
        <is>
          <t>Easy</t>
        </is>
      </c>
      <c r="J366" s="3">
        <f>HYPERLINK("https://www.codechef.com/problems/LKCCTY24", "https://www.codechef.com/problems/LKCCTY24")</f>
        <v/>
      </c>
      <c r="K366" s="2" t="inlineStr"/>
      <c r="L366" s="2" t="inlineStr"/>
      <c r="M366" s="2" t="inlineStr"/>
      <c r="N366" s="2" t="inlineStr">
        <is>
          <t>No</t>
        </is>
      </c>
      <c r="O366" s="2" t="inlineStr">
        <is>
          <t>Unattempted</t>
        </is>
      </c>
    </row>
    <row r="367">
      <c r="A367" s="4" t="inlineStr">
        <is>
          <t>Company Based Questions</t>
        </is>
      </c>
      <c r="B367" s="4" t="inlineStr">
        <is>
          <t>WIPRO Elite Questions</t>
        </is>
      </c>
      <c r="C367" s="4" t="inlineStr">
        <is>
          <t>Prepare for WIPRO Elite NTH with previous years questions. Solve the coding, numerical ability, reasoning ability, verbal ability and quant questions which were asked in the past.</t>
        </is>
      </c>
      <c r="D367" s="4" t="inlineStr">
        <is>
          <t>Verbal Ability Problems - Past Years Verbal Ability Problems</t>
        </is>
      </c>
      <c r="E367" s="4" t="n">
        <v>61</v>
      </c>
      <c r="F367" s="4" t="inlineStr">
        <is>
          <t>Synonym of SAVAGE</t>
        </is>
      </c>
      <c r="G367" s="4" t="inlineStr">
        <is>
          <t>LKCCTY25</t>
        </is>
      </c>
      <c r="H367" s="4" t="inlineStr"/>
      <c r="I367" s="4" t="inlineStr">
        <is>
          <t>Easy</t>
        </is>
      </c>
      <c r="J367" s="5">
        <f>HYPERLINK("https://www.codechef.com/problems/LKCCTY25", "https://www.codechef.com/problems/LKCCTY25")</f>
        <v/>
      </c>
      <c r="K367" s="4" t="inlineStr"/>
      <c r="L367" s="4" t="inlineStr"/>
      <c r="M367" s="4" t="inlineStr"/>
      <c r="N367" s="4" t="inlineStr">
        <is>
          <t>No</t>
        </is>
      </c>
      <c r="O367" s="4" t="inlineStr">
        <is>
          <t>Unattempted</t>
        </is>
      </c>
    </row>
    <row r="368">
      <c r="A368" s="2" t="inlineStr">
        <is>
          <t>Company Based Questions</t>
        </is>
      </c>
      <c r="B368" s="2" t="inlineStr">
        <is>
          <t>WIPRO Elite Questions</t>
        </is>
      </c>
      <c r="C368" s="2" t="inlineStr">
        <is>
          <t>Prepare for WIPRO Elite NTH with previous years questions. Solve the coding, numerical ability, reasoning ability, verbal ability and quant questions which were asked in the past.</t>
        </is>
      </c>
      <c r="D368" s="2" t="inlineStr">
        <is>
          <t>Quant Problems - Past Years Quant Problems</t>
        </is>
      </c>
      <c r="E368" s="2" t="n">
        <v>62</v>
      </c>
      <c r="F368" s="2" t="inlineStr">
        <is>
          <t>Library Usable Stock Calculation</t>
        </is>
      </c>
      <c r="G368" s="2" t="inlineStr">
        <is>
          <t>NJTODZ01</t>
        </is>
      </c>
      <c r="H368" s="2" t="inlineStr"/>
      <c r="I368" s="2" t="inlineStr">
        <is>
          <t>Easy</t>
        </is>
      </c>
      <c r="J368" s="3">
        <f>HYPERLINK("https://www.codechef.com/problems/NJTODZ01", "https://www.codechef.com/problems/NJTODZ01")</f>
        <v/>
      </c>
      <c r="K368" s="2" t="inlineStr"/>
      <c r="L368" s="2" t="inlineStr"/>
      <c r="M368" s="2" t="inlineStr"/>
      <c r="N368" s="2" t="inlineStr">
        <is>
          <t>No</t>
        </is>
      </c>
      <c r="O368" s="2" t="inlineStr">
        <is>
          <t>Unattempted</t>
        </is>
      </c>
    </row>
    <row r="369">
      <c r="A369" s="4" t="inlineStr">
        <is>
          <t>Company Based Questions</t>
        </is>
      </c>
      <c r="B369" s="4" t="inlineStr">
        <is>
          <t>WIPRO Elite Questions</t>
        </is>
      </c>
      <c r="C369" s="4" t="inlineStr">
        <is>
          <t>Prepare for WIPRO Elite NTH with previous years questions. Solve the coding, numerical ability, reasoning ability, verbal ability and quant questions which were asked in the past.</t>
        </is>
      </c>
      <c r="D369" s="4" t="inlineStr">
        <is>
          <t>Quant Problems - Past Years Quant Problems</t>
        </is>
      </c>
      <c r="E369" s="4" t="n">
        <v>63</v>
      </c>
      <c r="F369" s="4" t="inlineStr">
        <is>
          <t>Smallest Perfect Square Divisible by Numbers</t>
        </is>
      </c>
      <c r="G369" s="4" t="inlineStr">
        <is>
          <t>NJTODZ02</t>
        </is>
      </c>
      <c r="H369" s="4" t="inlineStr"/>
      <c r="I369" s="4" t="inlineStr">
        <is>
          <t>Medium</t>
        </is>
      </c>
      <c r="J369" s="5">
        <f>HYPERLINK("https://www.codechef.com/problems/NJTODZ02", "https://www.codechef.com/problems/NJTODZ02")</f>
        <v/>
      </c>
      <c r="K369" s="4" t="inlineStr"/>
      <c r="L369" s="4" t="inlineStr"/>
      <c r="M369" s="4" t="inlineStr"/>
      <c r="N369" s="4" t="inlineStr">
        <is>
          <t>No</t>
        </is>
      </c>
      <c r="O369" s="4" t="inlineStr">
        <is>
          <t>Unattempted</t>
        </is>
      </c>
    </row>
    <row r="370">
      <c r="A370" s="2" t="inlineStr">
        <is>
          <t>Company Based Questions</t>
        </is>
      </c>
      <c r="B370" s="2" t="inlineStr">
        <is>
          <t>WIPRO Elite Questions</t>
        </is>
      </c>
      <c r="C370" s="2" t="inlineStr">
        <is>
          <t>Prepare for WIPRO Elite NTH with previous years questions. Solve the coding, numerical ability, reasoning ability, verbal ability and quant questions which were asked in the past.</t>
        </is>
      </c>
      <c r="D370" s="2" t="inlineStr">
        <is>
          <t>Quant Problems - Past Years Quant Problems</t>
        </is>
      </c>
      <c r="E370" s="2" t="n">
        <v>64</v>
      </c>
      <c r="F370" s="2" t="inlineStr">
        <is>
          <t>Perfect Square Land Plot</t>
        </is>
      </c>
      <c r="G370" s="2" t="inlineStr">
        <is>
          <t>NJTODZ03</t>
        </is>
      </c>
      <c r="H370" s="2" t="inlineStr"/>
      <c r="I370" s="2" t="inlineStr">
        <is>
          <t>Easy</t>
        </is>
      </c>
      <c r="J370" s="3">
        <f>HYPERLINK("https://www.codechef.com/problems/NJTODZ03", "https://www.codechef.com/problems/NJTODZ03")</f>
        <v/>
      </c>
      <c r="K370" s="2" t="inlineStr"/>
      <c r="L370" s="2" t="inlineStr"/>
      <c r="M370" s="2" t="inlineStr"/>
      <c r="N370" s="2" t="inlineStr">
        <is>
          <t>No</t>
        </is>
      </c>
      <c r="O370" s="2" t="inlineStr">
        <is>
          <t>Unattempted</t>
        </is>
      </c>
    </row>
    <row r="371">
      <c r="A371" s="4" t="inlineStr">
        <is>
          <t>Company Based Questions</t>
        </is>
      </c>
      <c r="B371" s="4" t="inlineStr">
        <is>
          <t>WIPRO Elite Questions</t>
        </is>
      </c>
      <c r="C371" s="4" t="inlineStr">
        <is>
          <t>Prepare for WIPRO Elite NTH with previous years questions. Solve the coding, numerical ability, reasoning ability, verbal ability and quant questions which were asked in the past.</t>
        </is>
      </c>
      <c r="D371" s="4" t="inlineStr">
        <is>
          <t>Quant Problems - Past Years Quant Problems</t>
        </is>
      </c>
      <c r="E371" s="4" t="n">
        <v>65</v>
      </c>
      <c r="F371" s="4" t="inlineStr">
        <is>
          <t>Last Digit Calculation</t>
        </is>
      </c>
      <c r="G371" s="4" t="inlineStr">
        <is>
          <t>NJTODZ04</t>
        </is>
      </c>
      <c r="H371" s="4" t="inlineStr"/>
      <c r="I371" s="4" t="inlineStr">
        <is>
          <t>Medium</t>
        </is>
      </c>
      <c r="J371" s="5">
        <f>HYPERLINK("https://www.codechef.com/problems/NJTODZ04", "https://www.codechef.com/problems/NJTODZ04")</f>
        <v/>
      </c>
      <c r="K371" s="4" t="inlineStr"/>
      <c r="L371" s="4" t="inlineStr"/>
      <c r="M371" s="4" t="inlineStr"/>
      <c r="N371" s="4" t="inlineStr">
        <is>
          <t>No</t>
        </is>
      </c>
      <c r="O371" s="4" t="inlineStr">
        <is>
          <t>Unattempted</t>
        </is>
      </c>
    </row>
    <row r="372">
      <c r="A372" s="2" t="inlineStr">
        <is>
          <t>Company Based Questions</t>
        </is>
      </c>
      <c r="B372" s="2" t="inlineStr">
        <is>
          <t>WIPRO Elite Questions</t>
        </is>
      </c>
      <c r="C372" s="2" t="inlineStr">
        <is>
          <t>Prepare for WIPRO Elite NTH with previous years questions. Solve the coding, numerical ability, reasoning ability, verbal ability and quant questions which were asked in the past.</t>
        </is>
      </c>
      <c r="D372" s="2" t="inlineStr">
        <is>
          <t>Quant Problems - Past Years Quant Problems</t>
        </is>
      </c>
      <c r="E372" s="2" t="n">
        <v>66</v>
      </c>
      <c r="F372" s="2" t="inlineStr">
        <is>
          <t>Permutation of Professor</t>
        </is>
      </c>
      <c r="G372" s="2" t="inlineStr">
        <is>
          <t>NJTODZ05</t>
        </is>
      </c>
      <c r="H372" s="2" t="inlineStr"/>
      <c r="I372" s="2" t="inlineStr">
        <is>
          <t>Medium</t>
        </is>
      </c>
      <c r="J372" s="3">
        <f>HYPERLINK("https://www.codechef.com/problems/NJTODZ05", "https://www.codechef.com/problems/NJTODZ05")</f>
        <v/>
      </c>
      <c r="K372" s="2" t="inlineStr"/>
      <c r="L372" s="2" t="inlineStr"/>
      <c r="M372" s="2" t="inlineStr"/>
      <c r="N372" s="2" t="inlineStr">
        <is>
          <t>No</t>
        </is>
      </c>
      <c r="O372" s="2" t="inlineStr">
        <is>
          <t>Unattempted</t>
        </is>
      </c>
    </row>
    <row r="373">
      <c r="A373" s="4" t="inlineStr">
        <is>
          <t>Company Based Questions</t>
        </is>
      </c>
      <c r="B373" s="4" t="inlineStr">
        <is>
          <t>WIPRO Elite Questions</t>
        </is>
      </c>
      <c r="C373" s="4" t="inlineStr">
        <is>
          <t>Prepare for WIPRO Elite NTH with previous years questions. Solve the coding, numerical ability, reasoning ability, verbal ability and quant questions which were asked in the past.</t>
        </is>
      </c>
      <c r="D373" s="4" t="inlineStr">
        <is>
          <t>Quant Problems - Past Years Quant Problems</t>
        </is>
      </c>
      <c r="E373" s="4" t="n">
        <v>67</v>
      </c>
      <c r="F373" s="4" t="inlineStr">
        <is>
          <t>Painters Working Together</t>
        </is>
      </c>
      <c r="G373" s="4" t="inlineStr">
        <is>
          <t>NJTODZ06</t>
        </is>
      </c>
      <c r="H373" s="4" t="inlineStr"/>
      <c r="I373" s="4" t="inlineStr">
        <is>
          <t>Medium</t>
        </is>
      </c>
      <c r="J373" s="5">
        <f>HYPERLINK("https://www.codechef.com/problems/NJTODZ06", "https://www.codechef.com/problems/NJTODZ06")</f>
        <v/>
      </c>
      <c r="K373" s="4" t="inlineStr"/>
      <c r="L373" s="4" t="inlineStr"/>
      <c r="M373" s="4" t="inlineStr"/>
      <c r="N373" s="4" t="inlineStr">
        <is>
          <t>No</t>
        </is>
      </c>
      <c r="O373" s="4" t="inlineStr">
        <is>
          <t>Unattempted</t>
        </is>
      </c>
    </row>
    <row r="374">
      <c r="A374" s="2" t="inlineStr">
        <is>
          <t>Company Based Questions</t>
        </is>
      </c>
      <c r="B374" s="2" t="inlineStr">
        <is>
          <t>WIPRO Elite Questions</t>
        </is>
      </c>
      <c r="C374" s="2" t="inlineStr">
        <is>
          <t>Prepare for WIPRO Elite NTH with previous years questions. Solve the coding, numerical ability, reasoning ability, verbal ability and quant questions which were asked in the past.</t>
        </is>
      </c>
      <c r="D374" s="2" t="inlineStr">
        <is>
          <t>Quant Problems - Past Years Quant Problems</t>
        </is>
      </c>
      <c r="E374" s="2" t="n">
        <v>68</v>
      </c>
      <c r="F374" s="2" t="inlineStr">
        <is>
          <t>Team's Average Score Change</t>
        </is>
      </c>
      <c r="G374" s="2" t="inlineStr">
        <is>
          <t>NJTODZ07</t>
        </is>
      </c>
      <c r="H374" s="2" t="inlineStr"/>
      <c r="I374" s="2" t="inlineStr">
        <is>
          <t>Medium</t>
        </is>
      </c>
      <c r="J374" s="3">
        <f>HYPERLINK("https://www.codechef.com/problems/NJTODZ07", "https://www.codechef.com/problems/NJTODZ07")</f>
        <v/>
      </c>
      <c r="K374" s="2" t="inlineStr"/>
      <c r="L374" s="2" t="inlineStr"/>
      <c r="M374" s="2" t="inlineStr"/>
      <c r="N374" s="2" t="inlineStr">
        <is>
          <t>No</t>
        </is>
      </c>
      <c r="O374" s="2" t="inlineStr">
        <is>
          <t>Unattempted</t>
        </is>
      </c>
    </row>
    <row r="375">
      <c r="A375" s="4" t="inlineStr">
        <is>
          <t>Company Based Questions</t>
        </is>
      </c>
      <c r="B375" s="4" t="inlineStr">
        <is>
          <t>WIPRO Elite Questions</t>
        </is>
      </c>
      <c r="C375" s="4" t="inlineStr">
        <is>
          <t>Prepare for WIPRO Elite NTH with previous years questions. Solve the coding, numerical ability, reasoning ability, verbal ability and quant questions which were asked in the past.</t>
        </is>
      </c>
      <c r="D375" s="4" t="inlineStr">
        <is>
          <t>Quant Problems - Past Years Quant Problems</t>
        </is>
      </c>
      <c r="E375" s="4" t="n">
        <v>69</v>
      </c>
      <c r="F375" s="4" t="inlineStr">
        <is>
          <t>Age Ratio Problem: Alice and Bob</t>
        </is>
      </c>
      <c r="G375" s="4" t="inlineStr">
        <is>
          <t>NJTODZ08</t>
        </is>
      </c>
      <c r="H375" s="4" t="inlineStr"/>
      <c r="I375" s="4" t="inlineStr">
        <is>
          <t>Medium</t>
        </is>
      </c>
      <c r="J375" s="5">
        <f>HYPERLINK("https://www.codechef.com/problems/NJTODZ08", "https://www.codechef.com/problems/NJTODZ08")</f>
        <v/>
      </c>
      <c r="K375" s="4" t="inlineStr"/>
      <c r="L375" s="4" t="inlineStr"/>
      <c r="M375" s="4" t="inlineStr"/>
      <c r="N375" s="4" t="inlineStr">
        <is>
          <t>No</t>
        </is>
      </c>
      <c r="O375" s="4" t="inlineStr">
        <is>
          <t>Unattempted</t>
        </is>
      </c>
    </row>
    <row r="376">
      <c r="A376" s="2" t="inlineStr">
        <is>
          <t>Company Based Questions</t>
        </is>
      </c>
      <c r="B376" s="2" t="inlineStr">
        <is>
          <t>WIPRO Elite Questions</t>
        </is>
      </c>
      <c r="C376" s="2" t="inlineStr">
        <is>
          <t>Prepare for WIPRO Elite NTH with previous years questions. Solve the coding, numerical ability, reasoning ability, verbal ability and quant questions which were asked in the past.</t>
        </is>
      </c>
      <c r="D376" s="2" t="inlineStr">
        <is>
          <t>Quant Problems - Past Years Quant Problems</t>
        </is>
      </c>
      <c r="E376" s="2" t="n">
        <v>70</v>
      </c>
      <c r="F376" s="2" t="inlineStr">
        <is>
          <t>Book Price Comparison</t>
        </is>
      </c>
      <c r="G376" s="2" t="inlineStr">
        <is>
          <t>NJTODZ09</t>
        </is>
      </c>
      <c r="H376" s="2" t="inlineStr"/>
      <c r="I376" s="2" t="inlineStr">
        <is>
          <t>Easy</t>
        </is>
      </c>
      <c r="J376" s="3">
        <f>HYPERLINK("https://www.codechef.com/problems/NJTODZ09", "https://www.codechef.com/problems/NJTODZ09")</f>
        <v/>
      </c>
      <c r="K376" s="2" t="inlineStr"/>
      <c r="L376" s="2" t="inlineStr"/>
      <c r="M376" s="2" t="inlineStr"/>
      <c r="N376" s="2" t="inlineStr">
        <is>
          <t>No</t>
        </is>
      </c>
      <c r="O376" s="2" t="inlineStr">
        <is>
          <t>Unattempted</t>
        </is>
      </c>
    </row>
    <row r="377">
      <c r="A377" s="4" t="inlineStr">
        <is>
          <t>Company Based Questions</t>
        </is>
      </c>
      <c r="B377" s="4" t="inlineStr">
        <is>
          <t>WIPRO Elite Questions</t>
        </is>
      </c>
      <c r="C377" s="4" t="inlineStr">
        <is>
          <t>Prepare for WIPRO Elite NTH with previous years questions. Solve the coding, numerical ability, reasoning ability, verbal ability and quant questions which were asked in the past.</t>
        </is>
      </c>
      <c r="D377" s="4" t="inlineStr">
        <is>
          <t>Quant Problems - Past Years Quant Problems</t>
        </is>
      </c>
      <c r="E377" s="4" t="n">
        <v>71</v>
      </c>
      <c r="F377" s="4" t="inlineStr">
        <is>
          <t>Calendar Day Prediction</t>
        </is>
      </c>
      <c r="G377" s="4" t="inlineStr">
        <is>
          <t>NJTODZ10</t>
        </is>
      </c>
      <c r="H377" s="4" t="inlineStr"/>
      <c r="I377" s="4" t="inlineStr">
        <is>
          <t>Easy</t>
        </is>
      </c>
      <c r="J377" s="5">
        <f>HYPERLINK("https://www.codechef.com/problems/NJTODZ10", "https://www.codechef.com/problems/NJTODZ10")</f>
        <v/>
      </c>
      <c r="K377" s="4" t="inlineStr"/>
      <c r="L377" s="4" t="inlineStr"/>
      <c r="M377" s="4" t="inlineStr"/>
      <c r="N377" s="4" t="inlineStr">
        <is>
          <t>No</t>
        </is>
      </c>
      <c r="O377" s="4" t="inlineStr">
        <is>
          <t>Unattempted</t>
        </is>
      </c>
    </row>
    <row r="378">
      <c r="A378" s="2" t="inlineStr">
        <is>
          <t>Company Based Questions</t>
        </is>
      </c>
      <c r="B378" s="2" t="inlineStr">
        <is>
          <t>WIPRO Elite Questions</t>
        </is>
      </c>
      <c r="C378" s="2" t="inlineStr">
        <is>
          <t>Prepare for WIPRO Elite NTH with previous years questions. Solve the coding, numerical ability, reasoning ability, verbal ability and quant questions which were asked in the past.</t>
        </is>
      </c>
      <c r="D378" s="2" t="inlineStr">
        <is>
          <t>Quant Problems - Past Years Quant Problems</t>
        </is>
      </c>
      <c r="E378" s="2" t="n">
        <v>72</v>
      </c>
      <c r="F378" s="2" t="inlineStr">
        <is>
          <t>Logarithmic Equation Evaluation</t>
        </is>
      </c>
      <c r="G378" s="2" t="inlineStr">
        <is>
          <t>NJTODZ11</t>
        </is>
      </c>
      <c r="H378" s="2" t="inlineStr"/>
      <c r="I378" s="2" t="inlineStr">
        <is>
          <t>Easy</t>
        </is>
      </c>
      <c r="J378" s="3">
        <f>HYPERLINK("https://www.codechef.com/problems/NJTODZ11", "https://www.codechef.com/problems/NJTODZ11")</f>
        <v/>
      </c>
      <c r="K378" s="2" t="inlineStr"/>
      <c r="L378" s="2" t="inlineStr"/>
      <c r="M378" s="2" t="inlineStr"/>
      <c r="N378" s="2" t="inlineStr">
        <is>
          <t>No</t>
        </is>
      </c>
      <c r="O378" s="2" t="inlineStr">
        <is>
          <t>Unattempted</t>
        </is>
      </c>
    </row>
    <row r="379">
      <c r="A379" s="4" t="inlineStr">
        <is>
          <t>Company Based Questions</t>
        </is>
      </c>
      <c r="B379" s="4" t="inlineStr">
        <is>
          <t>WIPRO Elite Questions</t>
        </is>
      </c>
      <c r="C379" s="4" t="inlineStr">
        <is>
          <t>Prepare for WIPRO Elite NTH with previous years questions. Solve the coding, numerical ability, reasoning ability, verbal ability and quant questions which were asked in the past.</t>
        </is>
      </c>
      <c r="D379" s="4" t="inlineStr">
        <is>
          <t>Quant Problems - Past Years Quant Problems</t>
        </is>
      </c>
      <c r="E379" s="4" t="n">
        <v>73</v>
      </c>
      <c r="F379" s="4" t="inlineStr">
        <is>
          <t>Logarithmic Expression Evaluation</t>
        </is>
      </c>
      <c r="G379" s="4" t="inlineStr">
        <is>
          <t>NJTODZ12</t>
        </is>
      </c>
      <c r="H379" s="4" t="inlineStr"/>
      <c r="I379" s="4" t="inlineStr">
        <is>
          <t>Medium</t>
        </is>
      </c>
      <c r="J379" s="5">
        <f>HYPERLINK("https://www.codechef.com/problems/NJTODZ12", "https://www.codechef.com/problems/NJTODZ12")</f>
        <v/>
      </c>
      <c r="K379" s="4" t="inlineStr"/>
      <c r="L379" s="4" t="inlineStr"/>
      <c r="M379" s="4" t="inlineStr"/>
      <c r="N379" s="4" t="inlineStr">
        <is>
          <t>No</t>
        </is>
      </c>
      <c r="O379" s="4" t="inlineStr">
        <is>
          <t>Unattempted</t>
        </is>
      </c>
    </row>
    <row r="380">
      <c r="A380" s="2" t="inlineStr">
        <is>
          <t>Company Based Questions</t>
        </is>
      </c>
      <c r="B380" s="2" t="inlineStr">
        <is>
          <t>WIPRO Elite Questions</t>
        </is>
      </c>
      <c r="C380" s="2" t="inlineStr">
        <is>
          <t>Prepare for WIPRO Elite NTH with previous years questions. Solve the coding, numerical ability, reasoning ability, verbal ability and quant questions which were asked in the past.</t>
        </is>
      </c>
      <c r="D380" s="2" t="inlineStr">
        <is>
          <t>Quant Problems - Past Years Quant Problems</t>
        </is>
      </c>
      <c r="E380" s="2" t="n">
        <v>74</v>
      </c>
      <c r="F380" s="2" t="inlineStr">
        <is>
          <t>Shelf Arrangement Problem</t>
        </is>
      </c>
      <c r="G380" s="2" t="inlineStr">
        <is>
          <t>NJTODZ13</t>
        </is>
      </c>
      <c r="H380" s="2" t="inlineStr"/>
      <c r="I380" s="2" t="inlineStr">
        <is>
          <t>Medium</t>
        </is>
      </c>
      <c r="J380" s="3">
        <f>HYPERLINK("https://www.codechef.com/problems/NJTODZ13", "https://www.codechef.com/problems/NJTODZ13")</f>
        <v/>
      </c>
      <c r="K380" s="2" t="inlineStr"/>
      <c r="L380" s="2" t="inlineStr"/>
      <c r="M380" s="2" t="inlineStr"/>
      <c r="N380" s="2" t="inlineStr">
        <is>
          <t>No</t>
        </is>
      </c>
      <c r="O380" s="2" t="inlineStr">
        <is>
          <t>Unattempted</t>
        </is>
      </c>
    </row>
    <row r="381">
      <c r="A381" s="4" t="inlineStr">
        <is>
          <t>Company Based Questions</t>
        </is>
      </c>
      <c r="B381" s="4" t="inlineStr">
        <is>
          <t>WIPRO Elite Questions</t>
        </is>
      </c>
      <c r="C381" s="4" t="inlineStr">
        <is>
          <t>Prepare for WIPRO Elite NTH with previous years questions. Solve the coding, numerical ability, reasoning ability, verbal ability and quant questions which were asked in the past.</t>
        </is>
      </c>
      <c r="D381" s="4" t="inlineStr">
        <is>
          <t>Quant Problems - Past Years Quant Problems</t>
        </is>
      </c>
      <c r="E381" s="4" t="n">
        <v>75</v>
      </c>
      <c r="F381" s="4" t="inlineStr">
        <is>
          <t>Tournament Matches Problem</t>
        </is>
      </c>
      <c r="G381" s="4" t="inlineStr">
        <is>
          <t>NJTODZ14</t>
        </is>
      </c>
      <c r="H381" s="4" t="inlineStr"/>
      <c r="I381" s="4" t="inlineStr">
        <is>
          <t>Medium</t>
        </is>
      </c>
      <c r="J381" s="5">
        <f>HYPERLINK("https://www.codechef.com/problems/NJTODZ14", "https://www.codechef.com/problems/NJTODZ14")</f>
        <v/>
      </c>
      <c r="K381" s="4" t="inlineStr"/>
      <c r="L381" s="4" t="inlineStr"/>
      <c r="M381" s="4" t="inlineStr"/>
      <c r="N381" s="4" t="inlineStr">
        <is>
          <t>No</t>
        </is>
      </c>
      <c r="O381" s="4" t="inlineStr">
        <is>
          <t>Unattempted</t>
        </is>
      </c>
    </row>
    <row r="382">
      <c r="A382" s="2" t="inlineStr">
        <is>
          <t>Company Based Questions</t>
        </is>
      </c>
      <c r="B382" s="2" t="inlineStr">
        <is>
          <t>WIPRO Elite Questions</t>
        </is>
      </c>
      <c r="C382" s="2" t="inlineStr">
        <is>
          <t>Prepare for WIPRO Elite NTH with previous years questions. Solve the coding, numerical ability, reasoning ability, verbal ability and quant questions which were asked in the past.</t>
        </is>
      </c>
      <c r="D382" s="2" t="inlineStr">
        <is>
          <t>Quant Problems - Past Years Quant Problems</t>
        </is>
      </c>
      <c r="E382" s="2" t="n">
        <v>76</v>
      </c>
      <c r="F382" s="2" t="inlineStr">
        <is>
          <t>Probability of Contradiction</t>
        </is>
      </c>
      <c r="G382" s="2" t="inlineStr">
        <is>
          <t>NJTODZ15</t>
        </is>
      </c>
      <c r="H382" s="2" t="inlineStr"/>
      <c r="I382" s="2" t="inlineStr">
        <is>
          <t>Medium</t>
        </is>
      </c>
      <c r="J382" s="3">
        <f>HYPERLINK("https://www.codechef.com/problems/NJTODZ15", "https://www.codechef.com/problems/NJTODZ15")</f>
        <v/>
      </c>
      <c r="K382" s="2" t="inlineStr"/>
      <c r="L382" s="2" t="inlineStr"/>
      <c r="M382" s="2" t="inlineStr"/>
      <c r="N382" s="2" t="inlineStr">
        <is>
          <t>No</t>
        </is>
      </c>
      <c r="O382" s="2" t="inlineStr">
        <is>
          <t>Unattempted</t>
        </is>
      </c>
    </row>
    <row r="383">
      <c r="A383" s="4" t="inlineStr">
        <is>
          <t>Company Based Questions</t>
        </is>
      </c>
      <c r="B383" s="4" t="inlineStr">
        <is>
          <t>WIPRO Elite Questions</t>
        </is>
      </c>
      <c r="C383" s="4" t="inlineStr">
        <is>
          <t>Prepare for WIPRO Elite NTH with previous years questions. Solve the coding, numerical ability, reasoning ability, verbal ability and quant questions which were asked in the past.</t>
        </is>
      </c>
      <c r="D383" s="4" t="inlineStr">
        <is>
          <t>Quant Problems - Past Years Quant Problems</t>
        </is>
      </c>
      <c r="E383" s="4" t="n">
        <v>77</v>
      </c>
      <c r="F383" s="4" t="inlineStr">
        <is>
          <t>Spinner Game Probability</t>
        </is>
      </c>
      <c r="G383" s="4" t="inlineStr">
        <is>
          <t>NJTODZ16</t>
        </is>
      </c>
      <c r="H383" s="4" t="inlineStr"/>
      <c r="I383" s="4" t="inlineStr">
        <is>
          <t>Medium</t>
        </is>
      </c>
      <c r="J383" s="5">
        <f>HYPERLINK("https://www.codechef.com/problems/NJTODZ16", "https://www.codechef.com/problems/NJTODZ16")</f>
        <v/>
      </c>
      <c r="K383" s="4" t="inlineStr"/>
      <c r="L383" s="4" t="inlineStr"/>
      <c r="M383" s="4" t="inlineStr"/>
      <c r="N383" s="4" t="inlineStr">
        <is>
          <t>No</t>
        </is>
      </c>
      <c r="O383" s="4" t="inlineStr">
        <is>
          <t>Unattempted</t>
        </is>
      </c>
    </row>
    <row r="384">
      <c r="A384" s="2" t="inlineStr">
        <is>
          <t>Company Based Questions</t>
        </is>
      </c>
      <c r="B384" s="2" t="inlineStr">
        <is>
          <t>WIPRO Elite Questions</t>
        </is>
      </c>
      <c r="C384" s="2" t="inlineStr">
        <is>
          <t>Prepare for WIPRO Elite NTH with previous years questions. Solve the coding, numerical ability, reasoning ability, verbal ability and quant questions which were asked in the past.</t>
        </is>
      </c>
      <c r="D384" s="2" t="inlineStr">
        <is>
          <t>Quant Problems - Past Years Quant Problems</t>
        </is>
      </c>
      <c r="E384" s="2" t="n">
        <v>78</v>
      </c>
      <c r="F384" s="2" t="inlineStr">
        <is>
          <t>Probability of Picking Chocolates</t>
        </is>
      </c>
      <c r="G384" s="2" t="inlineStr">
        <is>
          <t>NJTODZ17</t>
        </is>
      </c>
      <c r="H384" s="2" t="inlineStr"/>
      <c r="I384" s="2" t="inlineStr">
        <is>
          <t>Easy</t>
        </is>
      </c>
      <c r="J384" s="3">
        <f>HYPERLINK("https://www.codechef.com/problems/NJTODZ17", "https://www.codechef.com/problems/NJTODZ17")</f>
        <v/>
      </c>
      <c r="K384" s="2" t="inlineStr"/>
      <c r="L384" s="2" t="inlineStr"/>
      <c r="M384" s="2" t="inlineStr"/>
      <c r="N384" s="2" t="inlineStr">
        <is>
          <t>No</t>
        </is>
      </c>
      <c r="O384" s="2" t="inlineStr">
        <is>
          <t>Unattempted</t>
        </is>
      </c>
    </row>
    <row r="385">
      <c r="A385" s="4" t="inlineStr">
        <is>
          <t>Company Based Questions</t>
        </is>
      </c>
      <c r="B385" s="4" t="inlineStr">
        <is>
          <t>WIPRO Elite Questions</t>
        </is>
      </c>
      <c r="C385" s="4" t="inlineStr">
        <is>
          <t>Prepare for WIPRO Elite NTH with previous years questions. Solve the coding, numerical ability, reasoning ability, verbal ability and quant questions which were asked in the past.</t>
        </is>
      </c>
      <c r="D385" s="4" t="inlineStr">
        <is>
          <t>Quant Problems - Past Years Quant Problems</t>
        </is>
      </c>
      <c r="E385" s="4" t="n">
        <v>79</v>
      </c>
      <c r="F385" s="4" t="inlineStr">
        <is>
          <t>Ratio and Proportion Problem</t>
        </is>
      </c>
      <c r="G385" s="4" t="inlineStr">
        <is>
          <t>NJTODZ18</t>
        </is>
      </c>
      <c r="H385" s="4" t="inlineStr"/>
      <c r="I385" s="4" t="inlineStr">
        <is>
          <t>Easy</t>
        </is>
      </c>
      <c r="J385" s="5">
        <f>HYPERLINK("https://www.codechef.com/problems/NJTODZ18", "https://www.codechef.com/problems/NJTODZ18")</f>
        <v/>
      </c>
      <c r="K385" s="4" t="inlineStr"/>
      <c r="L385" s="4" t="inlineStr"/>
      <c r="M385" s="4" t="inlineStr"/>
      <c r="N385" s="4" t="inlineStr">
        <is>
          <t>No</t>
        </is>
      </c>
      <c r="O385" s="4" t="inlineStr">
        <is>
          <t>Unattempted</t>
        </is>
      </c>
    </row>
    <row r="386">
      <c r="A386" s="2" t="inlineStr">
        <is>
          <t>Company Based Questions</t>
        </is>
      </c>
      <c r="B386" s="2" t="inlineStr">
        <is>
          <t>WIPRO Elite Questions</t>
        </is>
      </c>
      <c r="C386" s="2" t="inlineStr">
        <is>
          <t>Prepare for WIPRO Elite NTH with previous years questions. Solve the coding, numerical ability, reasoning ability, verbal ability and quant questions which were asked in the past.</t>
        </is>
      </c>
      <c r="D386" s="2" t="inlineStr">
        <is>
          <t>Quant Problems - Past Years Quant Problems</t>
        </is>
      </c>
      <c r="E386" s="2" t="n">
        <v>80</v>
      </c>
      <c r="F386" s="2" t="inlineStr">
        <is>
          <t>Number Relationship Puzzle</t>
        </is>
      </c>
      <c r="G386" s="2" t="inlineStr">
        <is>
          <t>NJTODZ19</t>
        </is>
      </c>
      <c r="H386" s="2" t="inlineStr"/>
      <c r="I386" s="2" t="inlineStr">
        <is>
          <t>Easy</t>
        </is>
      </c>
      <c r="J386" s="3">
        <f>HYPERLINK("https://www.codechef.com/problems/NJTODZ19", "https://www.codechef.com/problems/NJTODZ19")</f>
        <v/>
      </c>
      <c r="K386" s="2" t="inlineStr"/>
      <c r="L386" s="2" t="inlineStr"/>
      <c r="M386" s="2" t="inlineStr"/>
      <c r="N386" s="2" t="inlineStr">
        <is>
          <t>No</t>
        </is>
      </c>
      <c r="O386" s="2" t="inlineStr">
        <is>
          <t>Unattempted</t>
        </is>
      </c>
    </row>
    <row r="387">
      <c r="A387" s="4" t="inlineStr">
        <is>
          <t>Company Based Questions</t>
        </is>
      </c>
      <c r="B387" s="4" t="inlineStr">
        <is>
          <t>WIPRO Elite Questions</t>
        </is>
      </c>
      <c r="C387" s="4" t="inlineStr">
        <is>
          <t>Prepare for WIPRO Elite NTH with previous years questions. Solve the coding, numerical ability, reasoning ability, verbal ability and quant questions which were asked in the past.</t>
        </is>
      </c>
      <c r="D387" s="4" t="inlineStr">
        <is>
          <t>Quant Problems - Past Years Quant Problems</t>
        </is>
      </c>
      <c r="E387" s="4" t="n">
        <v>81</v>
      </c>
      <c r="F387" s="4" t="inlineStr">
        <is>
          <t>Algebraic Identity Challenge</t>
        </is>
      </c>
      <c r="G387" s="4" t="inlineStr">
        <is>
          <t>NJTODZ20</t>
        </is>
      </c>
      <c r="H387" s="4" t="inlineStr"/>
      <c r="I387" s="4" t="inlineStr">
        <is>
          <t>Medium</t>
        </is>
      </c>
      <c r="J387" s="5">
        <f>HYPERLINK("https://www.codechef.com/problems/NJTODZ20", "https://www.codechef.com/problems/NJTODZ20")</f>
        <v/>
      </c>
      <c r="K387" s="4" t="inlineStr"/>
      <c r="L387" s="4" t="inlineStr"/>
      <c r="M387" s="4" t="inlineStr"/>
      <c r="N387" s="4" t="inlineStr">
        <is>
          <t>No</t>
        </is>
      </c>
      <c r="O387" s="4" t="inlineStr">
        <is>
          <t>Unattempted</t>
        </is>
      </c>
    </row>
    <row r="388">
      <c r="A388" s="2" t="inlineStr">
        <is>
          <t>Company Based Questions</t>
        </is>
      </c>
      <c r="B388" s="2" t="inlineStr">
        <is>
          <t>WIPRO Elite Questions</t>
        </is>
      </c>
      <c r="C388" s="2" t="inlineStr">
        <is>
          <t>Prepare for WIPRO Elite NTH with previous years questions. Solve the coding, numerical ability, reasoning ability, verbal ability and quant questions which were asked in the past.</t>
        </is>
      </c>
      <c r="D388" s="2" t="inlineStr">
        <is>
          <t>Quant Problems - Past Years Quant Problems</t>
        </is>
      </c>
      <c r="E388" s="2" t="n">
        <v>82</v>
      </c>
      <c r="F388" s="2" t="inlineStr">
        <is>
          <t>Maximizing Company Profit</t>
        </is>
      </c>
      <c r="G388" s="2" t="inlineStr">
        <is>
          <t>NJTODZ21</t>
        </is>
      </c>
      <c r="H388" s="2" t="inlineStr"/>
      <c r="I388" s="2" t="inlineStr">
        <is>
          <t>Easy</t>
        </is>
      </c>
      <c r="J388" s="3">
        <f>HYPERLINK("https://www.codechef.com/problems/NJTODZ21", "https://www.codechef.com/problems/NJTODZ21")</f>
        <v/>
      </c>
      <c r="K388" s="2" t="inlineStr"/>
      <c r="L388" s="2" t="inlineStr"/>
      <c r="M388" s="2" t="inlineStr"/>
      <c r="N388" s="2" t="inlineStr">
        <is>
          <t>No</t>
        </is>
      </c>
      <c r="O388" s="2" t="inlineStr">
        <is>
          <t>Unattempted</t>
        </is>
      </c>
    </row>
    <row r="389">
      <c r="A389" s="4" t="inlineStr">
        <is>
          <t>Company Based Questions</t>
        </is>
      </c>
      <c r="B389" s="4" t="inlineStr">
        <is>
          <t>WIPRO Elite Questions</t>
        </is>
      </c>
      <c r="C389" s="4" t="inlineStr">
        <is>
          <t>Prepare for WIPRO Elite NTH with previous years questions. Solve the coding, numerical ability, reasoning ability, verbal ability and quant questions which were asked in the past.</t>
        </is>
      </c>
      <c r="D389" s="4" t="inlineStr">
        <is>
          <t>Quant Problems - Past Years Quant Problems</t>
        </is>
      </c>
      <c r="E389" s="4" t="n">
        <v>83</v>
      </c>
      <c r="F389" s="4" t="inlineStr">
        <is>
          <t>Coffee Bean Mixture Ratio</t>
        </is>
      </c>
      <c r="G389" s="4" t="inlineStr">
        <is>
          <t>NJTODZ22</t>
        </is>
      </c>
      <c r="H389" s="4" t="inlineStr"/>
      <c r="I389" s="4" t="inlineStr">
        <is>
          <t>Easy</t>
        </is>
      </c>
      <c r="J389" s="5">
        <f>HYPERLINK("https://www.codechef.com/problems/NJTODZ22", "https://www.codechef.com/problems/NJTODZ22")</f>
        <v/>
      </c>
      <c r="K389" s="4" t="inlineStr"/>
      <c r="L389" s="4" t="inlineStr"/>
      <c r="M389" s="4" t="inlineStr"/>
      <c r="N389" s="4" t="inlineStr">
        <is>
          <t>No</t>
        </is>
      </c>
      <c r="O389" s="4" t="inlineStr">
        <is>
          <t>Unattempted</t>
        </is>
      </c>
    </row>
    <row r="390">
      <c r="A390" s="2" t="inlineStr">
        <is>
          <t>Company Based Questions</t>
        </is>
      </c>
      <c r="B390" s="2" t="inlineStr">
        <is>
          <t>WIPRO Elite Questions</t>
        </is>
      </c>
      <c r="C390" s="2" t="inlineStr">
        <is>
          <t>Prepare for WIPRO Elite NTH with previous years questions. Solve the coding, numerical ability, reasoning ability, verbal ability and quant questions which were asked in the past.</t>
        </is>
      </c>
      <c r="D390" s="2" t="inlineStr">
        <is>
          <t>Quant Problems - Past Years Quant Problems</t>
        </is>
      </c>
      <c r="E390" s="2" t="n">
        <v>84</v>
      </c>
      <c r="F390" s="2" t="inlineStr">
        <is>
          <t>Dishonest Milkman's Profit</t>
        </is>
      </c>
      <c r="G390" s="2" t="inlineStr">
        <is>
          <t>NJTODZ23</t>
        </is>
      </c>
      <c r="H390" s="2" t="inlineStr"/>
      <c r="I390" s="2" t="inlineStr">
        <is>
          <t>Medium</t>
        </is>
      </c>
      <c r="J390" s="3">
        <f>HYPERLINK("https://www.codechef.com/problems/NJTODZ23", "https://www.codechef.com/problems/NJTODZ23")</f>
        <v/>
      </c>
      <c r="K390" s="2" t="inlineStr"/>
      <c r="L390" s="2" t="inlineStr"/>
      <c r="M390" s="2" t="inlineStr"/>
      <c r="N390" s="2" t="inlineStr">
        <is>
          <t>No</t>
        </is>
      </c>
      <c r="O390" s="2" t="inlineStr">
        <is>
          <t>Unattempted</t>
        </is>
      </c>
    </row>
    <row r="391">
      <c r="A391" s="4" t="inlineStr">
        <is>
          <t>Company Based Questions</t>
        </is>
      </c>
      <c r="B391" s="4" t="inlineStr">
        <is>
          <t>WIPRO Elite Questions</t>
        </is>
      </c>
      <c r="C391" s="4" t="inlineStr">
        <is>
          <t>Prepare for WIPRO Elite NTH with previous years questions. Solve the coding, numerical ability, reasoning ability, verbal ability and quant questions which were asked in the past.</t>
        </is>
      </c>
      <c r="D391" s="4" t="inlineStr">
        <is>
          <t>Quant Problems - Past Years Quant Problems</t>
        </is>
      </c>
      <c r="E391" s="4" t="n">
        <v>85</v>
      </c>
      <c r="F391" s="4" t="inlineStr">
        <is>
          <t>Heights and Angles Problem</t>
        </is>
      </c>
      <c r="G391" s="4" t="inlineStr">
        <is>
          <t>NJTODZ24</t>
        </is>
      </c>
      <c r="H391" s="4" t="inlineStr"/>
      <c r="I391" s="4" t="inlineStr">
        <is>
          <t>Medium</t>
        </is>
      </c>
      <c r="J391" s="5">
        <f>HYPERLINK("https://www.codechef.com/problems/NJTODZ24", "https://www.codechef.com/problems/NJTODZ24")</f>
        <v/>
      </c>
      <c r="K391" s="4" t="inlineStr"/>
      <c r="L391" s="4" t="inlineStr"/>
      <c r="M391" s="4" t="inlineStr"/>
      <c r="N391" s="4" t="inlineStr">
        <is>
          <t>No</t>
        </is>
      </c>
      <c r="O391" s="4" t="inlineStr">
        <is>
          <t>Unattempted</t>
        </is>
      </c>
    </row>
    <row r="392">
      <c r="A392" s="2" t="inlineStr">
        <is>
          <t>Company Based Questions</t>
        </is>
      </c>
      <c r="B392" s="2" t="inlineStr">
        <is>
          <t>WIPRO Elite Questions</t>
        </is>
      </c>
      <c r="C392" s="2" t="inlineStr">
        <is>
          <t>Prepare for WIPRO Elite NTH with previous years questions. Solve the coding, numerical ability, reasoning ability, verbal ability and quant questions which were asked in the past.</t>
        </is>
      </c>
      <c r="D392" s="2" t="inlineStr">
        <is>
          <t>Quant Problems - Past Years Quant Problems</t>
        </is>
      </c>
      <c r="E392" s="2" t="n">
        <v>86</v>
      </c>
      <c r="F392" s="2" t="inlineStr">
        <is>
          <t>Lighthouse Height Problem</t>
        </is>
      </c>
      <c r="G392" s="2" t="inlineStr">
        <is>
          <t>NJTODZ25</t>
        </is>
      </c>
      <c r="H392" s="2" t="inlineStr"/>
      <c r="I392" s="2" t="inlineStr">
        <is>
          <t>Medium</t>
        </is>
      </c>
      <c r="J392" s="3">
        <f>HYPERLINK("https://www.codechef.com/problems/NJTODZ25", "https://www.codechef.com/problems/NJTODZ25")</f>
        <v/>
      </c>
      <c r="K392" s="2" t="inlineStr"/>
      <c r="L392" s="2" t="inlineStr"/>
      <c r="M392" s="2" t="inlineStr"/>
      <c r="N392" s="2" t="inlineStr">
        <is>
          <t>No</t>
        </is>
      </c>
      <c r="O392" s="2" t="inlineStr">
        <is>
          <t>Unattempted</t>
        </is>
      </c>
    </row>
    <row r="393">
      <c r="A393" s="4" t="inlineStr">
        <is>
          <t>Company Based Questions</t>
        </is>
      </c>
      <c r="B393" s="4" t="inlineStr">
        <is>
          <t>WIPRO Elite Questions</t>
        </is>
      </c>
      <c r="C393" s="4" t="inlineStr">
        <is>
          <t>Prepare for WIPRO Elite NTH with previous years questions. Solve the coding, numerical ability, reasoning ability, verbal ability and quant questions which were asked in the past.</t>
        </is>
      </c>
      <c r="D393" s="4" t="inlineStr">
        <is>
          <t>Quant Problems - Past Years Quant Problems</t>
        </is>
      </c>
      <c r="E393" s="4" t="n">
        <v>87</v>
      </c>
      <c r="F393" s="4" t="inlineStr">
        <is>
          <t>Lighthouse Angle of Depression Problem</t>
        </is>
      </c>
      <c r="G393" s="4" t="inlineStr">
        <is>
          <t>NJTODZ26</t>
        </is>
      </c>
      <c r="H393" s="4" t="inlineStr"/>
      <c r="I393" s="4" t="inlineStr">
        <is>
          <t>Medium</t>
        </is>
      </c>
      <c r="J393" s="5">
        <f>HYPERLINK("https://www.codechef.com/problems/NJTODZ26", "https://www.codechef.com/problems/NJTODZ26")</f>
        <v/>
      </c>
      <c r="K393" s="4" t="inlineStr"/>
      <c r="L393" s="4" t="inlineStr"/>
      <c r="M393" s="4" t="inlineStr"/>
      <c r="N393" s="4" t="inlineStr">
        <is>
          <t>No</t>
        </is>
      </c>
      <c r="O393" s="4" t="inlineStr">
        <is>
          <t>Unattempted</t>
        </is>
      </c>
    </row>
    <row r="394">
      <c r="A394" s="2" t="inlineStr">
        <is>
          <t>Company Based Questions</t>
        </is>
      </c>
      <c r="B394" s="2" t="inlineStr">
        <is>
          <t>WIPRO Elite Questions</t>
        </is>
      </c>
      <c r="C394" s="2" t="inlineStr">
        <is>
          <t>Prepare for WIPRO Elite NTH with previous years questions. Solve the coding, numerical ability, reasoning ability, verbal ability and quant questions which were asked in the past.</t>
        </is>
      </c>
      <c r="D394" s="2" t="inlineStr">
        <is>
          <t>Quant Problems - Past Years Quant Problems</t>
        </is>
      </c>
      <c r="E394" s="2" t="n">
        <v>88</v>
      </c>
      <c r="F394" s="2" t="inlineStr">
        <is>
          <t>Bookshelf Arrangement Problem</t>
        </is>
      </c>
      <c r="G394" s="2" t="inlineStr">
        <is>
          <t>NJTODZ27</t>
        </is>
      </c>
      <c r="H394" s="2" t="inlineStr"/>
      <c r="I394" s="2" t="inlineStr">
        <is>
          <t>Medium</t>
        </is>
      </c>
      <c r="J394" s="3">
        <f>HYPERLINK("https://www.codechef.com/problems/NJTODZ27", "https://www.codechef.com/problems/NJTODZ27")</f>
        <v/>
      </c>
      <c r="K394" s="2" t="inlineStr"/>
      <c r="L394" s="2" t="inlineStr"/>
      <c r="M394" s="2" t="inlineStr"/>
      <c r="N394" s="2" t="inlineStr">
        <is>
          <t>No</t>
        </is>
      </c>
      <c r="O394" s="2" t="inlineStr">
        <is>
          <t>Unattempted</t>
        </is>
      </c>
    </row>
    <row r="395">
      <c r="A395" s="4" t="inlineStr">
        <is>
          <t>Company Based Questions</t>
        </is>
      </c>
      <c r="B395" s="4" t="inlineStr">
        <is>
          <t>WIPRO Elite Questions</t>
        </is>
      </c>
      <c r="C395" s="4" t="inlineStr">
        <is>
          <t>Prepare for WIPRO Elite NTH with previous years questions. Solve the coding, numerical ability, reasoning ability, verbal ability and quant questions which were asked in the past.</t>
        </is>
      </c>
      <c r="D395" s="4" t="inlineStr">
        <is>
          <t>Quant Problems - Past Years Quant Problems</t>
        </is>
      </c>
      <c r="E395" s="4" t="n">
        <v>89</v>
      </c>
      <c r="F395" s="4" t="inlineStr">
        <is>
          <t>Smartphone Production Calculation</t>
        </is>
      </c>
      <c r="G395" s="4" t="inlineStr">
        <is>
          <t>NJTODZ28</t>
        </is>
      </c>
      <c r="H395" s="4" t="inlineStr"/>
      <c r="I395" s="4" t="inlineStr">
        <is>
          <t>Easy</t>
        </is>
      </c>
      <c r="J395" s="5">
        <f>HYPERLINK("https://www.codechef.com/problems/NJTODZ28", "https://www.codechef.com/problems/NJTODZ28")</f>
        <v/>
      </c>
      <c r="K395" s="4" t="inlineStr"/>
      <c r="L395" s="4" t="inlineStr"/>
      <c r="M395" s="4" t="inlineStr"/>
      <c r="N395" s="4" t="inlineStr">
        <is>
          <t>No</t>
        </is>
      </c>
      <c r="O395" s="4" t="inlineStr">
        <is>
          <t>Unattempted</t>
        </is>
      </c>
    </row>
    <row r="396">
      <c r="A396" s="2" t="inlineStr">
        <is>
          <t>Company Based Questions</t>
        </is>
      </c>
      <c r="B396" s="2" t="inlineStr">
        <is>
          <t>WIPRO Elite Questions</t>
        </is>
      </c>
      <c r="C396" s="2" t="inlineStr">
        <is>
          <t>Prepare for WIPRO Elite NTH with previous years questions. Solve the coding, numerical ability, reasoning ability, verbal ability and quant questions which were asked in the past.</t>
        </is>
      </c>
      <c r="D396" s="2" t="inlineStr">
        <is>
          <t>Quant Problems - Past Years Quant Problems</t>
        </is>
      </c>
      <c r="E396" s="2" t="n">
        <v>90</v>
      </c>
      <c r="F396" s="2" t="inlineStr">
        <is>
          <t>4 Digit Security Code Permutation</t>
        </is>
      </c>
      <c r="G396" s="2" t="inlineStr">
        <is>
          <t>NJTODZ29</t>
        </is>
      </c>
      <c r="H396" s="2" t="inlineStr"/>
      <c r="I396" s="2" t="inlineStr">
        <is>
          <t>Easy</t>
        </is>
      </c>
      <c r="J396" s="3">
        <f>HYPERLINK("https://www.codechef.com/problems/NJTODZ29", "https://www.codechef.com/problems/NJTODZ29")</f>
        <v/>
      </c>
      <c r="K396" s="2" t="inlineStr"/>
      <c r="L396" s="2" t="inlineStr"/>
      <c r="M396" s="2" t="inlineStr"/>
      <c r="N396" s="2" t="inlineStr">
        <is>
          <t>No</t>
        </is>
      </c>
      <c r="O396" s="2" t="inlineStr">
        <is>
          <t>Unattempted</t>
        </is>
      </c>
    </row>
    <row r="397">
      <c r="A397" s="4" t="inlineStr">
        <is>
          <t>Company Based Questions</t>
        </is>
      </c>
      <c r="B397" s="4" t="inlineStr">
        <is>
          <t>WIPRO Elite Questions</t>
        </is>
      </c>
      <c r="C397" s="4" t="inlineStr">
        <is>
          <t>Prepare for WIPRO Elite NTH with previous years questions. Solve the coding, numerical ability, reasoning ability, verbal ability and quant questions which were asked in the past.</t>
        </is>
      </c>
      <c r="D397" s="4" t="inlineStr">
        <is>
          <t>Quant Problems - Past Years Quant Problems</t>
        </is>
      </c>
      <c r="E397" s="4" t="n">
        <v>91</v>
      </c>
      <c r="F397" s="4" t="inlineStr">
        <is>
          <t>Secret Code Language Puzzle</t>
        </is>
      </c>
      <c r="G397" s="4" t="inlineStr">
        <is>
          <t>NJTODZ30</t>
        </is>
      </c>
      <c r="H397" s="4" t="inlineStr"/>
      <c r="I397" s="4" t="inlineStr">
        <is>
          <t>Easy</t>
        </is>
      </c>
      <c r="J397" s="5">
        <f>HYPERLINK("https://www.codechef.com/problems/NJTODZ30", "https://www.codechef.com/problems/NJTODZ30")</f>
        <v/>
      </c>
      <c r="K397" s="4" t="inlineStr"/>
      <c r="L397" s="4" t="inlineStr"/>
      <c r="M397" s="4" t="inlineStr"/>
      <c r="N397" s="4" t="inlineStr">
        <is>
          <t>No</t>
        </is>
      </c>
      <c r="O397" s="4" t="inlineStr">
        <is>
          <t>Unattempted</t>
        </is>
      </c>
    </row>
    <row r="398">
      <c r="A398" s="2" t="inlineStr">
        <is>
          <t>Company Based Questions</t>
        </is>
      </c>
      <c r="B398" s="2" t="inlineStr">
        <is>
          <t>WIPRO Elite Questions</t>
        </is>
      </c>
      <c r="C398" s="2" t="inlineStr">
        <is>
          <t>Prepare for WIPRO Elite NTH with previous years questions. Solve the coding, numerical ability, reasoning ability, verbal ability and quant questions which were asked in the past.</t>
        </is>
      </c>
      <c r="D398" s="2" t="inlineStr">
        <is>
          <t>Quant Problems - Past Years Quant Problems</t>
        </is>
      </c>
      <c r="E398" s="2" t="n">
        <v>92</v>
      </c>
      <c r="F398" s="2" t="inlineStr">
        <is>
          <t>Secret Language Coding Puzzle</t>
        </is>
      </c>
      <c r="G398" s="2" t="inlineStr">
        <is>
          <t>NJTODZ31</t>
        </is>
      </c>
      <c r="H398" s="2" t="inlineStr"/>
      <c r="I398" s="2" t="inlineStr">
        <is>
          <t>Medium</t>
        </is>
      </c>
      <c r="J398" s="3">
        <f>HYPERLINK("https://www.codechef.com/problems/NJTODZ31", "https://www.codechef.com/problems/NJTODZ31")</f>
        <v/>
      </c>
      <c r="K398" s="2" t="inlineStr"/>
      <c r="L398" s="2" t="inlineStr"/>
      <c r="M398" s="2" t="inlineStr"/>
      <c r="N398" s="2" t="inlineStr">
        <is>
          <t>No</t>
        </is>
      </c>
      <c r="O398" s="2" t="inlineStr">
        <is>
          <t>Unattempted</t>
        </is>
      </c>
    </row>
    <row r="399">
      <c r="A399" s="4" t="inlineStr">
        <is>
          <t>Company Based Questions</t>
        </is>
      </c>
      <c r="B399" s="4" t="inlineStr">
        <is>
          <t>WIPRO Elite Questions</t>
        </is>
      </c>
      <c r="C399" s="4" t="inlineStr">
        <is>
          <t>Prepare for WIPRO Elite NTH with previous years questions. Solve the coding, numerical ability, reasoning ability, verbal ability and quant questions which were asked in the past.</t>
        </is>
      </c>
      <c r="D399" s="4" t="inlineStr">
        <is>
          <t>Quant Problems - Past Years Quant Problems</t>
        </is>
      </c>
      <c r="E399" s="4" t="n">
        <v>93</v>
      </c>
      <c r="F399" s="4" t="inlineStr">
        <is>
          <t>Simple Interest Principal Calculation</t>
        </is>
      </c>
      <c r="G399" s="4" t="inlineStr">
        <is>
          <t>NJTODZ32</t>
        </is>
      </c>
      <c r="H399" s="4" t="inlineStr"/>
      <c r="I399" s="4" t="inlineStr">
        <is>
          <t>Easy</t>
        </is>
      </c>
      <c r="J399" s="5">
        <f>HYPERLINK("https://www.codechef.com/problems/NJTODZ32", "https://www.codechef.com/problems/NJTODZ32")</f>
        <v/>
      </c>
      <c r="K399" s="4" t="inlineStr"/>
      <c r="L399" s="4" t="inlineStr"/>
      <c r="M399" s="4" t="inlineStr"/>
      <c r="N399" s="4" t="inlineStr">
        <is>
          <t>No</t>
        </is>
      </c>
      <c r="O399" s="4" t="inlineStr">
        <is>
          <t>Unattempted</t>
        </is>
      </c>
    </row>
    <row r="400">
      <c r="A400" s="2" t="inlineStr">
        <is>
          <t>Company Based Questions</t>
        </is>
      </c>
      <c r="B400" s="2" t="inlineStr">
        <is>
          <t>WIPRO Elite Questions</t>
        </is>
      </c>
      <c r="C400" s="2" t="inlineStr">
        <is>
          <t>Prepare for WIPRO Elite NTH with previous years questions. Solve the coding, numerical ability, reasoning ability, verbal ability and quant questions which were asked in the past.</t>
        </is>
      </c>
      <c r="D400" s="2" t="inlineStr">
        <is>
          <t>Quant Problems - Past Years Quant Problems</t>
        </is>
      </c>
      <c r="E400" s="2" t="n">
        <v>94</v>
      </c>
      <c r="F400" s="2" t="inlineStr">
        <is>
          <t>Cyclist Against the Wind Problem</t>
        </is>
      </c>
      <c r="G400" s="2" t="inlineStr">
        <is>
          <t>NJTODZ33</t>
        </is>
      </c>
      <c r="H400" s="2" t="inlineStr"/>
      <c r="I400" s="2" t="inlineStr">
        <is>
          <t>Medium</t>
        </is>
      </c>
      <c r="J400" s="3">
        <f>HYPERLINK("https://www.codechef.com/problems/NJTODZ33", "https://www.codechef.com/problems/NJTODZ33")</f>
        <v/>
      </c>
      <c r="K400" s="2" t="inlineStr"/>
      <c r="L400" s="2" t="inlineStr"/>
      <c r="M400" s="2" t="inlineStr"/>
      <c r="N400" s="2" t="inlineStr">
        <is>
          <t>No</t>
        </is>
      </c>
      <c r="O400" s="2" t="inlineStr">
        <is>
          <t>Unattempted</t>
        </is>
      </c>
    </row>
    <row r="401">
      <c r="A401" s="4" t="inlineStr">
        <is>
          <t>Company Based Questions</t>
        </is>
      </c>
      <c r="B401" s="4" t="inlineStr">
        <is>
          <t>WIPRO Elite Questions</t>
        </is>
      </c>
      <c r="C401" s="4" t="inlineStr">
        <is>
          <t>Prepare for WIPRO Elite NTH with previous years questions. Solve the coding, numerical ability, reasoning ability, verbal ability and quant questions which were asked in the past.</t>
        </is>
      </c>
      <c r="D401" s="4" t="inlineStr">
        <is>
          <t>Quant Problems - Past Years Quant Problems</t>
        </is>
      </c>
      <c r="E401" s="4" t="n">
        <v>95</v>
      </c>
      <c r="F401" s="4" t="inlineStr">
        <is>
          <t>Moving Walkway Speed Problem</t>
        </is>
      </c>
      <c r="G401" s="4" t="inlineStr">
        <is>
          <t>NJTODZ34</t>
        </is>
      </c>
      <c r="H401" s="4" t="inlineStr"/>
      <c r="I401" s="4" t="inlineStr">
        <is>
          <t>Medium</t>
        </is>
      </c>
      <c r="J401" s="5">
        <f>HYPERLINK("https://www.codechef.com/problems/NJTODZ34", "https://www.codechef.com/problems/NJTODZ34")</f>
        <v/>
      </c>
      <c r="K401" s="4" t="inlineStr"/>
      <c r="L401" s="4" t="inlineStr"/>
      <c r="M401" s="4" t="inlineStr"/>
      <c r="N401" s="4" t="inlineStr">
        <is>
          <t>No</t>
        </is>
      </c>
      <c r="O401" s="4" t="inlineStr">
        <is>
          <t>Unattempted</t>
        </is>
      </c>
    </row>
    <row r="402">
      <c r="A402" s="2" t="inlineStr">
        <is>
          <t>Company Based Questions</t>
        </is>
      </c>
      <c r="B402" s="2" t="inlineStr">
        <is>
          <t>WIPRO Elite Questions</t>
        </is>
      </c>
      <c r="C402" s="2" t="inlineStr">
        <is>
          <t>Prepare for WIPRO Elite NTH with previous years questions. Solve the coding, numerical ability, reasoning ability, verbal ability and quant questions which were asked in the past.</t>
        </is>
      </c>
      <c r="D402" s="2" t="inlineStr">
        <is>
          <t>Quant Problems - Past Years Quant Problems</t>
        </is>
      </c>
      <c r="E402" s="2" t="n">
        <v>96</v>
      </c>
      <c r="F402" s="2" t="inlineStr">
        <is>
          <t>Pipes Filling a Tank</t>
        </is>
      </c>
      <c r="G402" s="2" t="inlineStr">
        <is>
          <t>NJTODZ35</t>
        </is>
      </c>
      <c r="H402" s="2" t="inlineStr"/>
      <c r="I402" s="2" t="inlineStr">
        <is>
          <t>Medium</t>
        </is>
      </c>
      <c r="J402" s="3">
        <f>HYPERLINK("https://www.codechef.com/problems/NJTODZ35", "https://www.codechef.com/problems/NJTODZ35")</f>
        <v/>
      </c>
      <c r="K402" s="2" t="inlineStr"/>
      <c r="L402" s="2" t="inlineStr"/>
      <c r="M402" s="2" t="inlineStr"/>
      <c r="N402" s="2" t="inlineStr">
        <is>
          <t>No</t>
        </is>
      </c>
      <c r="O402" s="2" t="inlineStr">
        <is>
          <t>Unattempted</t>
        </is>
      </c>
    </row>
    <row r="403">
      <c r="A403" s="4" t="inlineStr">
        <is>
          <t>Company Based Questions</t>
        </is>
      </c>
      <c r="B403" s="4" t="inlineStr">
        <is>
          <t>WIPRO Elite Questions</t>
        </is>
      </c>
      <c r="C403" s="4" t="inlineStr">
        <is>
          <t>Prepare for WIPRO Elite NTH with previous years questions. Solve the coding, numerical ability, reasoning ability, verbal ability and quant questions which were asked in the past.</t>
        </is>
      </c>
      <c r="D403" s="4" t="inlineStr">
        <is>
          <t>Quant Problems - Past Years Quant Problems</t>
        </is>
      </c>
      <c r="E403" s="4" t="n">
        <v>97</v>
      </c>
      <c r="F403" s="4" t="inlineStr">
        <is>
          <t>Reservoir Filling Time</t>
        </is>
      </c>
      <c r="G403" s="4" t="inlineStr">
        <is>
          <t>NJTODZ36</t>
        </is>
      </c>
      <c r="H403" s="4" t="inlineStr"/>
      <c r="I403" s="4" t="inlineStr">
        <is>
          <t>Medium</t>
        </is>
      </c>
      <c r="J403" s="5">
        <f>HYPERLINK("https://www.codechef.com/problems/NJTODZ36", "https://www.codechef.com/problems/NJTODZ36")</f>
        <v/>
      </c>
      <c r="K403" s="4" t="inlineStr"/>
      <c r="L403" s="4" t="inlineStr"/>
      <c r="M403" s="4" t="inlineStr"/>
      <c r="N403" s="4" t="inlineStr">
        <is>
          <t>No</t>
        </is>
      </c>
      <c r="O403" s="4" t="inlineStr">
        <is>
          <t>Unattempted</t>
        </is>
      </c>
    </row>
    <row r="404">
      <c r="A404" s="2" t="inlineStr">
        <is>
          <t>Company Based Questions</t>
        </is>
      </c>
      <c r="B404" s="2" t="inlineStr">
        <is>
          <t>Infosys InfyTQ - Questions</t>
        </is>
      </c>
      <c r="C404" s="2" t="inlineStr">
        <is>
          <t>Prepare for Infosys with previous years questions. Solve the coding, numerical ability, reasoning ability, verbal ability and quant questions which were asked in the past.</t>
        </is>
      </c>
      <c r="D404" s="2" t="inlineStr">
        <is>
          <t>Coding Problems - Past Years Coding Problems</t>
        </is>
      </c>
      <c r="E404" s="2" t="n">
        <v>1</v>
      </c>
      <c r="F404" s="2" t="inlineStr">
        <is>
          <t>Additive Palindrome</t>
        </is>
      </c>
      <c r="G404" s="2" t="inlineStr">
        <is>
          <t>QQQUOC02</t>
        </is>
      </c>
      <c r="H404" s="2" t="inlineStr"/>
      <c r="I404" s="2" t="inlineStr">
        <is>
          <t>Medium</t>
        </is>
      </c>
      <c r="J404" s="3">
        <f>HYPERLINK("https://www.codechef.com/problems/QQQUOC02", "https://www.codechef.com/problems/QQQUOC02")</f>
        <v/>
      </c>
      <c r="K404" s="2" t="inlineStr"/>
      <c r="L404" s="2" t="inlineStr"/>
      <c r="M404" s="2" t="inlineStr"/>
      <c r="N404" s="2" t="inlineStr">
        <is>
          <t>No</t>
        </is>
      </c>
      <c r="O404" s="2" t="inlineStr">
        <is>
          <t>Unattempted</t>
        </is>
      </c>
    </row>
    <row r="405">
      <c r="A405" s="4" t="inlineStr">
        <is>
          <t>Company Based Questions</t>
        </is>
      </c>
      <c r="B405" s="4" t="inlineStr">
        <is>
          <t>Infosys InfyTQ - Questions</t>
        </is>
      </c>
      <c r="C405" s="4" t="inlineStr">
        <is>
          <t>Prepare for Infosys with previous years questions. Solve the coding, numerical ability, reasoning ability, verbal ability and quant questions which were asked in the past.</t>
        </is>
      </c>
      <c r="D405" s="4" t="inlineStr">
        <is>
          <t>Coding Problems - Past Years Coding Problems</t>
        </is>
      </c>
      <c r="E405" s="4" t="n">
        <v>2</v>
      </c>
      <c r="F405" s="4" t="inlineStr">
        <is>
          <t>Minimum ATM Withdrawals</t>
        </is>
      </c>
      <c r="G405" s="4" t="inlineStr">
        <is>
          <t>QQQUOC03</t>
        </is>
      </c>
      <c r="H405" s="4" t="inlineStr"/>
      <c r="I405" s="4" t="inlineStr">
        <is>
          <t>Medium</t>
        </is>
      </c>
      <c r="J405" s="5">
        <f>HYPERLINK("https://www.codechef.com/problems/QQQUOC03", "https://www.codechef.com/problems/QQQUOC03")</f>
        <v/>
      </c>
      <c r="K405" s="4" t="inlineStr"/>
      <c r="L405" s="4" t="inlineStr"/>
      <c r="M405" s="4" t="inlineStr"/>
      <c r="N405" s="4" t="inlineStr">
        <is>
          <t>No</t>
        </is>
      </c>
      <c r="O405" s="4" t="inlineStr">
        <is>
          <t>Unattempted</t>
        </is>
      </c>
    </row>
    <row r="406">
      <c r="A406" s="2" t="inlineStr">
        <is>
          <t>Company Based Questions</t>
        </is>
      </c>
      <c r="B406" s="2" t="inlineStr">
        <is>
          <t>Infosys InfyTQ - Questions</t>
        </is>
      </c>
      <c r="C406" s="2" t="inlineStr">
        <is>
          <t>Prepare for Infosys with previous years questions. Solve the coding, numerical ability, reasoning ability, verbal ability and quant questions which were asked in the past.</t>
        </is>
      </c>
      <c r="D406" s="2" t="inlineStr">
        <is>
          <t>Coding Problems - Past Years Coding Problems</t>
        </is>
      </c>
      <c r="E406" s="2" t="n">
        <v>3</v>
      </c>
      <c r="F406" s="2" t="inlineStr">
        <is>
          <t>Book Fair Problem</t>
        </is>
      </c>
      <c r="G406" s="2" t="inlineStr">
        <is>
          <t>QQQUOC06</t>
        </is>
      </c>
      <c r="H406" s="2" t="inlineStr"/>
      <c r="I406" s="2" t="inlineStr">
        <is>
          <t>Medium</t>
        </is>
      </c>
      <c r="J406" s="3">
        <f>HYPERLINK("https://www.codechef.com/problems/QQQUOC06", "https://www.codechef.com/problems/QQQUOC06")</f>
        <v/>
      </c>
      <c r="K406" s="2" t="inlineStr"/>
      <c r="L406" s="2" t="inlineStr"/>
      <c r="M406" s="2" t="inlineStr"/>
      <c r="N406" s="2" t="inlineStr">
        <is>
          <t>No</t>
        </is>
      </c>
      <c r="O406" s="2" t="inlineStr">
        <is>
          <t>Unattempted</t>
        </is>
      </c>
    </row>
    <row r="407">
      <c r="A407" s="4" t="inlineStr">
        <is>
          <t>Company Based Questions</t>
        </is>
      </c>
      <c r="B407" s="4" t="inlineStr">
        <is>
          <t>Infosys InfyTQ - Questions</t>
        </is>
      </c>
      <c r="C407" s="4" t="inlineStr">
        <is>
          <t>Prepare for Infosys with previous years questions. Solve the coding, numerical ability, reasoning ability, verbal ability and quant questions which were asked in the past.</t>
        </is>
      </c>
      <c r="D407" s="4" t="inlineStr">
        <is>
          <t>Coding Problems - Past Years Coding Problems</t>
        </is>
      </c>
      <c r="E407" s="4" t="n">
        <v>4</v>
      </c>
      <c r="F407" s="4" t="inlineStr">
        <is>
          <t>Four-Seven Sum</t>
        </is>
      </c>
      <c r="G407" s="4" t="inlineStr">
        <is>
          <t>QQQUOC08</t>
        </is>
      </c>
      <c r="H407" s="4" t="inlineStr"/>
      <c r="I407" s="4" t="inlineStr">
        <is>
          <t>Medium</t>
        </is>
      </c>
      <c r="J407" s="5">
        <f>HYPERLINK("https://www.codechef.com/problems/QQQUOC08", "https://www.codechef.com/problems/QQQUOC08")</f>
        <v/>
      </c>
      <c r="K407" s="4" t="inlineStr"/>
      <c r="L407" s="4" t="inlineStr"/>
      <c r="M407" s="4" t="inlineStr"/>
      <c r="N407" s="4" t="inlineStr">
        <is>
          <t>No</t>
        </is>
      </c>
      <c r="O407" s="4" t="inlineStr">
        <is>
          <t>Unattempted</t>
        </is>
      </c>
    </row>
    <row r="408">
      <c r="A408" s="2" t="inlineStr">
        <is>
          <t>Company Based Questions</t>
        </is>
      </c>
      <c r="B408" s="2" t="inlineStr">
        <is>
          <t>Infosys InfyTQ - Questions</t>
        </is>
      </c>
      <c r="C408" s="2" t="inlineStr">
        <is>
          <t>Prepare for Infosys with previous years questions. Solve the coding, numerical ability, reasoning ability, verbal ability and quant questions which were asked in the past.</t>
        </is>
      </c>
      <c r="D408" s="2" t="inlineStr">
        <is>
          <t>Coding Problems - Past Years Coding Problems</t>
        </is>
      </c>
      <c r="E408" s="2" t="n">
        <v>5</v>
      </c>
      <c r="F408" s="2" t="inlineStr">
        <is>
          <t>Unique String Reversal</t>
        </is>
      </c>
      <c r="G408" s="2" t="inlineStr">
        <is>
          <t>QQQUOC09</t>
        </is>
      </c>
      <c r="H408" s="2" t="inlineStr"/>
      <c r="I408" s="2" t="inlineStr">
        <is>
          <t>Easy</t>
        </is>
      </c>
      <c r="J408" s="3">
        <f>HYPERLINK("https://www.codechef.com/problems/QQQUOC09", "https://www.codechef.com/problems/QQQUOC09")</f>
        <v/>
      </c>
      <c r="K408" s="2" t="inlineStr"/>
      <c r="L408" s="2" t="inlineStr"/>
      <c r="M408" s="2" t="inlineStr"/>
      <c r="N408" s="2" t="inlineStr">
        <is>
          <t>No</t>
        </is>
      </c>
      <c r="O408" s="2" t="inlineStr">
        <is>
          <t>Unattempted</t>
        </is>
      </c>
    </row>
    <row r="409">
      <c r="A409" s="4" t="inlineStr">
        <is>
          <t>Company Based Questions</t>
        </is>
      </c>
      <c r="B409" s="4" t="inlineStr">
        <is>
          <t>Infosys InfyTQ - Questions</t>
        </is>
      </c>
      <c r="C409" s="4" t="inlineStr">
        <is>
          <t>Prepare for Infosys with previous years questions. Solve the coding, numerical ability, reasoning ability, verbal ability and quant questions which were asked in the past.</t>
        </is>
      </c>
      <c r="D409" s="4" t="inlineStr">
        <is>
          <t>Coding Problems - Past Years Coding Problems</t>
        </is>
      </c>
      <c r="E409" s="4" t="n">
        <v>6</v>
      </c>
      <c r="F409" s="4" t="inlineStr">
        <is>
          <t>Even Digit Squaring</t>
        </is>
      </c>
      <c r="G409" s="4" t="inlineStr">
        <is>
          <t>QQQUOC10</t>
        </is>
      </c>
      <c r="H409" s="4" t="inlineStr"/>
      <c r="I409" s="4" t="inlineStr">
        <is>
          <t>Easy</t>
        </is>
      </c>
      <c r="J409" s="5">
        <f>HYPERLINK("https://www.codechef.com/problems/QQQUOC10", "https://www.codechef.com/problems/QQQUOC10")</f>
        <v/>
      </c>
      <c r="K409" s="4" t="inlineStr"/>
      <c r="L409" s="4" t="inlineStr"/>
      <c r="M409" s="4" t="inlineStr"/>
      <c r="N409" s="4" t="inlineStr">
        <is>
          <t>No</t>
        </is>
      </c>
      <c r="O409" s="4" t="inlineStr">
        <is>
          <t>Unattempted</t>
        </is>
      </c>
    </row>
    <row r="410">
      <c r="A410" s="2" t="inlineStr">
        <is>
          <t>Company Based Questions</t>
        </is>
      </c>
      <c r="B410" s="2" t="inlineStr">
        <is>
          <t>Infosys InfyTQ - Questions</t>
        </is>
      </c>
      <c r="C410" s="2" t="inlineStr">
        <is>
          <t>Prepare for Infosys with previous years questions. Solve the coding, numerical ability, reasoning ability, verbal ability and quant questions which were asked in the past.</t>
        </is>
      </c>
      <c r="D410" s="2" t="inlineStr">
        <is>
          <t>Coding Problems - Past Years Coding Problems</t>
        </is>
      </c>
      <c r="E410" s="2" t="n">
        <v>7</v>
      </c>
      <c r="F410" s="2" t="inlineStr">
        <is>
          <t>Balanced Brackets</t>
        </is>
      </c>
      <c r="G410" s="2" t="inlineStr">
        <is>
          <t>QQQUOC12</t>
        </is>
      </c>
      <c r="H410" s="2" t="inlineStr"/>
      <c r="I410" s="2" t="inlineStr">
        <is>
          <t>Medium</t>
        </is>
      </c>
      <c r="J410" s="3">
        <f>HYPERLINK("https://www.codechef.com/problems/QQQUOC12", "https://www.codechef.com/problems/QQQUOC12")</f>
        <v/>
      </c>
      <c r="K410" s="2" t="inlineStr"/>
      <c r="L410" s="2" t="inlineStr"/>
      <c r="M410" s="2" t="inlineStr"/>
      <c r="N410" s="2" t="inlineStr">
        <is>
          <t>No</t>
        </is>
      </c>
      <c r="O410" s="2" t="inlineStr">
        <is>
          <t>Unattempted</t>
        </is>
      </c>
    </row>
    <row r="411">
      <c r="A411" s="4" t="inlineStr">
        <is>
          <t>Company Based Questions</t>
        </is>
      </c>
      <c r="B411" s="4" t="inlineStr">
        <is>
          <t>Infosys InfyTQ - Questions</t>
        </is>
      </c>
      <c r="C411" s="4" t="inlineStr">
        <is>
          <t>Prepare for Infosys with previous years questions. Solve the coding, numerical ability, reasoning ability, verbal ability and quant questions which were asked in the past.</t>
        </is>
      </c>
      <c r="D411" s="4" t="inlineStr">
        <is>
          <t>Coding Problems - Past Years Coding Problems</t>
        </is>
      </c>
      <c r="E411" s="4" t="n">
        <v>8</v>
      </c>
      <c r="F411" s="4" t="inlineStr">
        <is>
          <t>Code Breaker Challenge</t>
        </is>
      </c>
      <c r="G411" s="4" t="inlineStr">
        <is>
          <t>QQQUOC13</t>
        </is>
      </c>
      <c r="H411" s="4" t="inlineStr"/>
      <c r="I411" s="4" t="inlineStr">
        <is>
          <t>Easy</t>
        </is>
      </c>
      <c r="J411" s="5">
        <f>HYPERLINK("https://www.codechef.com/problems/QQQUOC13", "https://www.codechef.com/problems/QQQUOC13")</f>
        <v/>
      </c>
      <c r="K411" s="4" t="inlineStr"/>
      <c r="L411" s="4" t="inlineStr"/>
      <c r="M411" s="4" t="inlineStr"/>
      <c r="N411" s="4" t="inlineStr">
        <is>
          <t>No</t>
        </is>
      </c>
      <c r="O411" s="4" t="inlineStr">
        <is>
          <t>Unattempted</t>
        </is>
      </c>
    </row>
    <row r="412">
      <c r="A412" s="2" t="inlineStr">
        <is>
          <t>Company Based Questions</t>
        </is>
      </c>
      <c r="B412" s="2" t="inlineStr">
        <is>
          <t>Infosys InfyTQ - Questions</t>
        </is>
      </c>
      <c r="C412" s="2" t="inlineStr">
        <is>
          <t>Prepare for Infosys with previous years questions. Solve the coding, numerical ability, reasoning ability, verbal ability and quant questions which were asked in the past.</t>
        </is>
      </c>
      <c r="D412" s="2" t="inlineStr">
        <is>
          <t>Coding Problems - Past Years Coding Problems</t>
        </is>
      </c>
      <c r="E412" s="2" t="n">
        <v>9</v>
      </c>
      <c r="F412" s="2" t="inlineStr">
        <is>
          <t>Minimize Unique Elements</t>
        </is>
      </c>
      <c r="G412" s="2" t="inlineStr">
        <is>
          <t>QQQUOC16</t>
        </is>
      </c>
      <c r="H412" s="2" t="inlineStr"/>
      <c r="I412" s="2" t="inlineStr">
        <is>
          <t>Medium</t>
        </is>
      </c>
      <c r="J412" s="3">
        <f>HYPERLINK("https://www.codechef.com/problems/QQQUOC16", "https://www.codechef.com/problems/QQQUOC16")</f>
        <v/>
      </c>
      <c r="K412" s="2" t="inlineStr"/>
      <c r="L412" s="2" t="inlineStr"/>
      <c r="M412" s="2" t="inlineStr"/>
      <c r="N412" s="2" t="inlineStr">
        <is>
          <t>No</t>
        </is>
      </c>
      <c r="O412" s="2" t="inlineStr">
        <is>
          <t>Unattempted</t>
        </is>
      </c>
    </row>
    <row r="413">
      <c r="A413" s="4" t="inlineStr">
        <is>
          <t>Company Based Questions</t>
        </is>
      </c>
      <c r="B413" s="4" t="inlineStr">
        <is>
          <t>Infosys InfyTQ - Questions</t>
        </is>
      </c>
      <c r="C413" s="4" t="inlineStr">
        <is>
          <t>Prepare for Infosys with previous years questions. Solve the coding, numerical ability, reasoning ability, verbal ability and quant questions which were asked in the past.</t>
        </is>
      </c>
      <c r="D413" s="4" t="inlineStr">
        <is>
          <t>Coding Problems - Past Years Coding Problems</t>
        </is>
      </c>
      <c r="E413" s="4" t="n">
        <v>10</v>
      </c>
      <c r="F413" s="4" t="inlineStr">
        <is>
          <t>Fibonacci Count</t>
        </is>
      </c>
      <c r="G413" s="4" t="inlineStr">
        <is>
          <t>QQQUOC18</t>
        </is>
      </c>
      <c r="H413" s="4" t="inlineStr"/>
      <c r="I413" s="4" t="inlineStr">
        <is>
          <t>Medium</t>
        </is>
      </c>
      <c r="J413" s="5">
        <f>HYPERLINK("https://www.codechef.com/problems/QQQUOC18", "https://www.codechef.com/problems/QQQUOC18")</f>
        <v/>
      </c>
      <c r="K413" s="4" t="inlineStr"/>
      <c r="L413" s="4" t="inlineStr"/>
      <c r="M413" s="4" t="inlineStr"/>
      <c r="N413" s="4" t="inlineStr">
        <is>
          <t>No</t>
        </is>
      </c>
      <c r="O413" s="4" t="inlineStr">
        <is>
          <t>Unattempted</t>
        </is>
      </c>
    </row>
    <row r="414">
      <c r="A414" s="2" t="inlineStr">
        <is>
          <t>Company Based Questions</t>
        </is>
      </c>
      <c r="B414" s="2" t="inlineStr">
        <is>
          <t>Infosys InfyTQ - Questions</t>
        </is>
      </c>
      <c r="C414" s="2" t="inlineStr">
        <is>
          <t>Prepare for Infosys with previous years questions. Solve the coding, numerical ability, reasoning ability, verbal ability and quant questions which were asked in the past.</t>
        </is>
      </c>
      <c r="D414" s="2" t="inlineStr">
        <is>
          <t>Coding Problems - Past Years Coding Problems</t>
        </is>
      </c>
      <c r="E414" s="2" t="n">
        <v>11</v>
      </c>
      <c r="F414" s="2" t="inlineStr">
        <is>
          <t>Factor Sum Presence</t>
        </is>
      </c>
      <c r="G414" s="2" t="inlineStr">
        <is>
          <t>QQQUOC20</t>
        </is>
      </c>
      <c r="H414" s="2" t="inlineStr"/>
      <c r="I414" s="2" t="inlineStr">
        <is>
          <t>Medium</t>
        </is>
      </c>
      <c r="J414" s="3">
        <f>HYPERLINK("https://www.codechef.com/problems/QQQUOC20", "https://www.codechef.com/problems/QQQUOC20")</f>
        <v/>
      </c>
      <c r="K414" s="2" t="inlineStr"/>
      <c r="L414" s="2" t="inlineStr"/>
      <c r="M414" s="2" t="inlineStr"/>
      <c r="N414" s="2" t="inlineStr">
        <is>
          <t>No</t>
        </is>
      </c>
      <c r="O414" s="2" t="inlineStr">
        <is>
          <t>Unattempted</t>
        </is>
      </c>
    </row>
    <row r="415">
      <c r="A415" s="4" t="inlineStr">
        <is>
          <t>Company Based Questions</t>
        </is>
      </c>
      <c r="B415" s="4" t="inlineStr">
        <is>
          <t>Infosys InfyTQ - Questions</t>
        </is>
      </c>
      <c r="C415" s="4" t="inlineStr">
        <is>
          <t>Prepare for Infosys with previous years questions. Solve the coding, numerical ability, reasoning ability, verbal ability and quant questions which were asked in the past.</t>
        </is>
      </c>
      <c r="D415" s="4" t="inlineStr">
        <is>
          <t>Coding Problems - Past Years Coding Problems</t>
        </is>
      </c>
      <c r="E415" s="4" t="n">
        <v>12</v>
      </c>
      <c r="F415" s="4" t="inlineStr">
        <is>
          <t>Robot Grid Game</t>
        </is>
      </c>
      <c r="G415" s="4" t="inlineStr">
        <is>
          <t>QQQUOC05</t>
        </is>
      </c>
      <c r="H415" s="4" t="inlineStr"/>
      <c r="I415" s="4" t="inlineStr">
        <is>
          <t>Hard</t>
        </is>
      </c>
      <c r="J415" s="5">
        <f>HYPERLINK("https://www.codechef.com/problems/QQQUOC05", "https://www.codechef.com/problems/QQQUOC05")</f>
        <v/>
      </c>
      <c r="K415" s="4" t="inlineStr"/>
      <c r="L415" s="4" t="inlineStr"/>
      <c r="M415" s="4" t="inlineStr"/>
      <c r="N415" s="4" t="inlineStr">
        <is>
          <t>No</t>
        </is>
      </c>
      <c r="O415" s="4" t="inlineStr">
        <is>
          <t>Unattempted</t>
        </is>
      </c>
    </row>
    <row r="416">
      <c r="A416" s="2" t="inlineStr">
        <is>
          <t>Company Based Questions</t>
        </is>
      </c>
      <c r="B416" s="2" t="inlineStr">
        <is>
          <t>Infosys InfyTQ - Questions</t>
        </is>
      </c>
      <c r="C416" s="2" t="inlineStr">
        <is>
          <t>Prepare for Infosys with previous years questions. Solve the coding, numerical ability, reasoning ability, verbal ability and quant questions which were asked in the past.</t>
        </is>
      </c>
      <c r="D416" s="2" t="inlineStr">
        <is>
          <t>Coding Problems - Past Years Coding Problems</t>
        </is>
      </c>
      <c r="E416" s="2" t="n">
        <v>13</v>
      </c>
      <c r="F416" s="2" t="inlineStr">
        <is>
          <t>Consecutive Four Finder</t>
        </is>
      </c>
      <c r="G416" s="2" t="inlineStr">
        <is>
          <t>QQQUOC01</t>
        </is>
      </c>
      <c r="H416" s="2" t="inlineStr"/>
      <c r="I416" s="2" t="inlineStr">
        <is>
          <t>Medium</t>
        </is>
      </c>
      <c r="J416" s="3">
        <f>HYPERLINK("https://www.codechef.com/problems/QQQUOC01", "https://www.codechef.com/problems/QQQUOC01")</f>
        <v/>
      </c>
      <c r="K416" s="2" t="inlineStr"/>
      <c r="L416" s="2" t="inlineStr"/>
      <c r="M416" s="2" t="inlineStr"/>
      <c r="N416" s="2" t="inlineStr">
        <is>
          <t>No</t>
        </is>
      </c>
      <c r="O416" s="2" t="inlineStr">
        <is>
          <t>Unattempted</t>
        </is>
      </c>
    </row>
    <row r="417">
      <c r="A417" s="4" t="inlineStr">
        <is>
          <t>Company Based Questions</t>
        </is>
      </c>
      <c r="B417" s="4" t="inlineStr">
        <is>
          <t>Infosys InfyTQ - Questions</t>
        </is>
      </c>
      <c r="C417" s="4" t="inlineStr">
        <is>
          <t>Prepare for Infosys with previous years questions. Solve the coding, numerical ability, reasoning ability, verbal ability and quant questions which were asked in the past.</t>
        </is>
      </c>
      <c r="D417" s="4" t="inlineStr">
        <is>
          <t>Coding Problems - Past Years Coding Problems</t>
        </is>
      </c>
      <c r="E417" s="4" t="n">
        <v>14</v>
      </c>
      <c r="F417" s="4" t="inlineStr">
        <is>
          <t>Largest Even Number from String</t>
        </is>
      </c>
      <c r="G417" s="4" t="inlineStr">
        <is>
          <t>QQQUOC11</t>
        </is>
      </c>
      <c r="H417" s="4" t="inlineStr"/>
      <c r="I417" s="4" t="inlineStr">
        <is>
          <t>Medium</t>
        </is>
      </c>
      <c r="J417" s="5">
        <f>HYPERLINK("https://www.codechef.com/problems/QQQUOC11", "https://www.codechef.com/problems/QQQUOC11")</f>
        <v/>
      </c>
      <c r="K417" s="4" t="inlineStr"/>
      <c r="L417" s="4" t="inlineStr"/>
      <c r="M417" s="4" t="inlineStr"/>
      <c r="N417" s="4" t="inlineStr">
        <is>
          <t>No</t>
        </is>
      </c>
      <c r="O417" s="4" t="inlineStr">
        <is>
          <t>Unattempted</t>
        </is>
      </c>
    </row>
    <row r="418">
      <c r="A418" s="2" t="inlineStr">
        <is>
          <t>Company Based Questions</t>
        </is>
      </c>
      <c r="B418" s="2" t="inlineStr">
        <is>
          <t>Infosys InfyTQ - Questions</t>
        </is>
      </c>
      <c r="C418" s="2" t="inlineStr">
        <is>
          <t>Prepare for Infosys with previous years questions. Solve the coding, numerical ability, reasoning ability, verbal ability and quant questions which were asked in the past.</t>
        </is>
      </c>
      <c r="D418" s="2" t="inlineStr">
        <is>
          <t>Coding Problems - Past Years Coding Problems</t>
        </is>
      </c>
      <c r="E418" s="2" t="n">
        <v>15</v>
      </c>
      <c r="F418" s="2" t="inlineStr">
        <is>
          <t>Non-Overlapping Prefix-Suffix</t>
        </is>
      </c>
      <c r="G418" s="2" t="inlineStr">
        <is>
          <t>QQQUOC15</t>
        </is>
      </c>
      <c r="H418" s="2" t="inlineStr"/>
      <c r="I418" s="2" t="inlineStr">
        <is>
          <t>Hard</t>
        </is>
      </c>
      <c r="J418" s="3">
        <f>HYPERLINK("https://www.codechef.com/problems/QQQUOC15", "https://www.codechef.com/problems/QQQUOC15")</f>
        <v/>
      </c>
      <c r="K418" s="2" t="inlineStr"/>
      <c r="L418" s="2" t="inlineStr"/>
      <c r="M418" s="2" t="inlineStr"/>
      <c r="N418" s="2" t="inlineStr">
        <is>
          <t>No</t>
        </is>
      </c>
      <c r="O418" s="2" t="inlineStr">
        <is>
          <t>Unattempted</t>
        </is>
      </c>
    </row>
    <row r="419">
      <c r="A419" s="4" t="inlineStr">
        <is>
          <t>Company Based Questions</t>
        </is>
      </c>
      <c r="B419" s="4" t="inlineStr">
        <is>
          <t>Infosys InfyTQ - Questions</t>
        </is>
      </c>
      <c r="C419" s="4" t="inlineStr">
        <is>
          <t>Prepare for Infosys with previous years questions. Solve the coding, numerical ability, reasoning ability, verbal ability and quant questions which were asked in the past.</t>
        </is>
      </c>
      <c r="D419" s="4" t="inlineStr">
        <is>
          <t>Coding Problems - Past Years Coding Problems</t>
        </is>
      </c>
      <c r="E419" s="4" t="n">
        <v>16</v>
      </c>
      <c r="F419" s="4" t="inlineStr">
        <is>
          <t>Digit Alternator</t>
        </is>
      </c>
      <c r="G419" s="4" t="inlineStr">
        <is>
          <t>QQQUOC19</t>
        </is>
      </c>
      <c r="H419" s="4" t="inlineStr"/>
      <c r="I419" s="4" t="inlineStr">
        <is>
          <t>Medium</t>
        </is>
      </c>
      <c r="J419" s="5">
        <f>HYPERLINK("https://www.codechef.com/problems/QQQUOC19", "https://www.codechef.com/problems/QQQUOC19")</f>
        <v/>
      </c>
      <c r="K419" s="4" t="inlineStr"/>
      <c r="L419" s="4" t="inlineStr"/>
      <c r="M419" s="4" t="inlineStr"/>
      <c r="N419" s="4" t="inlineStr">
        <is>
          <t>No</t>
        </is>
      </c>
      <c r="O419" s="4" t="inlineStr">
        <is>
          <t>Unattempted</t>
        </is>
      </c>
    </row>
    <row r="420">
      <c r="A420" s="2" t="inlineStr">
        <is>
          <t>Company Based Questions</t>
        </is>
      </c>
      <c r="B420" s="2" t="inlineStr">
        <is>
          <t>Infosys InfyTQ - Questions</t>
        </is>
      </c>
      <c r="C420" s="2" t="inlineStr">
        <is>
          <t>Prepare for Infosys with previous years questions. Solve the coding, numerical ability, reasoning ability, verbal ability and quant questions which were asked in the past.</t>
        </is>
      </c>
      <c r="D420" s="2" t="inlineStr">
        <is>
          <t>Coding Problems - Past Years Coding Problems</t>
        </is>
      </c>
      <c r="E420" s="2" t="n">
        <v>17</v>
      </c>
      <c r="F420" s="2" t="inlineStr">
        <is>
          <t>Pronic Substrings</t>
        </is>
      </c>
      <c r="G420" s="2" t="inlineStr">
        <is>
          <t>QQQUOC21</t>
        </is>
      </c>
      <c r="H420" s="2" t="inlineStr"/>
      <c r="I420" s="2" t="inlineStr">
        <is>
          <t>Medium</t>
        </is>
      </c>
      <c r="J420" s="3">
        <f>HYPERLINK("https://www.codechef.com/problems/QQQUOC21", "https://www.codechef.com/problems/QQQUOC21")</f>
        <v/>
      </c>
      <c r="K420" s="2" t="inlineStr"/>
      <c r="L420" s="2" t="inlineStr"/>
      <c r="M420" s="2" t="inlineStr"/>
      <c r="N420" s="2" t="inlineStr">
        <is>
          <t>No</t>
        </is>
      </c>
      <c r="O420" s="2" t="inlineStr">
        <is>
          <t>Unattempted</t>
        </is>
      </c>
    </row>
    <row r="421">
      <c r="A421" s="4" t="inlineStr">
        <is>
          <t>Company Based Questions</t>
        </is>
      </c>
      <c r="B421" s="4" t="inlineStr">
        <is>
          <t>Infosys InfyTQ - Questions</t>
        </is>
      </c>
      <c r="C421" s="4" t="inlineStr">
        <is>
          <t>Prepare for Infosys with previous years questions. Solve the coding, numerical ability, reasoning ability, verbal ability and quant questions which were asked in the past.</t>
        </is>
      </c>
      <c r="D421" s="4" t="inlineStr">
        <is>
          <t>Coding Problems - Past Years Coding Problems</t>
        </is>
      </c>
      <c r="E421" s="4" t="n">
        <v>18</v>
      </c>
      <c r="F421" s="4" t="inlineStr">
        <is>
          <t>Equal Sum Swaps</t>
        </is>
      </c>
      <c r="G421" s="4" t="inlineStr">
        <is>
          <t>QQQUOC22</t>
        </is>
      </c>
      <c r="H421" s="4" t="inlineStr"/>
      <c r="I421" s="4" t="inlineStr">
        <is>
          <t>Medium</t>
        </is>
      </c>
      <c r="J421" s="5">
        <f>HYPERLINK("https://www.codechef.com/problems/QQQUOC22", "https://www.codechef.com/problems/QQQUOC22")</f>
        <v/>
      </c>
      <c r="K421" s="4" t="inlineStr"/>
      <c r="L421" s="4" t="inlineStr"/>
      <c r="M421" s="4" t="inlineStr"/>
      <c r="N421" s="4" t="inlineStr">
        <is>
          <t>No</t>
        </is>
      </c>
      <c r="O421" s="4" t="inlineStr">
        <is>
          <t>Unattempted</t>
        </is>
      </c>
    </row>
    <row r="422">
      <c r="A422" s="2" t="inlineStr">
        <is>
          <t>Company Based Questions</t>
        </is>
      </c>
      <c r="B422" s="2" t="inlineStr">
        <is>
          <t>Infosys InfyTQ - Questions</t>
        </is>
      </c>
      <c r="C422" s="2" t="inlineStr">
        <is>
          <t>Prepare for Infosys with previous years questions. Solve the coding, numerical ability, reasoning ability, verbal ability and quant questions which were asked in the past.</t>
        </is>
      </c>
      <c r="D422" s="2" t="inlineStr">
        <is>
          <t>Coding Problems - Past Years Coding Problems</t>
        </is>
      </c>
      <c r="E422" s="2" t="n">
        <v>19</v>
      </c>
      <c r="F422" s="2" t="inlineStr">
        <is>
          <t>Consecutive Zeros in Base B</t>
        </is>
      </c>
      <c r="G422" s="2" t="inlineStr">
        <is>
          <t>QQQUOC23</t>
        </is>
      </c>
      <c r="H422" s="2" t="inlineStr"/>
      <c r="I422" s="2" t="inlineStr">
        <is>
          <t>Medium</t>
        </is>
      </c>
      <c r="J422" s="3">
        <f>HYPERLINK("https://www.codechef.com/problems/QQQUOC23", "https://www.codechef.com/problems/QQQUOC23")</f>
        <v/>
      </c>
      <c r="K422" s="2" t="inlineStr"/>
      <c r="L422" s="2" t="inlineStr"/>
      <c r="M422" s="2" t="inlineStr"/>
      <c r="N422" s="2" t="inlineStr">
        <is>
          <t>No</t>
        </is>
      </c>
      <c r="O422" s="2" t="inlineStr">
        <is>
          <t>Unattempted</t>
        </is>
      </c>
    </row>
    <row r="423">
      <c r="A423" s="4" t="inlineStr">
        <is>
          <t>Company Based Questions</t>
        </is>
      </c>
      <c r="B423" s="4" t="inlineStr">
        <is>
          <t>Infosys InfyTQ - Questions</t>
        </is>
      </c>
      <c r="C423" s="4" t="inlineStr">
        <is>
          <t>Prepare for Infosys with previous years questions. Solve the coding, numerical ability, reasoning ability, verbal ability and quant questions which were asked in the past.</t>
        </is>
      </c>
      <c r="D423" s="4" t="inlineStr">
        <is>
          <t>Coding Problems - Past Years Coding Problems</t>
        </is>
      </c>
      <c r="E423" s="4" t="n">
        <v>20</v>
      </c>
      <c r="F423" s="4" t="inlineStr">
        <is>
          <t>Palindrome Sum</t>
        </is>
      </c>
      <c r="G423" s="4" t="inlineStr">
        <is>
          <t>QQQUOC24</t>
        </is>
      </c>
      <c r="H423" s="4" t="inlineStr"/>
      <c r="I423" s="4" t="inlineStr">
        <is>
          <t>Medium</t>
        </is>
      </c>
      <c r="J423" s="5">
        <f>HYPERLINK("https://www.codechef.com/problems/QQQUOC24", "https://www.codechef.com/problems/QQQUOC24")</f>
        <v/>
      </c>
      <c r="K423" s="4" t="inlineStr"/>
      <c r="L423" s="4" t="inlineStr"/>
      <c r="M423" s="4" t="inlineStr"/>
      <c r="N423" s="4" t="inlineStr">
        <is>
          <t>No</t>
        </is>
      </c>
      <c r="O423" s="4" t="inlineStr">
        <is>
          <t>Unattempted</t>
        </is>
      </c>
    </row>
    <row r="424">
      <c r="A424" s="2" t="inlineStr">
        <is>
          <t>Company Based Questions</t>
        </is>
      </c>
      <c r="B424" s="2" t="inlineStr">
        <is>
          <t>Infosys InfyTQ - Questions</t>
        </is>
      </c>
      <c r="C424" s="2" t="inlineStr">
        <is>
          <t>Prepare for Infosys with previous years questions. Solve the coding, numerical ability, reasoning ability, verbal ability and quant questions which were asked in the past.</t>
        </is>
      </c>
      <c r="D424" s="2" t="inlineStr">
        <is>
          <t>Coding Problems - Past Years Coding Problems</t>
        </is>
      </c>
      <c r="E424" s="2" t="n">
        <v>21</v>
      </c>
      <c r="F424" s="2" t="inlineStr">
        <is>
          <t>Balanced Coin Partition</t>
        </is>
      </c>
      <c r="G424" s="2" t="inlineStr">
        <is>
          <t>QQQUOC04</t>
        </is>
      </c>
      <c r="H424" s="2" t="inlineStr"/>
      <c r="I424" s="2" t="inlineStr">
        <is>
          <t>Hard</t>
        </is>
      </c>
      <c r="J424" s="3">
        <f>HYPERLINK("https://www.codechef.com/problems/QQQUOC04", "https://www.codechef.com/problems/QQQUOC04")</f>
        <v/>
      </c>
      <c r="K424" s="2" t="inlineStr"/>
      <c r="L424" s="2" t="inlineStr"/>
      <c r="M424" s="2" t="inlineStr"/>
      <c r="N424" s="2" t="inlineStr">
        <is>
          <t>No</t>
        </is>
      </c>
      <c r="O424" s="2" t="inlineStr">
        <is>
          <t>Unattempted</t>
        </is>
      </c>
    </row>
    <row r="425">
      <c r="A425" s="4" t="inlineStr">
        <is>
          <t>Company Based Questions</t>
        </is>
      </c>
      <c r="B425" s="4" t="inlineStr">
        <is>
          <t>Infosys InfyTQ - Questions</t>
        </is>
      </c>
      <c r="C425" s="4" t="inlineStr">
        <is>
          <t>Prepare for Infosys with previous years questions. Solve the coding, numerical ability, reasoning ability, verbal ability and quant questions which were asked in the past.</t>
        </is>
      </c>
      <c r="D425" s="4" t="inlineStr">
        <is>
          <t>Python MCQs - Past Years Python Problems</t>
        </is>
      </c>
      <c r="E425" s="4" t="n">
        <v>22</v>
      </c>
      <c r="F425" s="4" t="inlineStr">
        <is>
          <t>Python String Split Length</t>
        </is>
      </c>
      <c r="G425" s="4" t="inlineStr">
        <is>
          <t>MIUVCA21</t>
        </is>
      </c>
      <c r="H425" s="4" t="inlineStr"/>
      <c r="I425" s="4" t="inlineStr">
        <is>
          <t>Easy</t>
        </is>
      </c>
      <c r="J425" s="5">
        <f>HYPERLINK("https://www.codechef.com/problems/MIUVCA21", "https://www.codechef.com/problems/MIUVCA21")</f>
        <v/>
      </c>
      <c r="K425" s="4" t="inlineStr"/>
      <c r="L425" s="4" t="inlineStr"/>
      <c r="M425" s="4" t="inlineStr"/>
      <c r="N425" s="4" t="inlineStr">
        <is>
          <t>No</t>
        </is>
      </c>
      <c r="O425" s="4" t="inlineStr">
        <is>
          <t>Unattempted</t>
        </is>
      </c>
    </row>
    <row r="426">
      <c r="A426" s="2" t="inlineStr">
        <is>
          <t>Company Based Questions</t>
        </is>
      </c>
      <c r="B426" s="2" t="inlineStr">
        <is>
          <t>Infosys InfyTQ - Questions</t>
        </is>
      </c>
      <c r="C426" s="2" t="inlineStr">
        <is>
          <t>Prepare for Infosys with previous years questions. Solve the coding, numerical ability, reasoning ability, verbal ability and quant questions which were asked in the past.</t>
        </is>
      </c>
      <c r="D426" s="2" t="inlineStr">
        <is>
          <t>Python MCQs - Past Years Python Problems</t>
        </is>
      </c>
      <c r="E426" s="2" t="n">
        <v>23</v>
      </c>
      <c r="F426" s="2" t="inlineStr">
        <is>
          <t>Python String Manipulation Output</t>
        </is>
      </c>
      <c r="G426" s="2" t="inlineStr">
        <is>
          <t>MIUVCA22</t>
        </is>
      </c>
      <c r="H426" s="2" t="inlineStr"/>
      <c r="I426" s="2" t="inlineStr">
        <is>
          <t>Easy</t>
        </is>
      </c>
      <c r="J426" s="3">
        <f>HYPERLINK("https://www.codechef.com/problems/MIUVCA22", "https://www.codechef.com/problems/MIUVCA22")</f>
        <v/>
      </c>
      <c r="K426" s="2" t="inlineStr"/>
      <c r="L426" s="2" t="inlineStr"/>
      <c r="M426" s="2" t="inlineStr"/>
      <c r="N426" s="2" t="inlineStr">
        <is>
          <t>No</t>
        </is>
      </c>
      <c r="O426" s="2" t="inlineStr">
        <is>
          <t>Unattempted</t>
        </is>
      </c>
    </row>
    <row r="427">
      <c r="A427" s="4" t="inlineStr">
        <is>
          <t>Company Based Questions</t>
        </is>
      </c>
      <c r="B427" s="4" t="inlineStr">
        <is>
          <t>Infosys InfyTQ - Questions</t>
        </is>
      </c>
      <c r="C427" s="4" t="inlineStr">
        <is>
          <t>Prepare for Infosys with previous years questions. Solve the coding, numerical ability, reasoning ability, verbal ability and quant questions which were asked in the past.</t>
        </is>
      </c>
      <c r="D427" s="4" t="inlineStr">
        <is>
          <t>Python MCQs - Past Years Python Problems</t>
        </is>
      </c>
      <c r="E427" s="4" t="n">
        <v>24</v>
      </c>
      <c r="F427" s="4" t="inlineStr">
        <is>
          <t>Python Tuple Sorting</t>
        </is>
      </c>
      <c r="G427" s="4" t="inlineStr">
        <is>
          <t>MIUVCA23</t>
        </is>
      </c>
      <c r="H427" s="4" t="inlineStr"/>
      <c r="I427" s="4" t="inlineStr">
        <is>
          <t>Easy</t>
        </is>
      </c>
      <c r="J427" s="5">
        <f>HYPERLINK("https://www.codechef.com/problems/MIUVCA23", "https://www.codechef.com/problems/MIUVCA23")</f>
        <v/>
      </c>
      <c r="K427" s="4" t="inlineStr"/>
      <c r="L427" s="4" t="inlineStr"/>
      <c r="M427" s="4" t="inlineStr"/>
      <c r="N427" s="4" t="inlineStr">
        <is>
          <t>No</t>
        </is>
      </c>
      <c r="O427" s="4" t="inlineStr">
        <is>
          <t>Unattempted</t>
        </is>
      </c>
    </row>
    <row r="428">
      <c r="A428" s="2" t="inlineStr">
        <is>
          <t>Company Based Questions</t>
        </is>
      </c>
      <c r="B428" s="2" t="inlineStr">
        <is>
          <t>Infosys InfyTQ - Questions</t>
        </is>
      </c>
      <c r="C428" s="2" t="inlineStr">
        <is>
          <t>Prepare for Infosys with previous years questions. Solve the coding, numerical ability, reasoning ability, verbal ability and quant questions which were asked in the past.</t>
        </is>
      </c>
      <c r="D428" s="2" t="inlineStr">
        <is>
          <t>Python MCQs - Past Years Python Problems</t>
        </is>
      </c>
      <c r="E428" s="2" t="n">
        <v>25</v>
      </c>
      <c r="F428" s="2" t="inlineStr">
        <is>
          <t>Python Tuple Iteration</t>
        </is>
      </c>
      <c r="G428" s="2" t="inlineStr">
        <is>
          <t>MIUVCA24</t>
        </is>
      </c>
      <c r="H428" s="2" t="inlineStr"/>
      <c r="I428" s="2" t="inlineStr">
        <is>
          <t>Easy</t>
        </is>
      </c>
      <c r="J428" s="3">
        <f>HYPERLINK("https://www.codechef.com/problems/MIUVCA24", "https://www.codechef.com/problems/MIUVCA24")</f>
        <v/>
      </c>
      <c r="K428" s="2" t="inlineStr"/>
      <c r="L428" s="2" t="inlineStr"/>
      <c r="M428" s="2" t="inlineStr"/>
      <c r="N428" s="2" t="inlineStr">
        <is>
          <t>No</t>
        </is>
      </c>
      <c r="O428" s="2" t="inlineStr">
        <is>
          <t>Unattempted</t>
        </is>
      </c>
    </row>
    <row r="429">
      <c r="A429" s="4" t="inlineStr">
        <is>
          <t>Company Based Questions</t>
        </is>
      </c>
      <c r="B429" s="4" t="inlineStr">
        <is>
          <t>Infosys InfyTQ - Questions</t>
        </is>
      </c>
      <c r="C429" s="4" t="inlineStr">
        <is>
          <t>Prepare for Infosys with previous years questions. Solve the coding, numerical ability, reasoning ability, verbal ability and quant questions which were asked in the past.</t>
        </is>
      </c>
      <c r="D429" s="4" t="inlineStr">
        <is>
          <t>Python MCQs - Past Years Python Problems</t>
        </is>
      </c>
      <c r="E429" s="4" t="n">
        <v>26</v>
      </c>
      <c r="F429" s="4" t="inlineStr">
        <is>
          <t>Python ord() Function</t>
        </is>
      </c>
      <c r="G429" s="4" t="inlineStr">
        <is>
          <t>MIUVCA25</t>
        </is>
      </c>
      <c r="H429" s="4" t="inlineStr"/>
      <c r="I429" s="4" t="inlineStr">
        <is>
          <t>Easy</t>
        </is>
      </c>
      <c r="J429" s="5">
        <f>HYPERLINK("https://www.codechef.com/problems/MIUVCA25", "https://www.codechef.com/problems/MIUVCA25")</f>
        <v/>
      </c>
      <c r="K429" s="4" t="inlineStr"/>
      <c r="L429" s="4" t="inlineStr"/>
      <c r="M429" s="4" t="inlineStr"/>
      <c r="N429" s="4" t="inlineStr">
        <is>
          <t>No</t>
        </is>
      </c>
      <c r="O429" s="4" t="inlineStr">
        <is>
          <t>Unattempted</t>
        </is>
      </c>
    </row>
    <row r="430">
      <c r="A430" s="2" t="inlineStr">
        <is>
          <t>Company Based Questions</t>
        </is>
      </c>
      <c r="B430" s="2" t="inlineStr">
        <is>
          <t>Infosys InfyTQ - Questions</t>
        </is>
      </c>
      <c r="C430" s="2" t="inlineStr">
        <is>
          <t>Prepare for Infosys with previous years questions. Solve the coding, numerical ability, reasoning ability, verbal ability and quant questions which were asked in the past.</t>
        </is>
      </c>
      <c r="D430" s="2" t="inlineStr">
        <is>
          <t>Python MCQs - Past Years Python Problems</t>
        </is>
      </c>
      <c r="E430" s="2" t="n">
        <v>27</v>
      </c>
      <c r="F430" s="2" t="inlineStr">
        <is>
          <t>Code Analysis</t>
        </is>
      </c>
      <c r="G430" s="2" t="inlineStr">
        <is>
          <t>MIUVCA26</t>
        </is>
      </c>
      <c r="H430" s="2" t="inlineStr"/>
      <c r="I430" s="2" t="inlineStr">
        <is>
          <t>Easy</t>
        </is>
      </c>
      <c r="J430" s="3">
        <f>HYPERLINK("https://www.codechef.com/problems/MIUVCA26", "https://www.codechef.com/problems/MIUVCA26")</f>
        <v/>
      </c>
      <c r="K430" s="2" t="inlineStr"/>
      <c r="L430" s="2" t="inlineStr"/>
      <c r="M430" s="2" t="inlineStr"/>
      <c r="N430" s="2" t="inlineStr">
        <is>
          <t>No</t>
        </is>
      </c>
      <c r="O430" s="2" t="inlineStr">
        <is>
          <t>Unattempted</t>
        </is>
      </c>
    </row>
    <row r="431">
      <c r="A431" s="4" t="inlineStr">
        <is>
          <t>Company Based Questions</t>
        </is>
      </c>
      <c r="B431" s="4" t="inlineStr">
        <is>
          <t>Infosys InfyTQ - Questions</t>
        </is>
      </c>
      <c r="C431" s="4" t="inlineStr">
        <is>
          <t>Prepare for Infosys with previous years questions. Solve the coding, numerical ability, reasoning ability, verbal ability and quant questions which were asked in the past.</t>
        </is>
      </c>
      <c r="D431" s="4" t="inlineStr">
        <is>
          <t>Python MCQs - Past Years Python Problems</t>
        </is>
      </c>
      <c r="E431" s="4" t="n">
        <v>28</v>
      </c>
      <c r="F431" s="4" t="inlineStr">
        <is>
          <t>Python Tuple Operator</t>
        </is>
      </c>
      <c r="G431" s="4" t="inlineStr">
        <is>
          <t>MIUVCA27</t>
        </is>
      </c>
      <c r="H431" s="4" t="inlineStr"/>
      <c r="I431" s="4" t="inlineStr">
        <is>
          <t>Easy</t>
        </is>
      </c>
      <c r="J431" s="5">
        <f>HYPERLINK("https://www.codechef.com/problems/MIUVCA27", "https://www.codechef.com/problems/MIUVCA27")</f>
        <v/>
      </c>
      <c r="K431" s="4" t="inlineStr"/>
      <c r="L431" s="4" t="inlineStr"/>
      <c r="M431" s="4" t="inlineStr"/>
      <c r="N431" s="4" t="inlineStr">
        <is>
          <t>No</t>
        </is>
      </c>
      <c r="O431" s="4" t="inlineStr">
        <is>
          <t>Unattempted</t>
        </is>
      </c>
    </row>
    <row r="432">
      <c r="A432" s="2" t="inlineStr">
        <is>
          <t>Company Based Questions</t>
        </is>
      </c>
      <c r="B432" s="2" t="inlineStr">
        <is>
          <t>Infosys InfyTQ - Questions</t>
        </is>
      </c>
      <c r="C432" s="2" t="inlineStr">
        <is>
          <t>Prepare for Infosys with previous years questions. Solve the coding, numerical ability, reasoning ability, verbal ability and quant questions which were asked in the past.</t>
        </is>
      </c>
      <c r="D432" s="2" t="inlineStr">
        <is>
          <t>Python MCQs - Past Years Python Problems</t>
        </is>
      </c>
      <c r="E432" s="2" t="n">
        <v>29</v>
      </c>
      <c r="F432" s="2" t="inlineStr">
        <is>
          <t>Python String Manipulation Puzzle</t>
        </is>
      </c>
      <c r="G432" s="2" t="inlineStr">
        <is>
          <t>MIUVCA29</t>
        </is>
      </c>
      <c r="H432" s="2" t="inlineStr"/>
      <c r="I432" s="2" t="inlineStr">
        <is>
          <t>Medium</t>
        </is>
      </c>
      <c r="J432" s="3">
        <f>HYPERLINK("https://www.codechef.com/problems/MIUVCA29", "https://www.codechef.com/problems/MIUVCA29")</f>
        <v/>
      </c>
      <c r="K432" s="2" t="inlineStr"/>
      <c r="L432" s="2" t="inlineStr"/>
      <c r="M432" s="2" t="inlineStr"/>
      <c r="N432" s="2" t="inlineStr">
        <is>
          <t>No</t>
        </is>
      </c>
      <c r="O432" s="2" t="inlineStr">
        <is>
          <t>Unattempted</t>
        </is>
      </c>
    </row>
    <row r="433">
      <c r="A433" s="4" t="inlineStr">
        <is>
          <t>Company Based Questions</t>
        </is>
      </c>
      <c r="B433" s="4" t="inlineStr">
        <is>
          <t>Infosys InfyTQ - Questions</t>
        </is>
      </c>
      <c r="C433" s="4" t="inlineStr">
        <is>
          <t>Prepare for Infosys with previous years questions. Solve the coding, numerical ability, reasoning ability, verbal ability and quant questions which were asked in the past.</t>
        </is>
      </c>
      <c r="D433" s="4" t="inlineStr">
        <is>
          <t>Python MCQs - Past Years Python Problems</t>
        </is>
      </c>
      <c r="E433" s="4" t="n">
        <v>30</v>
      </c>
      <c r="F433" s="4" t="inlineStr">
        <is>
          <t>Creating an Empty Set in Python</t>
        </is>
      </c>
      <c r="G433" s="4" t="inlineStr">
        <is>
          <t>MIUVCA30</t>
        </is>
      </c>
      <c r="H433" s="4" t="inlineStr"/>
      <c r="I433" s="4" t="inlineStr">
        <is>
          <t>Easy</t>
        </is>
      </c>
      <c r="J433" s="5">
        <f>HYPERLINK("https://www.codechef.com/problems/MIUVCA30", "https://www.codechef.com/problems/MIUVCA30")</f>
        <v/>
      </c>
      <c r="K433" s="4" t="inlineStr"/>
      <c r="L433" s="4" t="inlineStr"/>
      <c r="M433" s="4" t="inlineStr"/>
      <c r="N433" s="4" t="inlineStr">
        <is>
          <t>No</t>
        </is>
      </c>
      <c r="O433" s="4" t="inlineStr">
        <is>
          <t>Unattempted</t>
        </is>
      </c>
    </row>
    <row r="434">
      <c r="A434" s="2" t="inlineStr">
        <is>
          <t>Company Based Questions</t>
        </is>
      </c>
      <c r="B434" s="2" t="inlineStr">
        <is>
          <t>Infosys InfyTQ - Questions</t>
        </is>
      </c>
      <c r="C434" s="2" t="inlineStr">
        <is>
          <t>Prepare for Infosys with previous years questions. Solve the coding, numerical ability, reasoning ability, verbal ability and quant questions which were asked in the past.</t>
        </is>
      </c>
      <c r="D434" s="2" t="inlineStr">
        <is>
          <t>Python MCQs - Past Years Python Problems</t>
        </is>
      </c>
      <c r="E434" s="2" t="n">
        <v>31</v>
      </c>
      <c r="F434" s="2" t="inlineStr">
        <is>
          <t>Invalid Python Set Operator</t>
        </is>
      </c>
      <c r="G434" s="2" t="inlineStr">
        <is>
          <t>MIUVCA31</t>
        </is>
      </c>
      <c r="H434" s="2" t="inlineStr"/>
      <c r="I434" s="2" t="inlineStr">
        <is>
          <t>Easy</t>
        </is>
      </c>
      <c r="J434" s="3">
        <f>HYPERLINK("https://www.codechef.com/problems/MIUVCA31", "https://www.codechef.com/problems/MIUVCA31")</f>
        <v/>
      </c>
      <c r="K434" s="2" t="inlineStr"/>
      <c r="L434" s="2" t="inlineStr"/>
      <c r="M434" s="2" t="inlineStr"/>
      <c r="N434" s="2" t="inlineStr">
        <is>
          <t>No</t>
        </is>
      </c>
      <c r="O434" s="2" t="inlineStr">
        <is>
          <t>Unattempted</t>
        </is>
      </c>
    </row>
    <row r="435">
      <c r="A435" s="4" t="inlineStr">
        <is>
          <t>Company Based Questions</t>
        </is>
      </c>
      <c r="B435" s="4" t="inlineStr">
        <is>
          <t>Infosys InfyTQ - Questions</t>
        </is>
      </c>
      <c r="C435" s="4" t="inlineStr">
        <is>
          <t>Prepare for Infosys with previous years questions. Solve the coding, numerical ability, reasoning ability, verbal ability and quant questions which were asked in the past.</t>
        </is>
      </c>
      <c r="D435" s="4" t="inlineStr">
        <is>
          <t>Python MCQs - Past Years Python Problems</t>
        </is>
      </c>
      <c r="E435" s="4" t="n">
        <v>32</v>
      </c>
      <c r="F435" s="4" t="inlineStr">
        <is>
          <t>Python Set Equality Check</t>
        </is>
      </c>
      <c r="G435" s="4" t="inlineStr">
        <is>
          <t>MIUVCA32</t>
        </is>
      </c>
      <c r="H435" s="4" t="inlineStr"/>
      <c r="I435" s="4" t="inlineStr">
        <is>
          <t>Easy</t>
        </is>
      </c>
      <c r="J435" s="5">
        <f>HYPERLINK("https://www.codechef.com/problems/MIUVCA32", "https://www.codechef.com/problems/MIUVCA32")</f>
        <v/>
      </c>
      <c r="K435" s="4" t="inlineStr"/>
      <c r="L435" s="4" t="inlineStr"/>
      <c r="M435" s="4" t="inlineStr"/>
      <c r="N435" s="4" t="inlineStr">
        <is>
          <t>No</t>
        </is>
      </c>
      <c r="O435" s="4" t="inlineStr">
        <is>
          <t>Unattempted</t>
        </is>
      </c>
    </row>
    <row r="436">
      <c r="A436" s="2" t="inlineStr">
        <is>
          <t>Company Based Questions</t>
        </is>
      </c>
      <c r="B436" s="2" t="inlineStr">
        <is>
          <t>Infosys InfyTQ - Questions</t>
        </is>
      </c>
      <c r="C436" s="2" t="inlineStr">
        <is>
          <t>Prepare for Infosys with previous years questions. Solve the coding, numerical ability, reasoning ability, verbal ability and quant questions which were asked in the past.</t>
        </is>
      </c>
      <c r="D436" s="2" t="inlineStr">
        <is>
          <t>Python MCQs - Past Years Python Problems</t>
        </is>
      </c>
      <c r="E436" s="2" t="n">
        <v>33</v>
      </c>
      <c r="F436" s="2" t="inlineStr">
        <is>
          <t>Python Tuple Modification Error</t>
        </is>
      </c>
      <c r="G436" s="2" t="inlineStr">
        <is>
          <t>MIUVCA33</t>
        </is>
      </c>
      <c r="H436" s="2" t="inlineStr"/>
      <c r="I436" s="2" t="inlineStr">
        <is>
          <t>Easy</t>
        </is>
      </c>
      <c r="J436" s="3">
        <f>HYPERLINK("https://www.codechef.com/problems/MIUVCA33", "https://www.codechef.com/problems/MIUVCA33")</f>
        <v/>
      </c>
      <c r="K436" s="2" t="inlineStr"/>
      <c r="L436" s="2" t="inlineStr"/>
      <c r="M436" s="2" t="inlineStr"/>
      <c r="N436" s="2" t="inlineStr">
        <is>
          <t>No</t>
        </is>
      </c>
      <c r="O436" s="2" t="inlineStr">
        <is>
          <t>Unattempted</t>
        </is>
      </c>
    </row>
    <row r="437">
      <c r="A437" s="4" t="inlineStr">
        <is>
          <t>Company Based Questions</t>
        </is>
      </c>
      <c r="B437" s="4" t="inlineStr">
        <is>
          <t>Infosys InfyTQ - Questions</t>
        </is>
      </c>
      <c r="C437" s="4" t="inlineStr">
        <is>
          <t>Prepare for Infosys with previous years questions. Solve the coding, numerical ability, reasoning ability, verbal ability and quant questions which were asked in the past.</t>
        </is>
      </c>
      <c r="D437" s="4" t="inlineStr">
        <is>
          <t>Python MCQs - Past Years Python Problems</t>
        </is>
      </c>
      <c r="E437" s="4" t="n">
        <v>34</v>
      </c>
      <c r="F437" s="4" t="inlineStr">
        <is>
          <t>Python Set Length Puzzle</t>
        </is>
      </c>
      <c r="G437" s="4" t="inlineStr">
        <is>
          <t>MIUVCA34</t>
        </is>
      </c>
      <c r="H437" s="4" t="inlineStr"/>
      <c r="I437" s="4" t="inlineStr">
        <is>
          <t>Easy</t>
        </is>
      </c>
      <c r="J437" s="5">
        <f>HYPERLINK("https://www.codechef.com/problems/MIUVCA34", "https://www.codechef.com/problems/MIUVCA34")</f>
        <v/>
      </c>
      <c r="K437" s="4" t="inlineStr"/>
      <c r="L437" s="4" t="inlineStr"/>
      <c r="M437" s="4" t="inlineStr"/>
      <c r="N437" s="4" t="inlineStr">
        <is>
          <t>No</t>
        </is>
      </c>
      <c r="O437" s="4" t="inlineStr">
        <is>
          <t>Unattempted</t>
        </is>
      </c>
    </row>
    <row r="438">
      <c r="A438" s="2" t="inlineStr">
        <is>
          <t>Company Based Questions</t>
        </is>
      </c>
      <c r="B438" s="2" t="inlineStr">
        <is>
          <t>Infosys InfyTQ - Questions</t>
        </is>
      </c>
      <c r="C438" s="2" t="inlineStr">
        <is>
          <t>Prepare for Infosys with previous years questions. Solve the coding, numerical ability, reasoning ability, verbal ability and quant questions which were asked in the past.</t>
        </is>
      </c>
      <c r="D438" s="2" t="inlineStr">
        <is>
          <t>Python MCQs - Past Years Python Problems</t>
        </is>
      </c>
      <c r="E438" s="2" t="n">
        <v>35</v>
      </c>
      <c r="F438" s="2" t="inlineStr">
        <is>
          <t>Python all() function</t>
        </is>
      </c>
      <c r="G438" s="2" t="inlineStr">
        <is>
          <t>MIUVCA35</t>
        </is>
      </c>
      <c r="H438" s="2" t="inlineStr"/>
      <c r="I438" s="2" t="inlineStr">
        <is>
          <t>Easy</t>
        </is>
      </c>
      <c r="J438" s="3">
        <f>HYPERLINK("https://www.codechef.com/problems/MIUVCA35", "https://www.codechef.com/problems/MIUVCA35")</f>
        <v/>
      </c>
      <c r="K438" s="2" t="inlineStr"/>
      <c r="L438" s="2" t="inlineStr"/>
      <c r="M438" s="2" t="inlineStr"/>
      <c r="N438" s="2" t="inlineStr">
        <is>
          <t>No</t>
        </is>
      </c>
      <c r="O438" s="2" t="inlineStr">
        <is>
          <t>Unattempted</t>
        </is>
      </c>
    </row>
    <row r="439">
      <c r="A439" s="4" t="inlineStr">
        <is>
          <t>Company Based Questions</t>
        </is>
      </c>
      <c r="B439" s="4" t="inlineStr">
        <is>
          <t>Infosys InfyTQ - Questions</t>
        </is>
      </c>
      <c r="C439" s="4" t="inlineStr">
        <is>
          <t>Prepare for Infosys with previous years questions. Solve the coding, numerical ability, reasoning ability, verbal ability and quant questions which were asked in the past.</t>
        </is>
      </c>
      <c r="D439" s="4" t="inlineStr">
        <is>
          <t>Python MCQs - Past Years Python Problems</t>
        </is>
      </c>
      <c r="E439" s="4" t="n">
        <v>36</v>
      </c>
      <c r="F439" s="4" t="inlineStr">
        <is>
          <t>Python eval() Function</t>
        </is>
      </c>
      <c r="G439" s="4" t="inlineStr">
        <is>
          <t>MIUVCA36</t>
        </is>
      </c>
      <c r="H439" s="4" t="inlineStr"/>
      <c r="I439" s="4" t="inlineStr">
        <is>
          <t>Easy</t>
        </is>
      </c>
      <c r="J439" s="5">
        <f>HYPERLINK("https://www.codechef.com/problems/MIUVCA36", "https://www.codechef.com/problems/MIUVCA36")</f>
        <v/>
      </c>
      <c r="K439" s="4" t="inlineStr"/>
      <c r="L439" s="4" t="inlineStr"/>
      <c r="M439" s="4" t="inlineStr"/>
      <c r="N439" s="4" t="inlineStr">
        <is>
          <t>No</t>
        </is>
      </c>
      <c r="O439" s="4" t="inlineStr">
        <is>
          <t>Unattempted</t>
        </is>
      </c>
    </row>
    <row r="440">
      <c r="A440" s="2" t="inlineStr">
        <is>
          <t>Company Based Questions</t>
        </is>
      </c>
      <c r="B440" s="2" t="inlineStr">
        <is>
          <t>Infosys InfyTQ - Questions</t>
        </is>
      </c>
      <c r="C440" s="2" t="inlineStr">
        <is>
          <t>Prepare for Infosys with previous years questions. Solve the coding, numerical ability, reasoning ability, verbal ability and quant questions which were asked in the past.</t>
        </is>
      </c>
      <c r="D440" s="2" t="inlineStr">
        <is>
          <t>Python MCQs - Past Years Python Problems</t>
        </is>
      </c>
      <c r="E440" s="2" t="n">
        <v>37</v>
      </c>
      <c r="F440" s="2" t="inlineStr">
        <is>
          <t>Python Iterator next() Function</t>
        </is>
      </c>
      <c r="G440" s="2" t="inlineStr">
        <is>
          <t>MIUVCA37</t>
        </is>
      </c>
      <c r="H440" s="2" t="inlineStr"/>
      <c r="I440" s="2" t="inlineStr">
        <is>
          <t>Easy</t>
        </is>
      </c>
      <c r="J440" s="3">
        <f>HYPERLINK("https://www.codechef.com/problems/MIUVCA37", "https://www.codechef.com/problems/MIUVCA37")</f>
        <v/>
      </c>
      <c r="K440" s="2" t="inlineStr"/>
      <c r="L440" s="2" t="inlineStr"/>
      <c r="M440" s="2" t="inlineStr"/>
      <c r="N440" s="2" t="inlineStr">
        <is>
          <t>No</t>
        </is>
      </c>
      <c r="O440" s="2" t="inlineStr">
        <is>
          <t>Unattempted</t>
        </is>
      </c>
    </row>
    <row r="441">
      <c r="A441" s="4" t="inlineStr">
        <is>
          <t>Company Based Questions</t>
        </is>
      </c>
      <c r="B441" s="4" t="inlineStr">
        <is>
          <t>Infosys InfyTQ - Questions</t>
        </is>
      </c>
      <c r="C441" s="4" t="inlineStr">
        <is>
          <t>Prepare for Infosys with previous years questions. Solve the coding, numerical ability, reasoning ability, verbal ability and quant questions which were asked in the past.</t>
        </is>
      </c>
      <c r="D441" s="4" t="inlineStr">
        <is>
          <t>Python MCQs - Past Years Python Problems</t>
        </is>
      </c>
      <c r="E441" s="4" t="n">
        <v>38</v>
      </c>
      <c r="F441" s="4" t="inlineStr">
        <is>
          <t>Python's Power Function</t>
        </is>
      </c>
      <c r="G441" s="4" t="inlineStr">
        <is>
          <t>MIUVCA38</t>
        </is>
      </c>
      <c r="H441" s="4" t="inlineStr"/>
      <c r="I441" s="4" t="inlineStr">
        <is>
          <t>Easy</t>
        </is>
      </c>
      <c r="J441" s="5">
        <f>HYPERLINK("https://www.codechef.com/problems/MIUVCA38", "https://www.codechef.com/problems/MIUVCA38")</f>
        <v/>
      </c>
      <c r="K441" s="4" t="inlineStr"/>
      <c r="L441" s="4" t="inlineStr"/>
      <c r="M441" s="4" t="inlineStr"/>
      <c r="N441" s="4" t="inlineStr">
        <is>
          <t>No</t>
        </is>
      </c>
      <c r="O441" s="4" t="inlineStr">
        <is>
          <t>Unattempted</t>
        </is>
      </c>
    </row>
    <row r="442">
      <c r="A442" s="2" t="inlineStr">
        <is>
          <t>Company Based Questions</t>
        </is>
      </c>
      <c r="B442" s="2" t="inlineStr">
        <is>
          <t>Infosys InfyTQ - Questions</t>
        </is>
      </c>
      <c r="C442" s="2" t="inlineStr">
        <is>
          <t>Prepare for Infosys with previous years questions. Solve the coding, numerical ability, reasoning ability, verbal ability and quant questions which were asked in the past.</t>
        </is>
      </c>
      <c r="D442" s="2" t="inlineStr">
        <is>
          <t>Python MCQs - Past Years Python Problems</t>
        </is>
      </c>
      <c r="E442" s="2" t="n">
        <v>39</v>
      </c>
      <c r="F442" s="2" t="inlineStr">
        <is>
          <t>Inserting into a Python List</t>
        </is>
      </c>
      <c r="G442" s="2" t="inlineStr">
        <is>
          <t>MIUVCA39</t>
        </is>
      </c>
      <c r="H442" s="2" t="inlineStr"/>
      <c r="I442" s="2" t="inlineStr">
        <is>
          <t>Easy</t>
        </is>
      </c>
      <c r="J442" s="3">
        <f>HYPERLINK("https://www.codechef.com/problems/MIUVCA39", "https://www.codechef.com/problems/MIUVCA39")</f>
        <v/>
      </c>
      <c r="K442" s="2" t="inlineStr"/>
      <c r="L442" s="2" t="inlineStr"/>
      <c r="M442" s="2" t="inlineStr"/>
      <c r="N442" s="2" t="inlineStr">
        <is>
          <t>No</t>
        </is>
      </c>
      <c r="O442" s="2" t="inlineStr">
        <is>
          <t>Unattempted</t>
        </is>
      </c>
    </row>
    <row r="443">
      <c r="A443" s="4" t="inlineStr">
        <is>
          <t>Company Based Questions</t>
        </is>
      </c>
      <c r="B443" s="4" t="inlineStr">
        <is>
          <t>Infosys InfyTQ - Questions</t>
        </is>
      </c>
      <c r="C443" s="4" t="inlineStr">
        <is>
          <t>Prepare for Infosys with previous years questions. Solve the coding, numerical ability, reasoning ability, verbal ability and quant questions which were asked in the past.</t>
        </is>
      </c>
      <c r="D443" s="4" t="inlineStr">
        <is>
          <t>Python MCQs - Past Years Python Problems</t>
        </is>
      </c>
      <c r="E443" s="4" t="n">
        <v>40</v>
      </c>
      <c r="F443" s="4" t="inlineStr">
        <is>
          <t>Python Tuple Properties</t>
        </is>
      </c>
      <c r="G443" s="4" t="inlineStr">
        <is>
          <t>MIUVCA40</t>
        </is>
      </c>
      <c r="H443" s="4" t="inlineStr"/>
      <c r="I443" s="4" t="inlineStr">
        <is>
          <t>Easy</t>
        </is>
      </c>
      <c r="J443" s="5">
        <f>HYPERLINK("https://www.codechef.com/problems/MIUVCA40", "https://www.codechef.com/problems/MIUVCA40")</f>
        <v/>
      </c>
      <c r="K443" s="4" t="inlineStr"/>
      <c r="L443" s="4" t="inlineStr"/>
      <c r="M443" s="4" t="inlineStr"/>
      <c r="N443" s="4" t="inlineStr">
        <is>
          <t>No</t>
        </is>
      </c>
      <c r="O443" s="4" t="inlineStr">
        <is>
          <t>Unattempted</t>
        </is>
      </c>
    </row>
    <row r="444">
      <c r="A444" s="2" t="inlineStr">
        <is>
          <t>Company Based Questions</t>
        </is>
      </c>
      <c r="B444" s="2" t="inlineStr">
        <is>
          <t>Infosys InfyTQ - Questions</t>
        </is>
      </c>
      <c r="C444" s="2" t="inlineStr">
        <is>
          <t>Prepare for Infosys with previous years questions. Solve the coding, numerical ability, reasoning ability, verbal ability and quant questions which were asked in the past.</t>
        </is>
      </c>
      <c r="D444" s="2" t="inlineStr">
        <is>
          <t>Java MCQs - Past Years Java Problems</t>
        </is>
      </c>
      <c r="E444" s="2" t="n">
        <v>41</v>
      </c>
      <c r="F444" s="2" t="inlineStr">
        <is>
          <t>Java's Ancestral Class</t>
        </is>
      </c>
      <c r="G444" s="2" t="inlineStr">
        <is>
          <t>MIUVCA01</t>
        </is>
      </c>
      <c r="H444" s="2" t="inlineStr"/>
      <c r="I444" s="2" t="inlineStr">
        <is>
          <t>Easy</t>
        </is>
      </c>
      <c r="J444" s="3">
        <f>HYPERLINK("https://www.codechef.com/problems/MIUVCA01", "https://www.codechef.com/problems/MIUVCA01")</f>
        <v/>
      </c>
      <c r="K444" s="2" t="inlineStr"/>
      <c r="L444" s="2" t="inlineStr"/>
      <c r="M444" s="2" t="inlineStr"/>
      <c r="N444" s="2" t="inlineStr">
        <is>
          <t>No</t>
        </is>
      </c>
      <c r="O444" s="2" t="inlineStr">
        <is>
          <t>Unattempted</t>
        </is>
      </c>
    </row>
    <row r="445">
      <c r="A445" s="4" t="inlineStr">
        <is>
          <t>Company Based Questions</t>
        </is>
      </c>
      <c r="B445" s="4" t="inlineStr">
        <is>
          <t>Infosys InfyTQ - Questions</t>
        </is>
      </c>
      <c r="C445" s="4" t="inlineStr">
        <is>
          <t>Prepare for Infosys with previous years questions. Solve the coding, numerical ability, reasoning ability, verbal ability and quant questions which were asked in the past.</t>
        </is>
      </c>
      <c r="D445" s="4" t="inlineStr">
        <is>
          <t>Java MCQs - Past Years Java Problems</t>
        </is>
      </c>
      <c r="E445" s="4" t="n">
        <v>42</v>
      </c>
      <c r="F445" s="4" t="inlineStr">
        <is>
          <t>Encapsulation and Data Security</t>
        </is>
      </c>
      <c r="G445" s="4" t="inlineStr">
        <is>
          <t>MIUVCA02</t>
        </is>
      </c>
      <c r="H445" s="4" t="inlineStr"/>
      <c r="I445" s="4" t="inlineStr">
        <is>
          <t>Easy</t>
        </is>
      </c>
      <c r="J445" s="5">
        <f>HYPERLINK("https://www.codechef.com/problems/MIUVCA02", "https://www.codechef.com/problems/MIUVCA02")</f>
        <v/>
      </c>
      <c r="K445" s="4" t="inlineStr"/>
      <c r="L445" s="4" t="inlineStr"/>
      <c r="M445" s="4" t="inlineStr"/>
      <c r="N445" s="4" t="inlineStr">
        <is>
          <t>No</t>
        </is>
      </c>
      <c r="O445" s="4" t="inlineStr">
        <is>
          <t>Unattempted</t>
        </is>
      </c>
    </row>
    <row r="446">
      <c r="A446" s="2" t="inlineStr">
        <is>
          <t>Company Based Questions</t>
        </is>
      </c>
      <c r="B446" s="2" t="inlineStr">
        <is>
          <t>Infosys InfyTQ - Questions</t>
        </is>
      </c>
      <c r="C446" s="2" t="inlineStr">
        <is>
          <t>Prepare for Infosys with previous years questions. Solve the coding, numerical ability, reasoning ability, verbal ability and quant questions which were asked in the past.</t>
        </is>
      </c>
      <c r="D446" s="2" t="inlineStr">
        <is>
          <t>Java MCQs - Past Years Java Problems</t>
        </is>
      </c>
      <c r="E446" s="2" t="n">
        <v>43</v>
      </c>
      <c r="F446" s="2" t="inlineStr">
        <is>
          <t>Bundling Data and Methods</t>
        </is>
      </c>
      <c r="G446" s="2" t="inlineStr">
        <is>
          <t>MIUVCA03</t>
        </is>
      </c>
      <c r="H446" s="2" t="inlineStr"/>
      <c r="I446" s="2" t="inlineStr">
        <is>
          <t>Easy</t>
        </is>
      </c>
      <c r="J446" s="3">
        <f>HYPERLINK("https://www.codechef.com/problems/MIUVCA03", "https://www.codechef.com/problems/MIUVCA03")</f>
        <v/>
      </c>
      <c r="K446" s="2" t="inlineStr"/>
      <c r="L446" s="2" t="inlineStr"/>
      <c r="M446" s="2" t="inlineStr"/>
      <c r="N446" s="2" t="inlineStr">
        <is>
          <t>No</t>
        </is>
      </c>
      <c r="O446" s="2" t="inlineStr">
        <is>
          <t>Unattempted</t>
        </is>
      </c>
    </row>
    <row r="447">
      <c r="A447" s="4" t="inlineStr">
        <is>
          <t>Company Based Questions</t>
        </is>
      </c>
      <c r="B447" s="4" t="inlineStr">
        <is>
          <t>Infosys InfyTQ - Questions</t>
        </is>
      </c>
      <c r="C447" s="4" t="inlineStr">
        <is>
          <t>Prepare for Infosys with previous years questions. Solve the coding, numerical ability, reasoning ability, verbal ability and quant questions which were asked in the past.</t>
        </is>
      </c>
      <c r="D447" s="4" t="inlineStr">
        <is>
          <t>Java MCQs - Past Years Java Problems</t>
        </is>
      </c>
      <c r="E447" s="4" t="n">
        <v>44</v>
      </c>
      <c r="F447" s="4" t="inlineStr">
        <is>
          <t>Java Constructor Inheritance</t>
        </is>
      </c>
      <c r="G447" s="4" t="inlineStr">
        <is>
          <t>MIUVCA04</t>
        </is>
      </c>
      <c r="H447" s="4" t="inlineStr"/>
      <c r="I447" s="4" t="inlineStr">
        <is>
          <t>Medium</t>
        </is>
      </c>
      <c r="J447" s="5">
        <f>HYPERLINK("https://www.codechef.com/problems/MIUVCA04", "https://www.codechef.com/problems/MIUVCA04")</f>
        <v/>
      </c>
      <c r="K447" s="4" t="inlineStr"/>
      <c r="L447" s="4" t="inlineStr"/>
      <c r="M447" s="4" t="inlineStr"/>
      <c r="N447" s="4" t="inlineStr">
        <is>
          <t>No</t>
        </is>
      </c>
      <c r="O447" s="4" t="inlineStr">
        <is>
          <t>Unattempted</t>
        </is>
      </c>
    </row>
    <row r="448">
      <c r="A448" s="2" t="inlineStr">
        <is>
          <t>Company Based Questions</t>
        </is>
      </c>
      <c r="B448" s="2" t="inlineStr">
        <is>
          <t>Infosys InfyTQ - Questions</t>
        </is>
      </c>
      <c r="C448" s="2" t="inlineStr">
        <is>
          <t>Prepare for Infosys with previous years questions. Solve the coding, numerical ability, reasoning ability, verbal ability and quant questions which were asked in the past.</t>
        </is>
      </c>
      <c r="D448" s="2" t="inlineStr">
        <is>
          <t>Java MCQs - Past Years Java Problems</t>
        </is>
      </c>
      <c r="E448" s="2" t="n">
        <v>45</v>
      </c>
      <c r="F448" s="2" t="inlineStr">
        <is>
          <t>Java Regex \z Anchor</t>
        </is>
      </c>
      <c r="G448" s="2" t="inlineStr">
        <is>
          <t>MIUVCA05</t>
        </is>
      </c>
      <c r="H448" s="2" t="inlineStr"/>
      <c r="I448" s="2" t="inlineStr">
        <is>
          <t>Easy</t>
        </is>
      </c>
      <c r="J448" s="3">
        <f>HYPERLINK("https://www.codechef.com/problems/MIUVCA05", "https://www.codechef.com/problems/MIUVCA05")</f>
        <v/>
      </c>
      <c r="K448" s="2" t="inlineStr"/>
      <c r="L448" s="2" t="inlineStr"/>
      <c r="M448" s="2" t="inlineStr"/>
      <c r="N448" s="2" t="inlineStr">
        <is>
          <t>No</t>
        </is>
      </c>
      <c r="O448" s="2" t="inlineStr">
        <is>
          <t>Unattempted</t>
        </is>
      </c>
    </row>
    <row r="449">
      <c r="A449" s="4" t="inlineStr">
        <is>
          <t>Company Based Questions</t>
        </is>
      </c>
      <c r="B449" s="4" t="inlineStr">
        <is>
          <t>Infosys InfyTQ - Questions</t>
        </is>
      </c>
      <c r="C449" s="4" t="inlineStr">
        <is>
          <t>Prepare for Infosys with previous years questions. Solve the coding, numerical ability, reasoning ability, verbal ability and quant questions which were asked in the past.</t>
        </is>
      </c>
      <c r="D449" s="4" t="inlineStr">
        <is>
          <t>Java MCQs - Past Years Java Problems</t>
        </is>
      </c>
      <c r="E449" s="4" t="n">
        <v>46</v>
      </c>
      <c r="F449" s="4" t="inlineStr">
        <is>
          <t>JDBC Exceptions</t>
        </is>
      </c>
      <c r="G449" s="4" t="inlineStr">
        <is>
          <t>MIUVCA06</t>
        </is>
      </c>
      <c r="H449" s="4" t="inlineStr"/>
      <c r="I449" s="4" t="inlineStr">
        <is>
          <t>Easy</t>
        </is>
      </c>
      <c r="J449" s="5">
        <f>HYPERLINK("https://www.codechef.com/problems/MIUVCA06", "https://www.codechef.com/problems/MIUVCA06")</f>
        <v/>
      </c>
      <c r="K449" s="4" t="inlineStr"/>
      <c r="L449" s="4" t="inlineStr"/>
      <c r="M449" s="4" t="inlineStr"/>
      <c r="N449" s="4" t="inlineStr">
        <is>
          <t>No</t>
        </is>
      </c>
      <c r="O449" s="4" t="inlineStr">
        <is>
          <t>Unattempted</t>
        </is>
      </c>
    </row>
    <row r="450">
      <c r="A450" s="2" t="inlineStr">
        <is>
          <t>Company Based Questions</t>
        </is>
      </c>
      <c r="B450" s="2" t="inlineStr">
        <is>
          <t>Infosys InfyTQ - Questions</t>
        </is>
      </c>
      <c r="C450" s="2" t="inlineStr">
        <is>
          <t>Prepare for Infosys with previous years questions. Solve the coding, numerical ability, reasoning ability, verbal ability and quant questions which were asked in the past.</t>
        </is>
      </c>
      <c r="D450" s="2" t="inlineStr">
        <is>
          <t>Java MCQs - Past Years Java Problems</t>
        </is>
      </c>
      <c r="E450" s="2" t="n">
        <v>47</v>
      </c>
      <c r="F450" s="2" t="inlineStr">
        <is>
          <t>Core JDBC Components</t>
        </is>
      </c>
      <c r="G450" s="2" t="inlineStr">
        <is>
          <t>MIUVCA07</t>
        </is>
      </c>
      <c r="H450" s="2" t="inlineStr"/>
      <c r="I450" s="2" t="inlineStr">
        <is>
          <t>Easy</t>
        </is>
      </c>
      <c r="J450" s="3">
        <f>HYPERLINK("https://www.codechef.com/problems/MIUVCA07", "https://www.codechef.com/problems/MIUVCA07")</f>
        <v/>
      </c>
      <c r="K450" s="2" t="inlineStr"/>
      <c r="L450" s="2" t="inlineStr"/>
      <c r="M450" s="2" t="inlineStr"/>
      <c r="N450" s="2" t="inlineStr">
        <is>
          <t>No</t>
        </is>
      </c>
      <c r="O450" s="2" t="inlineStr">
        <is>
          <t>Unattempted</t>
        </is>
      </c>
    </row>
    <row r="451">
      <c r="A451" s="4" t="inlineStr">
        <is>
          <t>Company Based Questions</t>
        </is>
      </c>
      <c r="B451" s="4" t="inlineStr">
        <is>
          <t>Infosys InfyTQ - Questions</t>
        </is>
      </c>
      <c r="C451" s="4" t="inlineStr">
        <is>
          <t>Prepare for Infosys with previous years questions. Solve the coding, numerical ability, reasoning ability, verbal ability and quant questions which were asked in the past.</t>
        </is>
      </c>
      <c r="D451" s="4" t="inlineStr">
        <is>
          <t>Java MCQs - Past Years Java Problems</t>
        </is>
      </c>
      <c r="E451" s="4" t="n">
        <v>48</v>
      </c>
      <c r="F451" s="4" t="inlineStr">
        <is>
          <t>Java Interface</t>
        </is>
      </c>
      <c r="G451" s="4" t="inlineStr">
        <is>
          <t>MIUVCA08</t>
        </is>
      </c>
      <c r="H451" s="4" t="inlineStr"/>
      <c r="I451" s="4" t="inlineStr">
        <is>
          <t>Easy</t>
        </is>
      </c>
      <c r="J451" s="5">
        <f>HYPERLINK("https://www.codechef.com/problems/MIUVCA08", "https://www.codechef.com/problems/MIUVCA08")</f>
        <v/>
      </c>
      <c r="K451" s="4" t="inlineStr"/>
      <c r="L451" s="4" t="inlineStr"/>
      <c r="M451" s="4" t="inlineStr"/>
      <c r="N451" s="4" t="inlineStr">
        <is>
          <t>No</t>
        </is>
      </c>
      <c r="O451" s="4" t="inlineStr">
        <is>
          <t>Unattempted</t>
        </is>
      </c>
    </row>
    <row r="452">
      <c r="A452" s="2" t="inlineStr">
        <is>
          <t>Company Based Questions</t>
        </is>
      </c>
      <c r="B452" s="2" t="inlineStr">
        <is>
          <t>Infosys InfyTQ - Questions</t>
        </is>
      </c>
      <c r="C452" s="2" t="inlineStr">
        <is>
          <t>Prepare for Infosys with previous years questions. Solve the coding, numerical ability, reasoning ability, verbal ability and quant questions which were asked in the past.</t>
        </is>
      </c>
      <c r="D452" s="2" t="inlineStr">
        <is>
          <t>Java MCQs - Past Years Java Problems</t>
        </is>
      </c>
      <c r="E452" s="2" t="n">
        <v>49</v>
      </c>
      <c r="F452" s="2" t="inlineStr">
        <is>
          <t>Base64 Encoding Variants</t>
        </is>
      </c>
      <c r="G452" s="2" t="inlineStr">
        <is>
          <t>MIUVCA09</t>
        </is>
      </c>
      <c r="H452" s="2" t="inlineStr"/>
      <c r="I452" s="2" t="inlineStr">
        <is>
          <t>Easy</t>
        </is>
      </c>
      <c r="J452" s="3">
        <f>HYPERLINK("https://www.codechef.com/problems/MIUVCA09", "https://www.codechef.com/problems/MIUVCA09")</f>
        <v/>
      </c>
      <c r="K452" s="2" t="inlineStr"/>
      <c r="L452" s="2" t="inlineStr"/>
      <c r="M452" s="2" t="inlineStr"/>
      <c r="N452" s="2" t="inlineStr">
        <is>
          <t>No</t>
        </is>
      </c>
      <c r="O452" s="2" t="inlineStr">
        <is>
          <t>Unattempted</t>
        </is>
      </c>
    </row>
    <row r="453">
      <c r="A453" s="4" t="inlineStr">
        <is>
          <t>Company Based Questions</t>
        </is>
      </c>
      <c r="B453" s="4" t="inlineStr">
        <is>
          <t>Infosys InfyTQ - Questions</t>
        </is>
      </c>
      <c r="C453" s="4" t="inlineStr">
        <is>
          <t>Prepare for Infosys with previous years questions. Solve the coding, numerical ability, reasoning ability, verbal ability and quant questions which were asked in the past.</t>
        </is>
      </c>
      <c r="D453" s="4" t="inlineStr">
        <is>
          <t>Java MCQs - Past Years Java Problems</t>
        </is>
      </c>
      <c r="E453" s="4" t="n">
        <v>50</v>
      </c>
      <c r="F453" s="4" t="inlineStr">
        <is>
          <t>Single Variable Reference Limit</t>
        </is>
      </c>
      <c r="G453" s="4" t="inlineStr">
        <is>
          <t>MIUVCA10</t>
        </is>
      </c>
      <c r="H453" s="4" t="inlineStr"/>
      <c r="I453" s="4" t="inlineStr">
        <is>
          <t>Easy</t>
        </is>
      </c>
      <c r="J453" s="5">
        <f>HYPERLINK("https://www.codechef.com/problems/MIUVCA10", "https://www.codechef.com/problems/MIUVCA10")</f>
        <v/>
      </c>
      <c r="K453" s="4" t="inlineStr"/>
      <c r="L453" s="4" t="inlineStr"/>
      <c r="M453" s="4" t="inlineStr"/>
      <c r="N453" s="4" t="inlineStr">
        <is>
          <t>No</t>
        </is>
      </c>
      <c r="O453" s="4" t="inlineStr">
        <is>
          <t>Unattempted</t>
        </is>
      </c>
    </row>
    <row r="454">
      <c r="A454" s="2" t="inlineStr">
        <is>
          <t>Company Based Questions</t>
        </is>
      </c>
      <c r="B454" s="2" t="inlineStr">
        <is>
          <t>Infosys InfyTQ - Questions</t>
        </is>
      </c>
      <c r="C454" s="2" t="inlineStr">
        <is>
          <t>Prepare for Infosys with previous years questions. Solve the coding, numerical ability, reasoning ability, verbal ability and quant questions which were asked in the past.</t>
        </is>
      </c>
      <c r="D454" s="2" t="inlineStr">
        <is>
          <t>Java MCQs - Past Years Java Problems</t>
        </is>
      </c>
      <c r="E454" s="2" t="n">
        <v>51</v>
      </c>
      <c r="F454" s="2" t="inlineStr">
        <is>
          <t>Valid Java Main Method Signature</t>
        </is>
      </c>
      <c r="G454" s="2" t="inlineStr">
        <is>
          <t>MIUVCA11</t>
        </is>
      </c>
      <c r="H454" s="2" t="inlineStr"/>
      <c r="I454" s="2" t="inlineStr">
        <is>
          <t>Easy</t>
        </is>
      </c>
      <c r="J454" s="3">
        <f>HYPERLINK("https://www.codechef.com/problems/MIUVCA11", "https://www.codechef.com/problems/MIUVCA11")</f>
        <v/>
      </c>
      <c r="K454" s="2" t="inlineStr"/>
      <c r="L454" s="2" t="inlineStr"/>
      <c r="M454" s="2" t="inlineStr"/>
      <c r="N454" s="2" t="inlineStr">
        <is>
          <t>No</t>
        </is>
      </c>
      <c r="O454" s="2" t="inlineStr">
        <is>
          <t>Unattempted</t>
        </is>
      </c>
    </row>
    <row r="455">
      <c r="A455" s="4" t="inlineStr">
        <is>
          <t>Company Based Questions</t>
        </is>
      </c>
      <c r="B455" s="4" t="inlineStr">
        <is>
          <t>Infosys InfyTQ - Questions</t>
        </is>
      </c>
      <c r="C455" s="4" t="inlineStr">
        <is>
          <t>Prepare for Infosys with previous years questions. Solve the coding, numerical ability, reasoning ability, verbal ability and quant questions which were asked in the past.</t>
        </is>
      </c>
      <c r="D455" s="4" t="inlineStr">
        <is>
          <t>Java MCQs - Past Years Java Problems</t>
        </is>
      </c>
      <c r="E455" s="4" t="n">
        <v>52</v>
      </c>
      <c r="F455" s="4" t="inlineStr">
        <is>
          <t>Java Boolean Data Type Size</t>
        </is>
      </c>
      <c r="G455" s="4" t="inlineStr">
        <is>
          <t>MIUVCA12</t>
        </is>
      </c>
      <c r="H455" s="4" t="inlineStr"/>
      <c r="I455" s="4" t="inlineStr">
        <is>
          <t>Easy</t>
        </is>
      </c>
      <c r="J455" s="5">
        <f>HYPERLINK("https://www.codechef.com/problems/MIUVCA12", "https://www.codechef.com/problems/MIUVCA12")</f>
        <v/>
      </c>
      <c r="K455" s="4" t="inlineStr"/>
      <c r="L455" s="4" t="inlineStr"/>
      <c r="M455" s="4" t="inlineStr"/>
      <c r="N455" s="4" t="inlineStr">
        <is>
          <t>No</t>
        </is>
      </c>
      <c r="O455" s="4" t="inlineStr">
        <is>
          <t>Unattempted</t>
        </is>
      </c>
    </row>
    <row r="456">
      <c r="A456" s="2" t="inlineStr">
        <is>
          <t>Company Based Questions</t>
        </is>
      </c>
      <c r="B456" s="2" t="inlineStr">
        <is>
          <t>Infosys InfyTQ - Questions</t>
        </is>
      </c>
      <c r="C456" s="2" t="inlineStr">
        <is>
          <t>Prepare for Infosys with previous years questions. Solve the coding, numerical ability, reasoning ability, verbal ability and quant questions which were asked in the past.</t>
        </is>
      </c>
      <c r="D456" s="2" t="inlineStr">
        <is>
          <t>Java MCQs - Past Years Java Problems</t>
        </is>
      </c>
      <c r="E456" s="2" t="n">
        <v>53</v>
      </c>
      <c r="F456" s="2" t="inlineStr">
        <is>
          <t>Data Type for Binary States</t>
        </is>
      </c>
      <c r="G456" s="2" t="inlineStr">
        <is>
          <t>MIUVCA13</t>
        </is>
      </c>
      <c r="H456" s="2" t="inlineStr"/>
      <c r="I456" s="2" t="inlineStr">
        <is>
          <t>Easy</t>
        </is>
      </c>
      <c r="J456" s="3">
        <f>HYPERLINK("https://www.codechef.com/problems/MIUVCA13", "https://www.codechef.com/problems/MIUVCA13")</f>
        <v/>
      </c>
      <c r="K456" s="2" t="inlineStr"/>
      <c r="L456" s="2" t="inlineStr"/>
      <c r="M456" s="2" t="inlineStr"/>
      <c r="N456" s="2" t="inlineStr">
        <is>
          <t>No</t>
        </is>
      </c>
      <c r="O456" s="2" t="inlineStr">
        <is>
          <t>Unattempted</t>
        </is>
      </c>
    </row>
    <row r="457">
      <c r="A457" s="4" t="inlineStr">
        <is>
          <t>Company Based Questions</t>
        </is>
      </c>
      <c r="B457" s="4" t="inlineStr">
        <is>
          <t>Infosys InfyTQ - Questions</t>
        </is>
      </c>
      <c r="C457" s="4" t="inlineStr">
        <is>
          <t>Prepare for Infosys with previous years questions. Solve the coding, numerical ability, reasoning ability, verbal ability and quant questions which were asked in the past.</t>
        </is>
      </c>
      <c r="D457" s="4" t="inlineStr">
        <is>
          <t>Java MCQs - Past Years Java Problems</t>
        </is>
      </c>
      <c r="E457" s="4" t="n">
        <v>54</v>
      </c>
      <c r="F457" s="4" t="inlineStr">
        <is>
          <t>Class Method Variations</t>
        </is>
      </c>
      <c r="G457" s="4" t="inlineStr">
        <is>
          <t>MIUVCA14</t>
        </is>
      </c>
      <c r="H457" s="4" t="inlineStr"/>
      <c r="I457" s="4" t="inlineStr">
        <is>
          <t>Easy</t>
        </is>
      </c>
      <c r="J457" s="5">
        <f>HYPERLINK("https://www.codechef.com/problems/MIUVCA14", "https://www.codechef.com/problems/MIUVCA14")</f>
        <v/>
      </c>
      <c r="K457" s="4" t="inlineStr"/>
      <c r="L457" s="4" t="inlineStr"/>
      <c r="M457" s="4" t="inlineStr"/>
      <c r="N457" s="4" t="inlineStr">
        <is>
          <t>No</t>
        </is>
      </c>
      <c r="O457" s="4" t="inlineStr">
        <is>
          <t>Unattempted</t>
        </is>
      </c>
    </row>
    <row r="458">
      <c r="A458" s="2" t="inlineStr">
        <is>
          <t>Company Based Questions</t>
        </is>
      </c>
      <c r="B458" s="2" t="inlineStr">
        <is>
          <t>Infosys InfyTQ - Questions</t>
        </is>
      </c>
      <c r="C458" s="2" t="inlineStr">
        <is>
          <t>Prepare for Infosys with previous years questions. Solve the coding, numerical ability, reasoning ability, verbal ability and quant questions which were asked in the past.</t>
        </is>
      </c>
      <c r="D458" s="2" t="inlineStr">
        <is>
          <t>Java MCQs - Past Years Java Problems</t>
        </is>
      </c>
      <c r="E458" s="2" t="n">
        <v>55</v>
      </c>
      <c r="F458" s="2" t="inlineStr">
        <is>
          <t>Subclass Constructor Invocation</t>
        </is>
      </c>
      <c r="G458" s="2" t="inlineStr">
        <is>
          <t>MIUVCA15</t>
        </is>
      </c>
      <c r="H458" s="2" t="inlineStr"/>
      <c r="I458" s="2" t="inlineStr">
        <is>
          <t>Easy</t>
        </is>
      </c>
      <c r="J458" s="3">
        <f>HYPERLINK("https://www.codechef.com/problems/MIUVCA15", "https://www.codechef.com/problems/MIUVCA15")</f>
        <v/>
      </c>
      <c r="K458" s="2" t="inlineStr"/>
      <c r="L458" s="2" t="inlineStr"/>
      <c r="M458" s="2" t="inlineStr"/>
      <c r="N458" s="2" t="inlineStr">
        <is>
          <t>No</t>
        </is>
      </c>
      <c r="O458" s="2" t="inlineStr">
        <is>
          <t>Unattempted</t>
        </is>
      </c>
    </row>
    <row r="459">
      <c r="A459" s="4" t="inlineStr">
        <is>
          <t>Company Based Questions</t>
        </is>
      </c>
      <c r="B459" s="4" t="inlineStr">
        <is>
          <t>Infosys InfyTQ - Questions</t>
        </is>
      </c>
      <c r="C459" s="4" t="inlineStr">
        <is>
          <t>Prepare for Infosys with previous years questions. Solve the coding, numerical ability, reasoning ability, verbal ability and quant questions which were asked in the past.</t>
        </is>
      </c>
      <c r="D459" s="4" t="inlineStr">
        <is>
          <t>Java MCQs - Past Years Java Problems</t>
        </is>
      </c>
      <c r="E459" s="4" t="n">
        <v>56</v>
      </c>
      <c r="F459" s="4" t="inlineStr">
        <is>
          <t>Java Object Creation Syntax</t>
        </is>
      </c>
      <c r="G459" s="4" t="inlineStr">
        <is>
          <t>MIUVCA16</t>
        </is>
      </c>
      <c r="H459" s="4" t="inlineStr"/>
      <c r="I459" s="4" t="inlineStr">
        <is>
          <t>Easy</t>
        </is>
      </c>
      <c r="J459" s="5">
        <f>HYPERLINK("https://www.codechef.com/problems/MIUVCA16", "https://www.codechef.com/problems/MIUVCA16")</f>
        <v/>
      </c>
      <c r="K459" s="4" t="inlineStr"/>
      <c r="L459" s="4" t="inlineStr"/>
      <c r="M459" s="4" t="inlineStr"/>
      <c r="N459" s="4" t="inlineStr">
        <is>
          <t>No</t>
        </is>
      </c>
      <c r="O459" s="4" t="inlineStr">
        <is>
          <t>Unattempted</t>
        </is>
      </c>
    </row>
    <row r="460">
      <c r="A460" s="2" t="inlineStr">
        <is>
          <t>Company Based Questions</t>
        </is>
      </c>
      <c r="B460" s="2" t="inlineStr">
        <is>
          <t>Infosys InfyTQ - Questions</t>
        </is>
      </c>
      <c r="C460" s="2" t="inlineStr">
        <is>
          <t>Prepare for Infosys with previous years questions. Solve the coding, numerical ability, reasoning ability, verbal ability and quant questions which were asked in the past.</t>
        </is>
      </c>
      <c r="D460" s="2" t="inlineStr">
        <is>
          <t>Java MCQs - Past Years Java Problems</t>
        </is>
      </c>
      <c r="E460" s="2" t="n">
        <v>57</v>
      </c>
      <c r="F460" s="2" t="inlineStr">
        <is>
          <t>Java Variable Hiding</t>
        </is>
      </c>
      <c r="G460" s="2" t="inlineStr">
        <is>
          <t>MIUVCA17</t>
        </is>
      </c>
      <c r="H460" s="2" t="inlineStr"/>
      <c r="I460" s="2" t="inlineStr">
        <is>
          <t>Medium</t>
        </is>
      </c>
      <c r="J460" s="3">
        <f>HYPERLINK("https://www.codechef.com/problems/MIUVCA17", "https://www.codechef.com/problems/MIUVCA17")</f>
        <v/>
      </c>
      <c r="K460" s="2" t="inlineStr"/>
      <c r="L460" s="2" t="inlineStr"/>
      <c r="M460" s="2" t="inlineStr"/>
      <c r="N460" s="2" t="inlineStr">
        <is>
          <t>No</t>
        </is>
      </c>
      <c r="O460" s="2" t="inlineStr">
        <is>
          <t>Unattempted</t>
        </is>
      </c>
    </row>
    <row r="461">
      <c r="A461" s="4" t="inlineStr">
        <is>
          <t>Company Based Questions</t>
        </is>
      </c>
      <c r="B461" s="4" t="inlineStr">
        <is>
          <t>Infosys InfyTQ - Questions</t>
        </is>
      </c>
      <c r="C461" s="4" t="inlineStr">
        <is>
          <t>Prepare for Infosys with previous years questions. Solve the coding, numerical ability, reasoning ability, verbal ability and quant questions which were asked in the past.</t>
        </is>
      </c>
      <c r="D461" s="4" t="inlineStr">
        <is>
          <t>Java MCQs - Past Years Java Problems</t>
        </is>
      </c>
      <c r="E461" s="4" t="n">
        <v>58</v>
      </c>
      <c r="F461" s="4" t="inlineStr">
        <is>
          <t>Java Reserved Words Count</t>
        </is>
      </c>
      <c r="G461" s="4" t="inlineStr">
        <is>
          <t>MIUVCA18</t>
        </is>
      </c>
      <c r="H461" s="4" t="inlineStr"/>
      <c r="I461" s="4" t="inlineStr">
        <is>
          <t>Easy</t>
        </is>
      </c>
      <c r="J461" s="5">
        <f>HYPERLINK("https://www.codechef.com/problems/MIUVCA18", "https://www.codechef.com/problems/MIUVCA18")</f>
        <v/>
      </c>
      <c r="K461" s="4" t="inlineStr"/>
      <c r="L461" s="4" t="inlineStr"/>
      <c r="M461" s="4" t="inlineStr"/>
      <c r="N461" s="4" t="inlineStr">
        <is>
          <t>No</t>
        </is>
      </c>
      <c r="O461" s="4" t="inlineStr">
        <is>
          <t>Unattempted</t>
        </is>
      </c>
    </row>
    <row r="462">
      <c r="A462" s="2" t="inlineStr">
        <is>
          <t>Company Based Questions</t>
        </is>
      </c>
      <c r="B462" s="2" t="inlineStr">
        <is>
          <t>Infosys InfyTQ - Questions</t>
        </is>
      </c>
      <c r="C462" s="2" t="inlineStr">
        <is>
          <t>Prepare for Infosys with previous years questions. Solve the coding, numerical ability, reasoning ability, verbal ability and quant questions which were asked in the past.</t>
        </is>
      </c>
      <c r="D462" s="2" t="inlineStr">
        <is>
          <t>Java MCQs - Past Years Java Problems</t>
        </is>
      </c>
      <c r="E462" s="2" t="n">
        <v>59</v>
      </c>
      <c r="F462" s="2" t="inlineStr">
        <is>
          <t>Java Conditional Type Mismatch</t>
        </is>
      </c>
      <c r="G462" s="2" t="inlineStr">
        <is>
          <t>MIUVCA19</t>
        </is>
      </c>
      <c r="H462" s="2" t="inlineStr"/>
      <c r="I462" s="2" t="inlineStr">
        <is>
          <t>Easy</t>
        </is>
      </c>
      <c r="J462" s="3">
        <f>HYPERLINK("https://www.codechef.com/problems/MIUVCA19", "https://www.codechef.com/problems/MIUVCA19")</f>
        <v/>
      </c>
      <c r="K462" s="2" t="inlineStr"/>
      <c r="L462" s="2" t="inlineStr"/>
      <c r="M462" s="2" t="inlineStr"/>
      <c r="N462" s="2" t="inlineStr">
        <is>
          <t>No</t>
        </is>
      </c>
      <c r="O462" s="2" t="inlineStr">
        <is>
          <t>Unattempted</t>
        </is>
      </c>
    </row>
    <row r="463">
      <c r="A463" s="4" t="inlineStr">
        <is>
          <t>Company Based Questions</t>
        </is>
      </c>
      <c r="B463" s="4" t="inlineStr">
        <is>
          <t>Infosys InfyTQ - Questions</t>
        </is>
      </c>
      <c r="C463" s="4" t="inlineStr">
        <is>
          <t>Prepare for Infosys with previous years questions. Solve the coding, numerical ability, reasoning ability, verbal ability and quant questions which were asked in the past.</t>
        </is>
      </c>
      <c r="D463" s="4" t="inlineStr">
        <is>
          <t>Java MCQs - Past Years Java Problems</t>
        </is>
      </c>
      <c r="E463" s="4" t="n">
        <v>60</v>
      </c>
      <c r="F463" s="4" t="inlineStr">
        <is>
          <t>Java Integer Operations and Control Flow</t>
        </is>
      </c>
      <c r="G463" s="4" t="inlineStr">
        <is>
          <t>MIUVCA20</t>
        </is>
      </c>
      <c r="H463" s="4" t="inlineStr"/>
      <c r="I463" s="4" t="inlineStr">
        <is>
          <t>Easy</t>
        </is>
      </c>
      <c r="J463" s="5">
        <f>HYPERLINK("https://www.codechef.com/problems/MIUVCA20", "https://www.codechef.com/problems/MIUVCA20")</f>
        <v/>
      </c>
      <c r="K463" s="4" t="inlineStr"/>
      <c r="L463" s="4" t="inlineStr"/>
      <c r="M463" s="4" t="inlineStr"/>
      <c r="N463" s="4" t="inlineStr">
        <is>
          <t>No</t>
        </is>
      </c>
      <c r="O463" s="4" t="inlineStr">
        <is>
          <t>Unattempted</t>
        </is>
      </c>
    </row>
    <row r="464">
      <c r="A464" s="2" t="inlineStr">
        <is>
          <t>Company Based Questions</t>
        </is>
      </c>
      <c r="B464" s="2" t="inlineStr">
        <is>
          <t>Infosys InfyTQ - Questions</t>
        </is>
      </c>
      <c r="C464" s="2" t="inlineStr">
        <is>
          <t>Prepare for Infosys with previous years questions. Solve the coding, numerical ability, reasoning ability, verbal ability and quant questions which were asked in the past.</t>
        </is>
      </c>
      <c r="D464" s="2" t="inlineStr">
        <is>
          <t>Database Management System MCQs - Past DBMS Problems</t>
        </is>
      </c>
      <c r="E464" s="2" t="n">
        <v>61</v>
      </c>
      <c r="F464" s="2" t="inlineStr">
        <is>
          <t>SQL Joins</t>
        </is>
      </c>
      <c r="G464" s="2" t="inlineStr">
        <is>
          <t>MIUVCA41</t>
        </is>
      </c>
      <c r="H464" s="2" t="inlineStr"/>
      <c r="I464" s="2" t="inlineStr">
        <is>
          <t>Easy</t>
        </is>
      </c>
      <c r="J464" s="3">
        <f>HYPERLINK("https://www.codechef.com/problems/MIUVCA41", "https://www.codechef.com/problems/MIUVCA41")</f>
        <v/>
      </c>
      <c r="K464" s="2" t="inlineStr"/>
      <c r="L464" s="2" t="inlineStr"/>
      <c r="M464" s="2" t="inlineStr"/>
      <c r="N464" s="2" t="inlineStr">
        <is>
          <t>No</t>
        </is>
      </c>
      <c r="O464" s="2" t="inlineStr">
        <is>
          <t>Unattempted</t>
        </is>
      </c>
    </row>
    <row r="465">
      <c r="A465" s="4" t="inlineStr">
        <is>
          <t>Company Based Questions</t>
        </is>
      </c>
      <c r="B465" s="4" t="inlineStr">
        <is>
          <t>Infosys InfyTQ - Questions</t>
        </is>
      </c>
      <c r="C465" s="4" t="inlineStr">
        <is>
          <t>Prepare for Infosys with previous years questions. Solve the coding, numerical ability, reasoning ability, verbal ability and quant questions which were asked in the past.</t>
        </is>
      </c>
      <c r="D465" s="4" t="inlineStr">
        <is>
          <t>Database Management System MCQs - Past DBMS Problems</t>
        </is>
      </c>
      <c r="E465" s="4" t="n">
        <v>62</v>
      </c>
      <c r="F465" s="4" t="inlineStr">
        <is>
          <t>Conceptual View of Joins</t>
        </is>
      </c>
      <c r="G465" s="4" t="inlineStr">
        <is>
          <t>MIUVCA42</t>
        </is>
      </c>
      <c r="H465" s="4" t="inlineStr"/>
      <c r="I465" s="4" t="inlineStr">
        <is>
          <t>Easy</t>
        </is>
      </c>
      <c r="J465" s="5">
        <f>HYPERLINK("https://www.codechef.com/problems/MIUVCA42", "https://www.codechef.com/problems/MIUVCA42")</f>
        <v/>
      </c>
      <c r="K465" s="4" t="inlineStr"/>
      <c r="L465" s="4" t="inlineStr"/>
      <c r="M465" s="4" t="inlineStr"/>
      <c r="N465" s="4" t="inlineStr">
        <is>
          <t>No</t>
        </is>
      </c>
      <c r="O465" s="4" t="inlineStr">
        <is>
          <t>Unattempted</t>
        </is>
      </c>
    </row>
    <row r="466">
      <c r="A466" s="2" t="inlineStr">
        <is>
          <t>Company Based Questions</t>
        </is>
      </c>
      <c r="B466" s="2" t="inlineStr">
        <is>
          <t>Infosys InfyTQ - Questions</t>
        </is>
      </c>
      <c r="C466" s="2" t="inlineStr">
        <is>
          <t>Prepare for Infosys with previous years questions. Solve the coding, numerical ability, reasoning ability, verbal ability and quant questions which were asked in the past.</t>
        </is>
      </c>
      <c r="D466" s="2" t="inlineStr">
        <is>
          <t>Database Management System MCQs - Past DBMS Problems</t>
        </is>
      </c>
      <c r="E466" s="2" t="n">
        <v>63</v>
      </c>
      <c r="F466" s="2" t="inlineStr">
        <is>
          <t>Equality-Based Join</t>
        </is>
      </c>
      <c r="G466" s="2" t="inlineStr">
        <is>
          <t>MIUVCA43</t>
        </is>
      </c>
      <c r="H466" s="2" t="inlineStr"/>
      <c r="I466" s="2" t="inlineStr">
        <is>
          <t>Easy</t>
        </is>
      </c>
      <c r="J466" s="3">
        <f>HYPERLINK("https://www.codechef.com/problems/MIUVCA43", "https://www.codechef.com/problems/MIUVCA43")</f>
        <v/>
      </c>
      <c r="K466" s="2" t="inlineStr"/>
      <c r="L466" s="2" t="inlineStr"/>
      <c r="M466" s="2" t="inlineStr"/>
      <c r="N466" s="2" t="inlineStr">
        <is>
          <t>No</t>
        </is>
      </c>
      <c r="O466" s="2" t="inlineStr">
        <is>
          <t>Unattempted</t>
        </is>
      </c>
    </row>
    <row r="467">
      <c r="A467" s="4" t="inlineStr">
        <is>
          <t>Company Based Questions</t>
        </is>
      </c>
      <c r="B467" s="4" t="inlineStr">
        <is>
          <t>Infosys InfyTQ - Questions</t>
        </is>
      </c>
      <c r="C467" s="4" t="inlineStr">
        <is>
          <t>Prepare for Infosys with previous years questions. Solve the coding, numerical ability, reasoning ability, verbal ability and quant questions which were asked in the past.</t>
        </is>
      </c>
      <c r="D467" s="4" t="inlineStr">
        <is>
          <t>Database Management System MCQs - Past DBMS Problems</t>
        </is>
      </c>
      <c r="E467" s="4" t="n">
        <v>64</v>
      </c>
      <c r="F467" s="4" t="inlineStr">
        <is>
          <t>SQL String Replacement</t>
        </is>
      </c>
      <c r="G467" s="4" t="inlineStr">
        <is>
          <t>MIUVCA44</t>
        </is>
      </c>
      <c r="H467" s="4" t="inlineStr"/>
      <c r="I467" s="4" t="inlineStr">
        <is>
          <t>Easy</t>
        </is>
      </c>
      <c r="J467" s="5">
        <f>HYPERLINK("https://www.codechef.com/problems/MIUVCA44", "https://www.codechef.com/problems/MIUVCA44")</f>
        <v/>
      </c>
      <c r="K467" s="4" t="inlineStr"/>
      <c r="L467" s="4" t="inlineStr"/>
      <c r="M467" s="4" t="inlineStr"/>
      <c r="N467" s="4" t="inlineStr">
        <is>
          <t>No</t>
        </is>
      </c>
      <c r="O467" s="4" t="inlineStr">
        <is>
          <t>Unattempted</t>
        </is>
      </c>
    </row>
    <row r="468">
      <c r="A468" s="2" t="inlineStr">
        <is>
          <t>Company Based Questions</t>
        </is>
      </c>
      <c r="B468" s="2" t="inlineStr">
        <is>
          <t>Infosys InfyTQ - Questions</t>
        </is>
      </c>
      <c r="C468" s="2" t="inlineStr">
        <is>
          <t>Prepare for Infosys with previous years questions. Solve the coding, numerical ability, reasoning ability, verbal ability and quant questions which were asked in the past.</t>
        </is>
      </c>
      <c r="D468" s="2" t="inlineStr">
        <is>
          <t>Database Management System MCQs - Past DBMS Problems</t>
        </is>
      </c>
      <c r="E468" s="2" t="n">
        <v>65</v>
      </c>
      <c r="F468" s="2" t="inlineStr">
        <is>
          <t>Database Relationship Cardinality</t>
        </is>
      </c>
      <c r="G468" s="2" t="inlineStr">
        <is>
          <t>MIUVCA45</t>
        </is>
      </c>
      <c r="H468" s="2" t="inlineStr"/>
      <c r="I468" s="2" t="inlineStr">
        <is>
          <t>Easy</t>
        </is>
      </c>
      <c r="J468" s="3">
        <f>HYPERLINK("https://www.codechef.com/problems/MIUVCA45", "https://www.codechef.com/problems/MIUVCA45")</f>
        <v/>
      </c>
      <c r="K468" s="2" t="inlineStr"/>
      <c r="L468" s="2" t="inlineStr"/>
      <c r="M468" s="2" t="inlineStr"/>
      <c r="N468" s="2" t="inlineStr">
        <is>
          <t>No</t>
        </is>
      </c>
      <c r="O468" s="2" t="inlineStr">
        <is>
          <t>Unattempted</t>
        </is>
      </c>
    </row>
    <row r="469">
      <c r="A469" s="4" t="inlineStr">
        <is>
          <t>Company Based Questions</t>
        </is>
      </c>
      <c r="B469" s="4" t="inlineStr">
        <is>
          <t>Infosys InfyTQ - Questions</t>
        </is>
      </c>
      <c r="C469" s="4" t="inlineStr">
        <is>
          <t>Prepare for Infosys with previous years questions. Solve the coding, numerical ability, reasoning ability, verbal ability and quant questions which were asked in the past.</t>
        </is>
      </c>
      <c r="D469" s="4" t="inlineStr">
        <is>
          <t>Database Management System MCQs - Past DBMS Problems</t>
        </is>
      </c>
      <c r="E469" s="4" t="n">
        <v>66</v>
      </c>
      <c r="F469" s="4" t="inlineStr">
        <is>
          <t>Pattern Matching in Student IDs</t>
        </is>
      </c>
      <c r="G469" s="4" t="inlineStr">
        <is>
          <t>MIUVCA46</t>
        </is>
      </c>
      <c r="H469" s="4" t="inlineStr"/>
      <c r="I469" s="4" t="inlineStr">
        <is>
          <t>Medium</t>
        </is>
      </c>
      <c r="J469" s="5">
        <f>HYPERLINK("https://www.codechef.com/problems/MIUVCA46", "https://www.codechef.com/problems/MIUVCA46")</f>
        <v/>
      </c>
      <c r="K469" s="4" t="inlineStr"/>
      <c r="L469" s="4" t="inlineStr"/>
      <c r="M469" s="4" t="inlineStr"/>
      <c r="N469" s="4" t="inlineStr">
        <is>
          <t>No</t>
        </is>
      </c>
      <c r="O469" s="4" t="inlineStr">
        <is>
          <t>Unattempted</t>
        </is>
      </c>
    </row>
    <row r="470">
      <c r="A470" s="2" t="inlineStr">
        <is>
          <t>Company Based Questions</t>
        </is>
      </c>
      <c r="B470" s="2" t="inlineStr">
        <is>
          <t>Infosys InfyTQ - Questions</t>
        </is>
      </c>
      <c r="C470" s="2" t="inlineStr">
        <is>
          <t>Prepare for Infosys with previous years questions. Solve the coding, numerical ability, reasoning ability, verbal ability and quant questions which were asked in the past.</t>
        </is>
      </c>
      <c r="D470" s="2" t="inlineStr">
        <is>
          <t>Database Management System MCQs - Past DBMS Problems</t>
        </is>
      </c>
      <c r="E470" s="2" t="n">
        <v>67</v>
      </c>
      <c r="F470" s="2" t="inlineStr">
        <is>
          <t>SQL LIKE Operator</t>
        </is>
      </c>
      <c r="G470" s="2" t="inlineStr">
        <is>
          <t>MIUVCA47</t>
        </is>
      </c>
      <c r="H470" s="2" t="inlineStr"/>
      <c r="I470" s="2" t="inlineStr">
        <is>
          <t>Easy</t>
        </is>
      </c>
      <c r="J470" s="3">
        <f>HYPERLINK("https://www.codechef.com/problems/MIUVCA47", "https://www.codechef.com/problems/MIUVCA47")</f>
        <v/>
      </c>
      <c r="K470" s="2" t="inlineStr"/>
      <c r="L470" s="2" t="inlineStr"/>
      <c r="M470" s="2" t="inlineStr"/>
      <c r="N470" s="2" t="inlineStr">
        <is>
          <t>No</t>
        </is>
      </c>
      <c r="O470" s="2" t="inlineStr">
        <is>
          <t>Unattempted</t>
        </is>
      </c>
    </row>
    <row r="471">
      <c r="A471" s="4" t="inlineStr">
        <is>
          <t>Company Based Questions</t>
        </is>
      </c>
      <c r="B471" s="4" t="inlineStr">
        <is>
          <t>Infosys InfyTQ - Questions</t>
        </is>
      </c>
      <c r="C471" s="4" t="inlineStr">
        <is>
          <t>Prepare for Infosys with previous years questions. Solve the coding, numerical ability, reasoning ability, verbal ability and quant questions which were asked in the past.</t>
        </is>
      </c>
      <c r="D471" s="4" t="inlineStr">
        <is>
          <t>Database Management System MCQs - Past DBMS Problems</t>
        </is>
      </c>
      <c r="E471" s="4" t="n">
        <v>68</v>
      </c>
      <c r="F471" s="4" t="inlineStr">
        <is>
          <t>SQL Query Error Spotting</t>
        </is>
      </c>
      <c r="G471" s="4" t="inlineStr">
        <is>
          <t>MIUVCA48</t>
        </is>
      </c>
      <c r="H471" s="4" t="inlineStr"/>
      <c r="I471" s="4" t="inlineStr">
        <is>
          <t>Medium</t>
        </is>
      </c>
      <c r="J471" s="5">
        <f>HYPERLINK("https://www.codechef.com/problems/MIUVCA48", "https://www.codechef.com/problems/MIUVCA48")</f>
        <v/>
      </c>
      <c r="K471" s="4" t="inlineStr"/>
      <c r="L471" s="4" t="inlineStr"/>
      <c r="M471" s="4" t="inlineStr"/>
      <c r="N471" s="4" t="inlineStr">
        <is>
          <t>No</t>
        </is>
      </c>
      <c r="O471" s="4" t="inlineStr">
        <is>
          <t>Unattempted</t>
        </is>
      </c>
    </row>
    <row r="472">
      <c r="A472" s="2" t="inlineStr">
        <is>
          <t>Company Based Questions</t>
        </is>
      </c>
      <c r="B472" s="2" t="inlineStr">
        <is>
          <t>Infosys InfyTQ - Questions</t>
        </is>
      </c>
      <c r="C472" s="2" t="inlineStr">
        <is>
          <t>Prepare for Infosys with previous years questions. Solve the coding, numerical ability, reasoning ability, verbal ability and quant questions which were asked in the past.</t>
        </is>
      </c>
      <c r="D472" s="2" t="inlineStr">
        <is>
          <t>Database Management System MCQs - Past DBMS Problems</t>
        </is>
      </c>
      <c r="E472" s="2" t="n">
        <v>69</v>
      </c>
      <c r="F472" s="2" t="inlineStr">
        <is>
          <t>SQL EXCEPT Operator Query</t>
        </is>
      </c>
      <c r="G472" s="2" t="inlineStr">
        <is>
          <t>MIUVCA49</t>
        </is>
      </c>
      <c r="H472" s="2" t="inlineStr"/>
      <c r="I472" s="2" t="inlineStr">
        <is>
          <t>Medium</t>
        </is>
      </c>
      <c r="J472" s="3">
        <f>HYPERLINK("https://www.codechef.com/problems/MIUVCA49", "https://www.codechef.com/problems/MIUVCA49")</f>
        <v/>
      </c>
      <c r="K472" s="2" t="inlineStr"/>
      <c r="L472" s="2" t="inlineStr"/>
      <c r="M472" s="2" t="inlineStr"/>
      <c r="N472" s="2" t="inlineStr">
        <is>
          <t>No</t>
        </is>
      </c>
      <c r="O472" s="2" t="inlineStr">
        <is>
          <t>Unattempted</t>
        </is>
      </c>
    </row>
    <row r="473">
      <c r="A473" s="4" t="inlineStr">
        <is>
          <t>Company Based Questions</t>
        </is>
      </c>
      <c r="B473" s="4" t="inlineStr">
        <is>
          <t>Infosys InfyTQ - Questions</t>
        </is>
      </c>
      <c r="C473" s="4" t="inlineStr">
        <is>
          <t>Prepare for Infosys with previous years questions. Solve the coding, numerical ability, reasoning ability, verbal ability and quant questions which were asked in the past.</t>
        </is>
      </c>
      <c r="D473" s="4" t="inlineStr">
        <is>
          <t>Database Management System MCQs - Past DBMS Problems</t>
        </is>
      </c>
      <c r="E473" s="4" t="n">
        <v>70</v>
      </c>
      <c r="F473" s="4" t="inlineStr">
        <is>
          <t>SQL Nested String Functions</t>
        </is>
      </c>
      <c r="G473" s="4" t="inlineStr">
        <is>
          <t>MIUVCA50</t>
        </is>
      </c>
      <c r="H473" s="4" t="inlineStr"/>
      <c r="I473" s="4" t="inlineStr">
        <is>
          <t>Medium</t>
        </is>
      </c>
      <c r="J473" s="5">
        <f>HYPERLINK("https://www.codechef.com/problems/MIUVCA50", "https://www.codechef.com/problems/MIUVCA50")</f>
        <v/>
      </c>
      <c r="K473" s="4" t="inlineStr"/>
      <c r="L473" s="4" t="inlineStr"/>
      <c r="M473" s="4" t="inlineStr"/>
      <c r="N473" s="4" t="inlineStr">
        <is>
          <t>No</t>
        </is>
      </c>
      <c r="O473" s="4" t="inlineStr">
        <is>
          <t>Unattempted</t>
        </is>
      </c>
    </row>
    <row r="474">
      <c r="A474" s="2" t="inlineStr">
        <is>
          <t>Company Based Questions</t>
        </is>
      </c>
      <c r="B474" s="2" t="inlineStr">
        <is>
          <t>Infosys InfyTQ - Questions</t>
        </is>
      </c>
      <c r="C474" s="2" t="inlineStr">
        <is>
          <t>Prepare for Infosys with previous years questions. Solve the coding, numerical ability, reasoning ability, verbal ability and quant questions which were asked in the past.</t>
        </is>
      </c>
      <c r="D474" s="2" t="inlineStr">
        <is>
          <t>Database Management System MCQs - Past DBMS Problems</t>
        </is>
      </c>
      <c r="E474" s="2" t="n">
        <v>71</v>
      </c>
      <c r="F474" s="2" t="inlineStr">
        <is>
          <t>SQL FULL JOIN</t>
        </is>
      </c>
      <c r="G474" s="2" t="inlineStr">
        <is>
          <t>MIUVCA51</t>
        </is>
      </c>
      <c r="H474" s="2" t="inlineStr"/>
      <c r="I474" s="2" t="inlineStr">
        <is>
          <t>Medium</t>
        </is>
      </c>
      <c r="J474" s="3">
        <f>HYPERLINK("https://www.codechef.com/problems/MIUVCA51", "https://www.codechef.com/problems/MIUVCA51")</f>
        <v/>
      </c>
      <c r="K474" s="2" t="inlineStr"/>
      <c r="L474" s="2" t="inlineStr"/>
      <c r="M474" s="2" t="inlineStr"/>
      <c r="N474" s="2" t="inlineStr">
        <is>
          <t>No</t>
        </is>
      </c>
      <c r="O474" s="2" t="inlineStr">
        <is>
          <t>Unattempted</t>
        </is>
      </c>
    </row>
    <row r="475">
      <c r="A475" s="4" t="inlineStr">
        <is>
          <t>Company Based Questions</t>
        </is>
      </c>
      <c r="B475" s="4" t="inlineStr">
        <is>
          <t>Infosys InfyTQ - Questions</t>
        </is>
      </c>
      <c r="C475" s="4" t="inlineStr">
        <is>
          <t>Prepare for Infosys with previous years questions. Solve the coding, numerical ability, reasoning ability, verbal ability and quant questions which were asked in the past.</t>
        </is>
      </c>
      <c r="D475" s="4" t="inlineStr">
        <is>
          <t>Database Management System MCQs - Past DBMS Problems</t>
        </is>
      </c>
      <c r="E475" s="4" t="n">
        <v>72</v>
      </c>
      <c r="F475" s="4" t="inlineStr">
        <is>
          <t>SQL Query on Employee Projects</t>
        </is>
      </c>
      <c r="G475" s="4" t="inlineStr">
        <is>
          <t>MIUVCA53</t>
        </is>
      </c>
      <c r="H475" s="4" t="inlineStr"/>
      <c r="I475" s="4" t="inlineStr">
        <is>
          <t>Medium</t>
        </is>
      </c>
      <c r="J475" s="5">
        <f>HYPERLINK("https://www.codechef.com/problems/MIUVCA53", "https://www.codechef.com/problems/MIUVCA53")</f>
        <v/>
      </c>
      <c r="K475" s="4" t="inlineStr"/>
      <c r="L475" s="4" t="inlineStr"/>
      <c r="M475" s="4" t="inlineStr"/>
      <c r="N475" s="4" t="inlineStr">
        <is>
          <t>No</t>
        </is>
      </c>
      <c r="O475" s="4" t="inlineStr">
        <is>
          <t>Unattempted</t>
        </is>
      </c>
    </row>
    <row r="476">
      <c r="A476" s="2" t="inlineStr">
        <is>
          <t>Company Based Questions</t>
        </is>
      </c>
      <c r="B476" s="2" t="inlineStr">
        <is>
          <t>Infosys InfyTQ - Questions</t>
        </is>
      </c>
      <c r="C476" s="2" t="inlineStr">
        <is>
          <t>Prepare for Infosys with previous years questions. Solve the coding, numerical ability, reasoning ability, verbal ability and quant questions which were asked in the past.</t>
        </is>
      </c>
      <c r="D476" s="2" t="inlineStr">
        <is>
          <t>Database Management System MCQs - Past DBMS Problems</t>
        </is>
      </c>
      <c r="E476" s="2" t="n">
        <v>73</v>
      </c>
      <c r="F476" s="2" t="inlineStr">
        <is>
          <t>SQL Query on Student Enrollment</t>
        </is>
      </c>
      <c r="G476" s="2" t="inlineStr">
        <is>
          <t>MIUVCA54</t>
        </is>
      </c>
      <c r="H476" s="2" t="inlineStr"/>
      <c r="I476" s="2" t="inlineStr">
        <is>
          <t>Medium</t>
        </is>
      </c>
      <c r="J476" s="3">
        <f>HYPERLINK("https://www.codechef.com/problems/MIUVCA54", "https://www.codechef.com/problems/MIUVCA54")</f>
        <v/>
      </c>
      <c r="K476" s="2" t="inlineStr"/>
      <c r="L476" s="2" t="inlineStr"/>
      <c r="M476" s="2" t="inlineStr"/>
      <c r="N476" s="2" t="inlineStr">
        <is>
          <t>No</t>
        </is>
      </c>
      <c r="O476" s="2" t="inlineStr">
        <is>
          <t>Unattempted</t>
        </is>
      </c>
    </row>
    <row r="477">
      <c r="A477" s="4" t="inlineStr">
        <is>
          <t>Company Based Questions</t>
        </is>
      </c>
      <c r="B477" s="4" t="inlineStr">
        <is>
          <t>Infosys InfyTQ - Questions</t>
        </is>
      </c>
      <c r="C477" s="4" t="inlineStr">
        <is>
          <t>Prepare for Infosys with previous years questions. Solve the coding, numerical ability, reasoning ability, verbal ability and quant questions which were asked in the past.</t>
        </is>
      </c>
      <c r="D477" s="4" t="inlineStr">
        <is>
          <t>Database Management System MCQs - Past DBMS Problems</t>
        </is>
      </c>
      <c r="E477" s="4" t="n">
        <v>74</v>
      </c>
      <c r="F477" s="4" t="inlineStr">
        <is>
          <t>Database Index Scan Query</t>
        </is>
      </c>
      <c r="G477" s="4" t="inlineStr">
        <is>
          <t>MIUVCA55</t>
        </is>
      </c>
      <c r="H477" s="4" t="inlineStr"/>
      <c r="I477" s="4" t="inlineStr">
        <is>
          <t>Medium</t>
        </is>
      </c>
      <c r="J477" s="5">
        <f>HYPERLINK("https://www.codechef.com/problems/MIUVCA55", "https://www.codechef.com/problems/MIUVCA55")</f>
        <v/>
      </c>
      <c r="K477" s="4" t="inlineStr"/>
      <c r="L477" s="4" t="inlineStr"/>
      <c r="M477" s="4" t="inlineStr"/>
      <c r="N477" s="4" t="inlineStr">
        <is>
          <t>No</t>
        </is>
      </c>
      <c r="O477" s="4" t="inlineStr">
        <is>
          <t>Unattempted</t>
        </is>
      </c>
    </row>
    <row r="478">
      <c r="A478" s="2" t="inlineStr">
        <is>
          <t>Company Based Questions</t>
        </is>
      </c>
      <c r="B478" s="2" t="inlineStr">
        <is>
          <t>Infosys InfyTQ - Questions</t>
        </is>
      </c>
      <c r="C478" s="2" t="inlineStr">
        <is>
          <t>Prepare for Infosys with previous years questions. Solve the coding, numerical ability, reasoning ability, verbal ability and quant questions which were asked in the past.</t>
        </is>
      </c>
      <c r="D478" s="2" t="inlineStr">
        <is>
          <t>Database Management System MCQs - Past DBMS Problems</t>
        </is>
      </c>
      <c r="E478" s="2" t="n">
        <v>75</v>
      </c>
      <c r="F478" s="2" t="inlineStr">
        <is>
          <t>SQL Query Logic</t>
        </is>
      </c>
      <c r="G478" s="2" t="inlineStr">
        <is>
          <t>MIUVCA56</t>
        </is>
      </c>
      <c r="H478" s="2" t="inlineStr"/>
      <c r="I478" s="2" t="inlineStr">
        <is>
          <t>Medium</t>
        </is>
      </c>
      <c r="J478" s="3">
        <f>HYPERLINK("https://www.codechef.com/problems/MIUVCA56", "https://www.codechef.com/problems/MIUVCA56")</f>
        <v/>
      </c>
      <c r="K478" s="2" t="inlineStr"/>
      <c r="L478" s="2" t="inlineStr"/>
      <c r="M478" s="2" t="inlineStr"/>
      <c r="N478" s="2" t="inlineStr">
        <is>
          <t>No</t>
        </is>
      </c>
      <c r="O478" s="2" t="inlineStr">
        <is>
          <t>Unattempted</t>
        </is>
      </c>
    </row>
    <row r="479">
      <c r="A479" s="4" t="inlineStr">
        <is>
          <t>Company Based Questions</t>
        </is>
      </c>
      <c r="B479" s="4" t="inlineStr">
        <is>
          <t>Infosys InfyTQ - Questions</t>
        </is>
      </c>
      <c r="C479" s="4" t="inlineStr">
        <is>
          <t>Prepare for Infosys with previous years questions. Solve the coding, numerical ability, reasoning ability, verbal ability and quant questions which were asked in the past.</t>
        </is>
      </c>
      <c r="D479" s="4" t="inlineStr">
        <is>
          <t>Database Management System MCQs - Past DBMS Problems</t>
        </is>
      </c>
      <c r="E479" s="4" t="n">
        <v>76</v>
      </c>
      <c r="F479" s="4" t="inlineStr">
        <is>
          <t>Primary Key</t>
        </is>
      </c>
      <c r="G479" s="4" t="inlineStr">
        <is>
          <t>MIUVCA57</t>
        </is>
      </c>
      <c r="H479" s="4" t="inlineStr"/>
      <c r="I479" s="4" t="inlineStr">
        <is>
          <t>Easy</t>
        </is>
      </c>
      <c r="J479" s="5">
        <f>HYPERLINK("https://www.codechef.com/problems/MIUVCA57", "https://www.codechef.com/problems/MIUVCA57")</f>
        <v/>
      </c>
      <c r="K479" s="4" t="inlineStr"/>
      <c r="L479" s="4" t="inlineStr"/>
      <c r="M479" s="4" t="inlineStr"/>
      <c r="N479" s="4" t="inlineStr">
        <is>
          <t>No</t>
        </is>
      </c>
      <c r="O479" s="4" t="inlineStr">
        <is>
          <t>Unattempted</t>
        </is>
      </c>
    </row>
    <row r="480">
      <c r="A480" s="2" t="inlineStr">
        <is>
          <t>Company Based Questions</t>
        </is>
      </c>
      <c r="B480" s="2" t="inlineStr">
        <is>
          <t>Accenture Interview Questions</t>
        </is>
      </c>
      <c r="C480" s="2" t="inlineStr">
        <is>
          <t>Prepare for Accenture with previous years questions. Solve the coding, numerical ability, reasoning ability, verbal ability and quant questions which were asked in the past.</t>
        </is>
      </c>
      <c r="D480" s="2" t="inlineStr">
        <is>
          <t>Coding Problems - Past Years Coding Problems</t>
        </is>
      </c>
      <c r="E480" s="2" t="n">
        <v>1</v>
      </c>
      <c r="F480" s="2" t="inlineStr">
        <is>
          <t>Proximity Count</t>
        </is>
      </c>
      <c r="G480" s="2" t="inlineStr">
        <is>
          <t>DPNMAO01</t>
        </is>
      </c>
      <c r="H480" s="2" t="inlineStr"/>
      <c r="I480" s="2" t="inlineStr">
        <is>
          <t>Easy</t>
        </is>
      </c>
      <c r="J480" s="3">
        <f>HYPERLINK("https://www.codechef.com/problems/DPNMAO01", "https://www.codechef.com/problems/DPNMAO01")</f>
        <v/>
      </c>
      <c r="K480" s="2" t="inlineStr"/>
      <c r="L480" s="2" t="inlineStr"/>
      <c r="M480" s="2" t="inlineStr"/>
      <c r="N480" s="2" t="inlineStr">
        <is>
          <t>No</t>
        </is>
      </c>
      <c r="O480" s="2" t="inlineStr">
        <is>
          <t>Unattempted</t>
        </is>
      </c>
    </row>
    <row r="481">
      <c r="A481" s="4" t="inlineStr">
        <is>
          <t>Company Based Questions</t>
        </is>
      </c>
      <c r="B481" s="4" t="inlineStr">
        <is>
          <t>Accenture Interview Questions</t>
        </is>
      </c>
      <c r="C481" s="4" t="inlineStr">
        <is>
          <t>Prepare for Accenture with previous years questions. Solve the coding, numerical ability, reasoning ability, verbal ability and quant questions which were asked in the past.</t>
        </is>
      </c>
      <c r="D481" s="4" t="inlineStr">
        <is>
          <t>Coding Problems - Past Years Coding Problems</t>
        </is>
      </c>
      <c r="E481" s="4" t="n">
        <v>2</v>
      </c>
      <c r="F481" s="4" t="inlineStr">
        <is>
          <t>Anagram Check</t>
        </is>
      </c>
      <c r="G481" s="4" t="inlineStr">
        <is>
          <t>DPNMAO02</t>
        </is>
      </c>
      <c r="H481" s="4" t="inlineStr"/>
      <c r="I481" s="4" t="inlineStr">
        <is>
          <t>Easy</t>
        </is>
      </c>
      <c r="J481" s="5">
        <f>HYPERLINK("https://www.codechef.com/problems/DPNMAO02", "https://www.codechef.com/problems/DPNMAO02")</f>
        <v/>
      </c>
      <c r="K481" s="4" t="inlineStr"/>
      <c r="L481" s="4" t="inlineStr"/>
      <c r="M481" s="4" t="inlineStr"/>
      <c r="N481" s="4" t="inlineStr">
        <is>
          <t>No</t>
        </is>
      </c>
      <c r="O481" s="4" t="inlineStr">
        <is>
          <t>Unattempted</t>
        </is>
      </c>
    </row>
    <row r="482">
      <c r="A482" s="2" t="inlineStr">
        <is>
          <t>Company Based Questions</t>
        </is>
      </c>
      <c r="B482" s="2" t="inlineStr">
        <is>
          <t>Accenture Interview Questions</t>
        </is>
      </c>
      <c r="C482" s="2" t="inlineStr">
        <is>
          <t>Prepare for Accenture with previous years questions. Solve the coding, numerical ability, reasoning ability, verbal ability and quant questions which were asked in the past.</t>
        </is>
      </c>
      <c r="D482" s="2" t="inlineStr">
        <is>
          <t>Coding Problems - Past Years Coding Problems</t>
        </is>
      </c>
      <c r="E482" s="2" t="n">
        <v>3</v>
      </c>
      <c r="F482" s="2" t="inlineStr">
        <is>
          <t>Peak Elevation</t>
        </is>
      </c>
      <c r="G482" s="2" t="inlineStr">
        <is>
          <t>DPNMAO05</t>
        </is>
      </c>
      <c r="H482" s="2" t="inlineStr"/>
      <c r="I482" s="2" t="inlineStr">
        <is>
          <t>Easy</t>
        </is>
      </c>
      <c r="J482" s="3">
        <f>HYPERLINK("https://www.codechef.com/problems/DPNMAO05", "https://www.codechef.com/problems/DPNMAO05")</f>
        <v/>
      </c>
      <c r="K482" s="2" t="inlineStr"/>
      <c r="L482" s="2" t="inlineStr"/>
      <c r="M482" s="2" t="inlineStr"/>
      <c r="N482" s="2" t="inlineStr">
        <is>
          <t>No</t>
        </is>
      </c>
      <c r="O482" s="2" t="inlineStr">
        <is>
          <t>Unattempted</t>
        </is>
      </c>
    </row>
    <row r="483">
      <c r="A483" s="4" t="inlineStr">
        <is>
          <t>Company Based Questions</t>
        </is>
      </c>
      <c r="B483" s="4" t="inlineStr">
        <is>
          <t>Accenture Interview Questions</t>
        </is>
      </c>
      <c r="C483" s="4" t="inlineStr">
        <is>
          <t>Prepare for Accenture with previous years questions. Solve the coding, numerical ability, reasoning ability, verbal ability and quant questions which were asked in the past.</t>
        </is>
      </c>
      <c r="D483" s="4" t="inlineStr">
        <is>
          <t>Coding Problems - Past Years Coding Problems</t>
        </is>
      </c>
      <c r="E483" s="4" t="n">
        <v>4</v>
      </c>
      <c r="F483" s="4" t="inlineStr">
        <is>
          <t>Magical Binary Numbers</t>
        </is>
      </c>
      <c r="G483" s="4" t="inlineStr">
        <is>
          <t>DPNMAO11</t>
        </is>
      </c>
      <c r="H483" s="4" t="inlineStr"/>
      <c r="I483" s="4" t="inlineStr">
        <is>
          <t>Medium</t>
        </is>
      </c>
      <c r="J483" s="5">
        <f>HYPERLINK("https://www.codechef.com/problems/DPNMAO11", "https://www.codechef.com/problems/DPNMAO11")</f>
        <v/>
      </c>
      <c r="K483" s="4" t="inlineStr"/>
      <c r="L483" s="4" t="inlineStr"/>
      <c r="M483" s="4" t="inlineStr"/>
      <c r="N483" s="4" t="inlineStr">
        <is>
          <t>No</t>
        </is>
      </c>
      <c r="O483" s="4" t="inlineStr">
        <is>
          <t>Unattempted</t>
        </is>
      </c>
    </row>
    <row r="484">
      <c r="A484" s="2" t="inlineStr">
        <is>
          <t>Company Based Questions</t>
        </is>
      </c>
      <c r="B484" s="2" t="inlineStr">
        <is>
          <t>Accenture Interview Questions</t>
        </is>
      </c>
      <c r="C484" s="2" t="inlineStr">
        <is>
          <t>Prepare for Accenture with previous years questions. Solve the coding, numerical ability, reasoning ability, verbal ability and quant questions which were asked in the past.</t>
        </is>
      </c>
      <c r="D484" s="2" t="inlineStr">
        <is>
          <t>Coding Problems - Past Years Coding Problems</t>
        </is>
      </c>
      <c r="E484" s="2" t="n">
        <v>5</v>
      </c>
      <c r="F484" s="2" t="inlineStr">
        <is>
          <t>Maximum Exponent of 2</t>
        </is>
      </c>
      <c r="G484" s="2" t="inlineStr">
        <is>
          <t>DPNMAO13</t>
        </is>
      </c>
      <c r="H484" s="2" t="inlineStr"/>
      <c r="I484" s="2" t="inlineStr">
        <is>
          <t>Medium</t>
        </is>
      </c>
      <c r="J484" s="3">
        <f>HYPERLINK("https://www.codechef.com/problems/DPNMAO13", "https://www.codechef.com/problems/DPNMAO13")</f>
        <v/>
      </c>
      <c r="K484" s="2" t="inlineStr"/>
      <c r="L484" s="2" t="inlineStr"/>
      <c r="M484" s="2" t="inlineStr"/>
      <c r="N484" s="2" t="inlineStr">
        <is>
          <t>No</t>
        </is>
      </c>
      <c r="O484" s="2" t="inlineStr">
        <is>
          <t>Unattempted</t>
        </is>
      </c>
    </row>
    <row r="485">
      <c r="A485" s="4" t="inlineStr">
        <is>
          <t>Company Based Questions</t>
        </is>
      </c>
      <c r="B485" s="4" t="inlineStr">
        <is>
          <t>Accenture Interview Questions</t>
        </is>
      </c>
      <c r="C485" s="4" t="inlineStr">
        <is>
          <t>Prepare for Accenture with previous years questions. Solve the coding, numerical ability, reasoning ability, verbal ability and quant questions which were asked in the past.</t>
        </is>
      </c>
      <c r="D485" s="4" t="inlineStr">
        <is>
          <t>Coding Problems - Past Years Coding Problems</t>
        </is>
      </c>
      <c r="E485" s="4" t="n">
        <v>6</v>
      </c>
      <c r="F485" s="4" t="inlineStr">
        <is>
          <t>Equilibrium Point</t>
        </is>
      </c>
      <c r="G485" s="4" t="inlineStr">
        <is>
          <t>DPNMAO06</t>
        </is>
      </c>
      <c r="H485" s="4" t="inlineStr"/>
      <c r="I485" s="4" t="inlineStr">
        <is>
          <t>Medium</t>
        </is>
      </c>
      <c r="J485" s="5">
        <f>HYPERLINK("https://www.codechef.com/problems/DPNMAO06", "https://www.codechef.com/problems/DPNMAO06")</f>
        <v/>
      </c>
      <c r="K485" s="4" t="inlineStr"/>
      <c r="L485" s="4" t="inlineStr"/>
      <c r="M485" s="4" t="inlineStr"/>
      <c r="N485" s="4" t="inlineStr">
        <is>
          <t>No</t>
        </is>
      </c>
      <c r="O485" s="4" t="inlineStr">
        <is>
          <t>Unattempted</t>
        </is>
      </c>
    </row>
    <row r="486">
      <c r="A486" s="2" t="inlineStr">
        <is>
          <t>Company Based Questions</t>
        </is>
      </c>
      <c r="B486" s="2" t="inlineStr">
        <is>
          <t>Accenture Interview Questions</t>
        </is>
      </c>
      <c r="C486" s="2" t="inlineStr">
        <is>
          <t>Prepare for Accenture with previous years questions. Solve the coding, numerical ability, reasoning ability, verbal ability and quant questions which were asked in the past.</t>
        </is>
      </c>
      <c r="D486" s="2" t="inlineStr">
        <is>
          <t>Coding Problems - Past Years Coding Problems</t>
        </is>
      </c>
      <c r="E486" s="2" t="n">
        <v>7</v>
      </c>
      <c r="F486" s="2" t="inlineStr">
        <is>
          <t>Count carry</t>
        </is>
      </c>
      <c r="G486" s="2" t="inlineStr">
        <is>
          <t>DPNMAO07</t>
        </is>
      </c>
      <c r="H486" s="2" t="inlineStr"/>
      <c r="I486" s="2" t="inlineStr">
        <is>
          <t>Easy</t>
        </is>
      </c>
      <c r="J486" s="3">
        <f>HYPERLINK("https://www.codechef.com/problems/DPNMAO07", "https://www.codechef.com/problems/DPNMAO07")</f>
        <v/>
      </c>
      <c r="K486" s="2" t="inlineStr"/>
      <c r="L486" s="2" t="inlineStr"/>
      <c r="M486" s="2" t="inlineStr"/>
      <c r="N486" s="2" t="inlineStr">
        <is>
          <t>No</t>
        </is>
      </c>
      <c r="O486" s="2" t="inlineStr">
        <is>
          <t>Unattempted</t>
        </is>
      </c>
    </row>
    <row r="487">
      <c r="A487" s="4" t="inlineStr">
        <is>
          <t>Company Based Questions</t>
        </is>
      </c>
      <c r="B487" s="4" t="inlineStr">
        <is>
          <t>Accenture Interview Questions</t>
        </is>
      </c>
      <c r="C487" s="4" t="inlineStr">
        <is>
          <t>Prepare for Accenture with previous years questions. Solve the coding, numerical ability, reasoning ability, verbal ability and quant questions which were asked in the past.</t>
        </is>
      </c>
      <c r="D487" s="4" t="inlineStr">
        <is>
          <t>Coding Problems - Past Years Coding Problems</t>
        </is>
      </c>
      <c r="E487" s="4" t="n">
        <v>8</v>
      </c>
      <c r="F487" s="4" t="inlineStr">
        <is>
          <t>Merge Sorted Arrays</t>
        </is>
      </c>
      <c r="G487" s="4" t="inlineStr">
        <is>
          <t>DPNMAO15</t>
        </is>
      </c>
      <c r="H487" s="4" t="inlineStr"/>
      <c r="I487" s="4" t="inlineStr">
        <is>
          <t>Medium</t>
        </is>
      </c>
      <c r="J487" s="5">
        <f>HYPERLINK("https://www.codechef.com/problems/DPNMAO15", "https://www.codechef.com/problems/DPNMAO15")</f>
        <v/>
      </c>
      <c r="K487" s="4" t="inlineStr"/>
      <c r="L487" s="4" t="inlineStr"/>
      <c r="M487" s="4" t="inlineStr"/>
      <c r="N487" s="4" t="inlineStr">
        <is>
          <t>No</t>
        </is>
      </c>
      <c r="O487" s="4" t="inlineStr">
        <is>
          <t>Unattempted</t>
        </is>
      </c>
    </row>
    <row r="488">
      <c r="A488" s="2" t="inlineStr">
        <is>
          <t>Company Based Questions</t>
        </is>
      </c>
      <c r="B488" s="2" t="inlineStr">
        <is>
          <t>Accenture Interview Questions</t>
        </is>
      </c>
      <c r="C488" s="2" t="inlineStr">
        <is>
          <t>Prepare for Accenture with previous years questions. Solve the coding, numerical ability, reasoning ability, verbal ability and quant questions which were asked in the past.</t>
        </is>
      </c>
      <c r="D488" s="2" t="inlineStr">
        <is>
          <t>Coding Problems - Past Years Coding Problems</t>
        </is>
      </c>
      <c r="E488" s="2" t="n">
        <v>9</v>
      </c>
      <c r="F488" s="2" t="inlineStr">
        <is>
          <t>Sum of Common Multiples</t>
        </is>
      </c>
      <c r="G488" s="2" t="inlineStr">
        <is>
          <t>DPNMAO20</t>
        </is>
      </c>
      <c r="H488" s="2" t="inlineStr"/>
      <c r="I488" s="2" t="inlineStr">
        <is>
          <t>Easy</t>
        </is>
      </c>
      <c r="J488" s="3">
        <f>HYPERLINK("https://www.codechef.com/problems/DPNMAO20", "https://www.codechef.com/problems/DPNMAO20")</f>
        <v/>
      </c>
      <c r="K488" s="2" t="inlineStr"/>
      <c r="L488" s="2" t="inlineStr"/>
      <c r="M488" s="2" t="inlineStr"/>
      <c r="N488" s="2" t="inlineStr">
        <is>
          <t>No</t>
        </is>
      </c>
      <c r="O488" s="2" t="inlineStr">
        <is>
          <t>Unattempted</t>
        </is>
      </c>
    </row>
    <row r="489">
      <c r="A489" s="4" t="inlineStr">
        <is>
          <t>Company Based Questions</t>
        </is>
      </c>
      <c r="B489" s="4" t="inlineStr">
        <is>
          <t>Accenture Interview Questions</t>
        </is>
      </c>
      <c r="C489" s="4" t="inlineStr">
        <is>
          <t>Prepare for Accenture with previous years questions. Solve the coding, numerical ability, reasoning ability, verbal ability and quant questions which were asked in the past.</t>
        </is>
      </c>
      <c r="D489" s="4" t="inlineStr">
        <is>
          <t>Coding Problems - Past Years Coding Problems</t>
        </is>
      </c>
      <c r="E489" s="4" t="n">
        <v>10</v>
      </c>
      <c r="F489" s="4" t="inlineStr">
        <is>
          <t>Prime Summation</t>
        </is>
      </c>
      <c r="G489" s="4" t="inlineStr">
        <is>
          <t>DPNMAO21</t>
        </is>
      </c>
      <c r="H489" s="4" t="inlineStr"/>
      <c r="I489" s="4" t="inlineStr">
        <is>
          <t>Medium</t>
        </is>
      </c>
      <c r="J489" s="5">
        <f>HYPERLINK("https://www.codechef.com/problems/DPNMAO21", "https://www.codechef.com/problems/DPNMAO21")</f>
        <v/>
      </c>
      <c r="K489" s="4" t="inlineStr"/>
      <c r="L489" s="4" t="inlineStr"/>
      <c r="M489" s="4" t="inlineStr"/>
      <c r="N489" s="4" t="inlineStr">
        <is>
          <t>No</t>
        </is>
      </c>
      <c r="O489" s="4" t="inlineStr">
        <is>
          <t>Unattempted</t>
        </is>
      </c>
    </row>
    <row r="490">
      <c r="A490" s="2" t="inlineStr">
        <is>
          <t>Company Based Questions</t>
        </is>
      </c>
      <c r="B490" s="2" t="inlineStr">
        <is>
          <t>Accenture Interview Questions</t>
        </is>
      </c>
      <c r="C490" s="2" t="inlineStr">
        <is>
          <t>Prepare for Accenture with previous years questions. Solve the coding, numerical ability, reasoning ability, verbal ability and quant questions which were asked in the past.</t>
        </is>
      </c>
      <c r="D490" s="2" t="inlineStr">
        <is>
          <t>Coding Problems - Past Years Coding Problems</t>
        </is>
      </c>
      <c r="E490" s="2" t="n">
        <v>11</v>
      </c>
      <c r="F490" s="2" t="inlineStr">
        <is>
          <t>Unique Array</t>
        </is>
      </c>
      <c r="G490" s="2" t="inlineStr">
        <is>
          <t>DPNMAO23</t>
        </is>
      </c>
      <c r="H490" s="2" t="inlineStr"/>
      <c r="I490" s="2" t="inlineStr">
        <is>
          <t>Easy</t>
        </is>
      </c>
      <c r="J490" s="3">
        <f>HYPERLINK("https://www.codechef.com/problems/DPNMAO23", "https://www.codechef.com/problems/DPNMAO23")</f>
        <v/>
      </c>
      <c r="K490" s="2" t="inlineStr"/>
      <c r="L490" s="2" t="inlineStr"/>
      <c r="M490" s="2" t="inlineStr"/>
      <c r="N490" s="2" t="inlineStr">
        <is>
          <t>No</t>
        </is>
      </c>
      <c r="O490" s="2" t="inlineStr">
        <is>
          <t>Unattempted</t>
        </is>
      </c>
    </row>
    <row r="491">
      <c r="A491" s="4" t="inlineStr">
        <is>
          <t>Company Based Questions</t>
        </is>
      </c>
      <c r="B491" s="4" t="inlineStr">
        <is>
          <t>Accenture Interview Questions</t>
        </is>
      </c>
      <c r="C491" s="4" t="inlineStr">
        <is>
          <t>Prepare for Accenture with previous years questions. Solve the coding, numerical ability, reasoning ability, verbal ability and quant questions which were asked in the past.</t>
        </is>
      </c>
      <c r="D491" s="4" t="inlineStr">
        <is>
          <t>Coding Problems - Past Years Coding Problems</t>
        </is>
      </c>
      <c r="E491" s="4" t="n">
        <v>12</v>
      </c>
      <c r="F491" s="4" t="inlineStr">
        <is>
          <t>Last Word Length</t>
        </is>
      </c>
      <c r="G491" s="4" t="inlineStr">
        <is>
          <t>DPNMAO24</t>
        </is>
      </c>
      <c r="H491" s="4" t="inlineStr"/>
      <c r="I491" s="4" t="inlineStr">
        <is>
          <t>Easy</t>
        </is>
      </c>
      <c r="J491" s="5">
        <f>HYPERLINK("https://www.codechef.com/problems/DPNMAO24", "https://www.codechef.com/problems/DPNMAO24")</f>
        <v/>
      </c>
      <c r="K491" s="4" t="inlineStr"/>
      <c r="L491" s="4" t="inlineStr"/>
      <c r="M491" s="4" t="inlineStr"/>
      <c r="N491" s="4" t="inlineStr">
        <is>
          <t>No</t>
        </is>
      </c>
      <c r="O491" s="4" t="inlineStr">
        <is>
          <t>Unattempted</t>
        </is>
      </c>
    </row>
    <row r="492">
      <c r="A492" s="2" t="inlineStr">
        <is>
          <t>Company Based Questions</t>
        </is>
      </c>
      <c r="B492" s="2" t="inlineStr">
        <is>
          <t>Accenture Interview Questions</t>
        </is>
      </c>
      <c r="C492" s="2" t="inlineStr">
        <is>
          <t>Prepare for Accenture with previous years questions. Solve the coding, numerical ability, reasoning ability, verbal ability and quant questions which were asked in the past.</t>
        </is>
      </c>
      <c r="D492" s="2" t="inlineStr">
        <is>
          <t>Coding Problems - Past Years Coding Problems</t>
        </is>
      </c>
      <c r="E492" s="2" t="n">
        <v>13</v>
      </c>
      <c r="F492" s="2" t="inlineStr">
        <is>
          <t>Most Frequent Vowel</t>
        </is>
      </c>
      <c r="G492" s="2" t="inlineStr">
        <is>
          <t>DPNMAO25</t>
        </is>
      </c>
      <c r="H492" s="2" t="inlineStr"/>
      <c r="I492" s="2" t="inlineStr">
        <is>
          <t>Easy</t>
        </is>
      </c>
      <c r="J492" s="3">
        <f>HYPERLINK("https://www.codechef.com/problems/DPNMAO25", "https://www.codechef.com/problems/DPNMAO25")</f>
        <v/>
      </c>
      <c r="K492" s="2" t="inlineStr"/>
      <c r="L492" s="2" t="inlineStr"/>
      <c r="M492" s="2" t="inlineStr"/>
      <c r="N492" s="2" t="inlineStr">
        <is>
          <t>No</t>
        </is>
      </c>
      <c r="O492" s="2" t="inlineStr">
        <is>
          <t>Unattempted</t>
        </is>
      </c>
    </row>
    <row r="493">
      <c r="A493" s="4" t="inlineStr">
        <is>
          <t>Company Based Questions</t>
        </is>
      </c>
      <c r="B493" s="4" t="inlineStr">
        <is>
          <t>Accenture Interview Questions</t>
        </is>
      </c>
      <c r="C493" s="4" t="inlineStr">
        <is>
          <t>Prepare for Accenture with previous years questions. Solve the coding, numerical ability, reasoning ability, verbal ability and quant questions which were asked in the past.</t>
        </is>
      </c>
      <c r="D493" s="4" t="inlineStr">
        <is>
          <t>Coding Problems - Past Years Coding Problems</t>
        </is>
      </c>
      <c r="E493" s="4" t="n">
        <v>14</v>
      </c>
      <c r="F493" s="4" t="inlineStr">
        <is>
          <t>Faulty Bulb Switch</t>
        </is>
      </c>
      <c r="G493" s="4" t="inlineStr">
        <is>
          <t>DPNMAO03</t>
        </is>
      </c>
      <c r="H493" s="4" t="inlineStr"/>
      <c r="I493" s="4" t="inlineStr">
        <is>
          <t>Medium</t>
        </is>
      </c>
      <c r="J493" s="5">
        <f>HYPERLINK("https://www.codechef.com/problems/DPNMAO03", "https://www.codechef.com/problems/DPNMAO03")</f>
        <v/>
      </c>
      <c r="K493" s="4" t="inlineStr"/>
      <c r="L493" s="4" t="inlineStr"/>
      <c r="M493" s="4" t="inlineStr"/>
      <c r="N493" s="4" t="inlineStr">
        <is>
          <t>No</t>
        </is>
      </c>
      <c r="O493" s="4" t="inlineStr">
        <is>
          <t>Unattempted</t>
        </is>
      </c>
    </row>
    <row r="494">
      <c r="A494" s="2" t="inlineStr">
        <is>
          <t>Company Based Questions</t>
        </is>
      </c>
      <c r="B494" s="2" t="inlineStr">
        <is>
          <t>Accenture Interview Questions</t>
        </is>
      </c>
      <c r="C494" s="2" t="inlineStr">
        <is>
          <t>Prepare for Accenture with previous years questions. Solve the coding, numerical ability, reasoning ability, verbal ability and quant questions which were asked in the past.</t>
        </is>
      </c>
      <c r="D494" s="2" t="inlineStr">
        <is>
          <t>Coding Problems - Past Years Coding Problems</t>
        </is>
      </c>
      <c r="E494" s="2" t="n">
        <v>15</v>
      </c>
      <c r="F494" s="2" t="inlineStr">
        <is>
          <t>Chocolate Distribution Problem</t>
        </is>
      </c>
      <c r="G494" s="2" t="inlineStr">
        <is>
          <t>DPNMAO04</t>
        </is>
      </c>
      <c r="H494" s="2" t="inlineStr"/>
      <c r="I494" s="2" t="inlineStr">
        <is>
          <t>Medium</t>
        </is>
      </c>
      <c r="J494" s="3">
        <f>HYPERLINK("https://www.codechef.com/problems/DPNMAO04", "https://www.codechef.com/problems/DPNMAO04")</f>
        <v/>
      </c>
      <c r="K494" s="2" t="inlineStr"/>
      <c r="L494" s="2" t="inlineStr"/>
      <c r="M494" s="2" t="inlineStr"/>
      <c r="N494" s="2" t="inlineStr">
        <is>
          <t>No</t>
        </is>
      </c>
      <c r="O494" s="2" t="inlineStr">
        <is>
          <t>Unattempted</t>
        </is>
      </c>
    </row>
    <row r="495">
      <c r="A495" s="4" t="inlineStr">
        <is>
          <t>Company Based Questions</t>
        </is>
      </c>
      <c r="B495" s="4" t="inlineStr">
        <is>
          <t>Accenture Interview Questions</t>
        </is>
      </c>
      <c r="C495" s="4" t="inlineStr">
        <is>
          <t>Prepare for Accenture with previous years questions. Solve the coding, numerical ability, reasoning ability, verbal ability and quant questions which were asked in the past.</t>
        </is>
      </c>
      <c r="D495" s="4" t="inlineStr">
        <is>
          <t>Coding Problems - Past Years Coding Problems</t>
        </is>
      </c>
      <c r="E495" s="4" t="n">
        <v>16</v>
      </c>
      <c r="F495" s="4" t="inlineStr">
        <is>
          <t>Large Small Sum</t>
        </is>
      </c>
      <c r="G495" s="4" t="inlineStr">
        <is>
          <t>DPNMAO08</t>
        </is>
      </c>
      <c r="H495" s="4" t="inlineStr"/>
      <c r="I495" s="4" t="inlineStr">
        <is>
          <t>Medium</t>
        </is>
      </c>
      <c r="J495" s="5">
        <f>HYPERLINK("https://www.codechef.com/problems/DPNMAO08", "https://www.codechef.com/problems/DPNMAO08")</f>
        <v/>
      </c>
      <c r="K495" s="4" t="inlineStr"/>
      <c r="L495" s="4" t="inlineStr"/>
      <c r="M495" s="4" t="inlineStr"/>
      <c r="N495" s="4" t="inlineStr">
        <is>
          <t>No</t>
        </is>
      </c>
      <c r="O495" s="4" t="inlineStr">
        <is>
          <t>Unattempted</t>
        </is>
      </c>
    </row>
    <row r="496">
      <c r="A496" s="2" t="inlineStr">
        <is>
          <t>Company Based Questions</t>
        </is>
      </c>
      <c r="B496" s="2" t="inlineStr">
        <is>
          <t>Accenture Interview Questions</t>
        </is>
      </c>
      <c r="C496" s="2" t="inlineStr">
        <is>
          <t>Prepare for Accenture with previous years questions. Solve the coding, numerical ability, reasoning ability, verbal ability and quant questions which were asked in the past.</t>
        </is>
      </c>
      <c r="D496" s="2" t="inlineStr">
        <is>
          <t>Coding Problems - Past Years Coding Problems</t>
        </is>
      </c>
      <c r="E496" s="2" t="n">
        <v>17</v>
      </c>
      <c r="F496" s="2" t="inlineStr">
        <is>
          <t>Palindromic Linked List</t>
        </is>
      </c>
      <c r="G496" s="2" t="inlineStr">
        <is>
          <t>DPNMAO09</t>
        </is>
      </c>
      <c r="H496" s="2" t="inlineStr"/>
      <c r="I496" s="2" t="inlineStr">
        <is>
          <t>Hard</t>
        </is>
      </c>
      <c r="J496" s="3">
        <f>HYPERLINK("https://www.codechef.com/problems/DPNMAO09", "https://www.codechef.com/problems/DPNMAO09")</f>
        <v/>
      </c>
      <c r="K496" s="2" t="inlineStr"/>
      <c r="L496" s="2" t="inlineStr"/>
      <c r="M496" s="2" t="inlineStr"/>
      <c r="N496" s="2" t="inlineStr">
        <is>
          <t>No</t>
        </is>
      </c>
      <c r="O496" s="2" t="inlineStr">
        <is>
          <t>Unattempted</t>
        </is>
      </c>
    </row>
    <row r="497">
      <c r="A497" s="4" t="inlineStr">
        <is>
          <t>Company Based Questions</t>
        </is>
      </c>
      <c r="B497" s="4" t="inlineStr">
        <is>
          <t>Accenture Interview Questions</t>
        </is>
      </c>
      <c r="C497" s="4" t="inlineStr">
        <is>
          <t>Prepare for Accenture with previous years questions. Solve the coding, numerical ability, reasoning ability, verbal ability and quant questions which were asked in the past.</t>
        </is>
      </c>
      <c r="D497" s="4" t="inlineStr">
        <is>
          <t>Coding Problems - Past Years Coding Problems</t>
        </is>
      </c>
      <c r="E497" s="4" t="n">
        <v>18</v>
      </c>
      <c r="F497" s="4" t="inlineStr">
        <is>
          <t>Longest Unique Substring</t>
        </is>
      </c>
      <c r="G497" s="4" t="inlineStr">
        <is>
          <t>DPNMAO10</t>
        </is>
      </c>
      <c r="H497" s="4" t="inlineStr"/>
      <c r="I497" s="4" t="inlineStr">
        <is>
          <t>Medium</t>
        </is>
      </c>
      <c r="J497" s="5">
        <f>HYPERLINK("https://www.codechef.com/problems/DPNMAO10", "https://www.codechef.com/problems/DPNMAO10")</f>
        <v/>
      </c>
      <c r="K497" s="4" t="inlineStr"/>
      <c r="L497" s="4" t="inlineStr"/>
      <c r="M497" s="4" t="inlineStr"/>
      <c r="N497" s="4" t="inlineStr">
        <is>
          <t>No</t>
        </is>
      </c>
      <c r="O497" s="4" t="inlineStr">
        <is>
          <t>Unattempted</t>
        </is>
      </c>
    </row>
    <row r="498">
      <c r="A498" s="2" t="inlineStr">
        <is>
          <t>Company Based Questions</t>
        </is>
      </c>
      <c r="B498" s="2" t="inlineStr">
        <is>
          <t>Accenture Interview Questions</t>
        </is>
      </c>
      <c r="C498" s="2" t="inlineStr">
        <is>
          <t>Prepare for Accenture with previous years questions. Solve the coding, numerical ability, reasoning ability, verbal ability and quant questions which were asked in the past.</t>
        </is>
      </c>
      <c r="D498" s="2" t="inlineStr">
        <is>
          <t>Coding Problems - Past Years Coding Problems</t>
        </is>
      </c>
      <c r="E498" s="2" t="n">
        <v>19</v>
      </c>
      <c r="F498" s="2" t="inlineStr">
        <is>
          <t>Alice Favourite Playlist</t>
        </is>
      </c>
      <c r="G498" s="2" t="inlineStr">
        <is>
          <t>DPNMAO14</t>
        </is>
      </c>
      <c r="H498" s="2" t="inlineStr"/>
      <c r="I498" s="2" t="inlineStr">
        <is>
          <t>Medium</t>
        </is>
      </c>
      <c r="J498" s="3">
        <f>HYPERLINK("https://www.codechef.com/problems/DPNMAO14", "https://www.codechef.com/problems/DPNMAO14")</f>
        <v/>
      </c>
      <c r="K498" s="2" t="inlineStr"/>
      <c r="L498" s="2" t="inlineStr"/>
      <c r="M498" s="2" t="inlineStr"/>
      <c r="N498" s="2" t="inlineStr">
        <is>
          <t>No</t>
        </is>
      </c>
      <c r="O498" s="2" t="inlineStr">
        <is>
          <t>Unattempted</t>
        </is>
      </c>
    </row>
    <row r="499">
      <c r="A499" s="4" t="inlineStr">
        <is>
          <t>Company Based Questions</t>
        </is>
      </c>
      <c r="B499" s="4" t="inlineStr">
        <is>
          <t>Accenture Interview Questions</t>
        </is>
      </c>
      <c r="C499" s="4" t="inlineStr">
        <is>
          <t>Prepare for Accenture with previous years questions. Solve the coding, numerical ability, reasoning ability, verbal ability and quant questions which were asked in the past.</t>
        </is>
      </c>
      <c r="D499" s="4" t="inlineStr">
        <is>
          <t>Coding Problems - Past Years Coding Problems</t>
        </is>
      </c>
      <c r="E499" s="4" t="n">
        <v>20</v>
      </c>
      <c r="F499" s="4" t="inlineStr">
        <is>
          <t>Maximum Product Pair</t>
        </is>
      </c>
      <c r="G499" s="4" t="inlineStr">
        <is>
          <t>DPNMAO16</t>
        </is>
      </c>
      <c r="H499" s="4" t="inlineStr"/>
      <c r="I499" s="4" t="inlineStr">
        <is>
          <t>Medium</t>
        </is>
      </c>
      <c r="J499" s="5">
        <f>HYPERLINK("https://www.codechef.com/problems/DPNMAO16", "https://www.codechef.com/problems/DPNMAO16")</f>
        <v/>
      </c>
      <c r="K499" s="4" t="inlineStr"/>
      <c r="L499" s="4" t="inlineStr"/>
      <c r="M499" s="4" t="inlineStr"/>
      <c r="N499" s="4" t="inlineStr">
        <is>
          <t>No</t>
        </is>
      </c>
      <c r="O499" s="4" t="inlineStr">
        <is>
          <t>Unattempted</t>
        </is>
      </c>
    </row>
    <row r="500">
      <c r="A500" s="2" t="inlineStr">
        <is>
          <t>Company Based Questions</t>
        </is>
      </c>
      <c r="B500" s="2" t="inlineStr">
        <is>
          <t>Accenture Interview Questions</t>
        </is>
      </c>
      <c r="C500" s="2" t="inlineStr">
        <is>
          <t>Prepare for Accenture with previous years questions. Solve the coding, numerical ability, reasoning ability, verbal ability and quant questions which were asked in the past.</t>
        </is>
      </c>
      <c r="D500" s="2" t="inlineStr">
        <is>
          <t>Coding Problems - Past Years Coding Problems</t>
        </is>
      </c>
      <c r="E500" s="2" t="n">
        <v>21</v>
      </c>
      <c r="F500" s="2" t="inlineStr">
        <is>
          <t>Food for Rats</t>
        </is>
      </c>
      <c r="G500" s="2" t="inlineStr">
        <is>
          <t>DPNMAO17</t>
        </is>
      </c>
      <c r="H500" s="2" t="inlineStr"/>
      <c r="I500" s="2" t="inlineStr">
        <is>
          <t>Easy</t>
        </is>
      </c>
      <c r="J500" s="3">
        <f>HYPERLINK("https://www.codechef.com/problems/DPNMAO17", "https://www.codechef.com/problems/DPNMAO17")</f>
        <v/>
      </c>
      <c r="K500" s="2" t="inlineStr"/>
      <c r="L500" s="2" t="inlineStr"/>
      <c r="M500" s="2" t="inlineStr"/>
      <c r="N500" s="2" t="inlineStr">
        <is>
          <t>No</t>
        </is>
      </c>
      <c r="O500" s="2" t="inlineStr">
        <is>
          <t>Unattempted</t>
        </is>
      </c>
    </row>
    <row r="501">
      <c r="A501" s="4" t="inlineStr">
        <is>
          <t>Company Based Questions</t>
        </is>
      </c>
      <c r="B501" s="4" t="inlineStr">
        <is>
          <t>Accenture Interview Questions</t>
        </is>
      </c>
      <c r="C501" s="4" t="inlineStr">
        <is>
          <t>Prepare for Accenture with previous years questions. Solve the coding, numerical ability, reasoning ability, verbal ability and quant questions which were asked in the past.</t>
        </is>
      </c>
      <c r="D501" s="4" t="inlineStr">
        <is>
          <t>Coding Problems - Past Years Coding Problems</t>
        </is>
      </c>
      <c r="E501" s="4" t="n">
        <v>22</v>
      </c>
      <c r="F501" s="4" t="inlineStr">
        <is>
          <t>Array Rotation</t>
        </is>
      </c>
      <c r="G501" s="4" t="inlineStr">
        <is>
          <t>DPNMAO18</t>
        </is>
      </c>
      <c r="H501" s="4" t="inlineStr"/>
      <c r="I501" s="4" t="inlineStr">
        <is>
          <t>Easy</t>
        </is>
      </c>
      <c r="J501" s="5">
        <f>HYPERLINK("https://www.codechef.com/problems/DPNMAO18", "https://www.codechef.com/problems/DPNMAO18")</f>
        <v/>
      </c>
      <c r="K501" s="4" t="inlineStr"/>
      <c r="L501" s="4" t="inlineStr"/>
      <c r="M501" s="4" t="inlineStr"/>
      <c r="N501" s="4" t="inlineStr">
        <is>
          <t>No</t>
        </is>
      </c>
      <c r="O501" s="4" t="inlineStr">
        <is>
          <t>Unattempted</t>
        </is>
      </c>
    </row>
    <row r="502">
      <c r="A502" s="2" t="inlineStr">
        <is>
          <t>Company Based Questions</t>
        </is>
      </c>
      <c r="B502" s="2" t="inlineStr">
        <is>
          <t>Accenture Interview Questions</t>
        </is>
      </c>
      <c r="C502" s="2" t="inlineStr">
        <is>
          <t>Prepare for Accenture with previous years questions. Solve the coding, numerical ability, reasoning ability, verbal ability and quant questions which were asked in the past.</t>
        </is>
      </c>
      <c r="D502" s="2" t="inlineStr">
        <is>
          <t>Coding Problems - Past Years Coding Problems</t>
        </is>
      </c>
      <c r="E502" s="2" t="n">
        <v>23</v>
      </c>
      <c r="F502" s="2" t="inlineStr">
        <is>
          <t>Zero Matrix</t>
        </is>
      </c>
      <c r="G502" s="2" t="inlineStr">
        <is>
          <t>DPNMAO19</t>
        </is>
      </c>
      <c r="H502" s="2" t="inlineStr"/>
      <c r="I502" s="2" t="inlineStr">
        <is>
          <t>Medium</t>
        </is>
      </c>
      <c r="J502" s="3">
        <f>HYPERLINK("https://www.codechef.com/problems/DPNMAO19", "https://www.codechef.com/problems/DPNMAO19")</f>
        <v/>
      </c>
      <c r="K502" s="2" t="inlineStr"/>
      <c r="L502" s="2" t="inlineStr"/>
      <c r="M502" s="2" t="inlineStr"/>
      <c r="N502" s="2" t="inlineStr">
        <is>
          <t>No</t>
        </is>
      </c>
      <c r="O502" s="2" t="inlineStr">
        <is>
          <t>Unattempted</t>
        </is>
      </c>
    </row>
    <row r="503">
      <c r="A503" s="4" t="inlineStr">
        <is>
          <t>Company Based Questions</t>
        </is>
      </c>
      <c r="B503" s="4" t="inlineStr">
        <is>
          <t>Accenture Interview Questions</t>
        </is>
      </c>
      <c r="C503" s="4" t="inlineStr">
        <is>
          <t>Prepare for Accenture with previous years questions. Solve the coding, numerical ability, reasoning ability, verbal ability and quant questions which were asked in the past.</t>
        </is>
      </c>
      <c r="D503" s="4" t="inlineStr">
        <is>
          <t>Coding Problems - Past Years Coding Problems</t>
        </is>
      </c>
      <c r="E503" s="4" t="n">
        <v>24</v>
      </c>
      <c r="F503" s="4" t="inlineStr">
        <is>
          <t>Fixed Vowel Permutations</t>
        </is>
      </c>
      <c r="G503" s="4" t="inlineStr">
        <is>
          <t>DPNMAO22</t>
        </is>
      </c>
      <c r="H503" s="4" t="inlineStr"/>
      <c r="I503" s="4" t="inlineStr">
        <is>
          <t>Easy</t>
        </is>
      </c>
      <c r="J503" s="5">
        <f>HYPERLINK("https://www.codechef.com/problems/DPNMAO22", "https://www.codechef.com/problems/DPNMAO22")</f>
        <v/>
      </c>
      <c r="K503" s="4" t="inlineStr"/>
      <c r="L503" s="4" t="inlineStr"/>
      <c r="M503" s="4" t="inlineStr"/>
      <c r="N503" s="4" t="inlineStr">
        <is>
          <t>No</t>
        </is>
      </c>
      <c r="O503" s="4" t="inlineStr">
        <is>
          <t>Unattempted</t>
        </is>
      </c>
    </row>
    <row r="504">
      <c r="A504" s="2" t="inlineStr">
        <is>
          <t>Company Based Questions</t>
        </is>
      </c>
      <c r="B504" s="2" t="inlineStr">
        <is>
          <t>Accenture Interview Questions</t>
        </is>
      </c>
      <c r="C504" s="2" t="inlineStr">
        <is>
          <t>Prepare for Accenture with previous years questions. Solve the coding, numerical ability, reasoning ability, verbal ability and quant questions which were asked in the past.</t>
        </is>
      </c>
      <c r="D504" s="2" t="inlineStr">
        <is>
          <t>Numerical Ability Problems - Past Years Numerical Ability Problems</t>
        </is>
      </c>
      <c r="E504" s="2" t="n">
        <v>25</v>
      </c>
      <c r="F504" s="2" t="inlineStr">
        <is>
          <t>Fuel Mixture Profit Calculation</t>
        </is>
      </c>
      <c r="G504" s="2" t="inlineStr">
        <is>
          <t>AGTCCR17</t>
        </is>
      </c>
      <c r="H504" s="2" t="inlineStr"/>
      <c r="I504" s="2" t="inlineStr">
        <is>
          <t>Medium</t>
        </is>
      </c>
      <c r="J504" s="3">
        <f>HYPERLINK("https://www.codechef.com/problems/AGTCCR17", "https://www.codechef.com/problems/AGTCCR17")</f>
        <v/>
      </c>
      <c r="K504" s="2" t="inlineStr"/>
      <c r="L504" s="2" t="inlineStr"/>
      <c r="M504" s="2" t="inlineStr"/>
      <c r="N504" s="2" t="inlineStr">
        <is>
          <t>No</t>
        </is>
      </c>
      <c r="O504" s="2" t="inlineStr">
        <is>
          <t>Unattempted</t>
        </is>
      </c>
    </row>
    <row r="505">
      <c r="A505" s="4" t="inlineStr">
        <is>
          <t>Company Based Questions</t>
        </is>
      </c>
      <c r="B505" s="4" t="inlineStr">
        <is>
          <t>Accenture Interview Questions</t>
        </is>
      </c>
      <c r="C505" s="4" t="inlineStr">
        <is>
          <t>Prepare for Accenture with previous years questions. Solve the coding, numerical ability, reasoning ability, verbal ability and quant questions which were asked in the past.</t>
        </is>
      </c>
      <c r="D505" s="4" t="inlineStr">
        <is>
          <t>Numerical Ability Problems - Past Years Numerical Ability Problems</t>
        </is>
      </c>
      <c r="E505" s="4" t="n">
        <v>26</v>
      </c>
      <c r="F505" s="4" t="inlineStr">
        <is>
          <t>Server Storage Cleanup Time</t>
        </is>
      </c>
      <c r="G505" s="4" t="inlineStr">
        <is>
          <t>AGTCCR18</t>
        </is>
      </c>
      <c r="H505" s="4" t="inlineStr"/>
      <c r="I505" s="4" t="inlineStr">
        <is>
          <t>Medium</t>
        </is>
      </c>
      <c r="J505" s="5">
        <f>HYPERLINK("https://www.codechef.com/problems/AGTCCR18", "https://www.codechef.com/problems/AGTCCR18")</f>
        <v/>
      </c>
      <c r="K505" s="4" t="inlineStr"/>
      <c r="L505" s="4" t="inlineStr"/>
      <c r="M505" s="4" t="inlineStr"/>
      <c r="N505" s="4" t="inlineStr">
        <is>
          <t>No</t>
        </is>
      </c>
      <c r="O505" s="4" t="inlineStr">
        <is>
          <t>Unattempted</t>
        </is>
      </c>
    </row>
    <row r="506">
      <c r="A506" s="2" t="inlineStr">
        <is>
          <t>Company Based Questions</t>
        </is>
      </c>
      <c r="B506" s="2" t="inlineStr">
        <is>
          <t>Accenture Interview Questions</t>
        </is>
      </c>
      <c r="C506" s="2" t="inlineStr">
        <is>
          <t>Prepare for Accenture with previous years questions. Solve the coding, numerical ability, reasoning ability, verbal ability and quant questions which were asked in the past.</t>
        </is>
      </c>
      <c r="D506" s="2" t="inlineStr">
        <is>
          <t>Numerical Ability Problems - Past Years Numerical Ability Problems</t>
        </is>
      </c>
      <c r="E506" s="2" t="n">
        <v>27</v>
      </c>
      <c r="F506" s="2" t="inlineStr">
        <is>
          <t>Profit and Loss Calculation</t>
        </is>
      </c>
      <c r="G506" s="2" t="inlineStr">
        <is>
          <t>AGTCCR19</t>
        </is>
      </c>
      <c r="H506" s="2" t="inlineStr"/>
      <c r="I506" s="2" t="inlineStr">
        <is>
          <t>Medium</t>
        </is>
      </c>
      <c r="J506" s="3">
        <f>HYPERLINK("https://www.codechef.com/problems/AGTCCR19", "https://www.codechef.com/problems/AGTCCR19")</f>
        <v/>
      </c>
      <c r="K506" s="2" t="inlineStr"/>
      <c r="L506" s="2" t="inlineStr"/>
      <c r="M506" s="2" t="inlineStr"/>
      <c r="N506" s="2" t="inlineStr">
        <is>
          <t>No</t>
        </is>
      </c>
      <c r="O506" s="2" t="inlineStr">
        <is>
          <t>Unattempted</t>
        </is>
      </c>
    </row>
    <row r="507">
      <c r="A507" s="4" t="inlineStr">
        <is>
          <t>Company Based Questions</t>
        </is>
      </c>
      <c r="B507" s="4" t="inlineStr">
        <is>
          <t>Accenture Interview Questions</t>
        </is>
      </c>
      <c r="C507" s="4" t="inlineStr">
        <is>
          <t>Prepare for Accenture with previous years questions. Solve the coding, numerical ability, reasoning ability, verbal ability and quant questions which were asked in the past.</t>
        </is>
      </c>
      <c r="D507" s="4" t="inlineStr">
        <is>
          <t>Numerical Ability Problems - Past Years Numerical Ability Problems</t>
        </is>
      </c>
      <c r="E507" s="4" t="n">
        <v>28</v>
      </c>
      <c r="F507" s="4" t="inlineStr">
        <is>
          <t>Probability of Drawing Marbles</t>
        </is>
      </c>
      <c r="G507" s="4" t="inlineStr">
        <is>
          <t>AGTCCR20</t>
        </is>
      </c>
      <c r="H507" s="4" t="inlineStr"/>
      <c r="I507" s="4" t="inlineStr">
        <is>
          <t>Medium</t>
        </is>
      </c>
      <c r="J507" s="5">
        <f>HYPERLINK("https://www.codechef.com/problems/AGTCCR20", "https://www.codechef.com/problems/AGTCCR20")</f>
        <v/>
      </c>
      <c r="K507" s="4" t="inlineStr"/>
      <c r="L507" s="4" t="inlineStr"/>
      <c r="M507" s="4" t="inlineStr"/>
      <c r="N507" s="4" t="inlineStr">
        <is>
          <t>No</t>
        </is>
      </c>
      <c r="O507" s="4" t="inlineStr">
        <is>
          <t>Unattempted</t>
        </is>
      </c>
    </row>
    <row r="508">
      <c r="A508" s="2" t="inlineStr">
        <is>
          <t>Company Based Questions</t>
        </is>
      </c>
      <c r="B508" s="2" t="inlineStr">
        <is>
          <t>Accenture Interview Questions</t>
        </is>
      </c>
      <c r="C508" s="2" t="inlineStr">
        <is>
          <t>Prepare for Accenture with previous years questions. Solve the coding, numerical ability, reasoning ability, verbal ability and quant questions which were asked in the past.</t>
        </is>
      </c>
      <c r="D508" s="2" t="inlineStr">
        <is>
          <t>Numerical Ability Problems - Past Years Numerical Ability Problems</t>
        </is>
      </c>
      <c r="E508" s="2" t="n">
        <v>29</v>
      </c>
      <c r="F508" s="2" t="inlineStr">
        <is>
          <t>Fruit Punch Mixture Problem</t>
        </is>
      </c>
      <c r="G508" s="2" t="inlineStr">
        <is>
          <t>AGTCCR21</t>
        </is>
      </c>
      <c r="H508" s="2" t="inlineStr"/>
      <c r="I508" s="2" t="inlineStr">
        <is>
          <t>Medium</t>
        </is>
      </c>
      <c r="J508" s="3">
        <f>HYPERLINK("https://www.codechef.com/problems/AGTCCR21", "https://www.codechef.com/problems/AGTCCR21")</f>
        <v/>
      </c>
      <c r="K508" s="2" t="inlineStr"/>
      <c r="L508" s="2" t="inlineStr"/>
      <c r="M508" s="2" t="inlineStr"/>
      <c r="N508" s="2" t="inlineStr">
        <is>
          <t>No</t>
        </is>
      </c>
      <c r="O508" s="2" t="inlineStr">
        <is>
          <t>Unattempted</t>
        </is>
      </c>
    </row>
    <row r="509">
      <c r="A509" s="4" t="inlineStr">
        <is>
          <t>Company Based Questions</t>
        </is>
      </c>
      <c r="B509" s="4" t="inlineStr">
        <is>
          <t>Accenture Interview Questions</t>
        </is>
      </c>
      <c r="C509" s="4" t="inlineStr">
        <is>
          <t>Prepare for Accenture with previous years questions. Solve the coding, numerical ability, reasoning ability, verbal ability and quant questions which were asked in the past.</t>
        </is>
      </c>
      <c r="D509" s="4" t="inlineStr">
        <is>
          <t>Numerical Ability Problems - Past Years Numerical Ability Problems</t>
        </is>
      </c>
      <c r="E509" s="4" t="n">
        <v>30</v>
      </c>
      <c r="F509" s="4" t="inlineStr">
        <is>
          <t>Work &amp; Time with Programmers and Interns</t>
        </is>
      </c>
      <c r="G509" s="4" t="inlineStr">
        <is>
          <t>AGTCCR22</t>
        </is>
      </c>
      <c r="H509" s="4" t="inlineStr"/>
      <c r="I509" s="4" t="inlineStr">
        <is>
          <t>Medium</t>
        </is>
      </c>
      <c r="J509" s="5">
        <f>HYPERLINK("https://www.codechef.com/problems/AGTCCR22", "https://www.codechef.com/problems/AGTCCR22")</f>
        <v/>
      </c>
      <c r="K509" s="4" t="inlineStr"/>
      <c r="L509" s="4" t="inlineStr"/>
      <c r="M509" s="4" t="inlineStr"/>
      <c r="N509" s="4" t="inlineStr">
        <is>
          <t>No</t>
        </is>
      </c>
      <c r="O509" s="4" t="inlineStr">
        <is>
          <t>Unattempted</t>
        </is>
      </c>
    </row>
    <row r="510">
      <c r="A510" s="2" t="inlineStr">
        <is>
          <t>Company Based Questions</t>
        </is>
      </c>
      <c r="B510" s="2" t="inlineStr">
        <is>
          <t>Accenture Interview Questions</t>
        </is>
      </c>
      <c r="C510" s="2" t="inlineStr">
        <is>
          <t>Prepare for Accenture with previous years questions. Solve the coding, numerical ability, reasoning ability, verbal ability and quant questions which were asked in the past.</t>
        </is>
      </c>
      <c r="D510" s="2" t="inlineStr">
        <is>
          <t>Numerical Ability Problems - Past Years Numerical Ability Problems</t>
        </is>
      </c>
      <c r="E510" s="2" t="n">
        <v>31</v>
      </c>
      <c r="F510" s="2" t="inlineStr">
        <is>
          <t>Mural Painting Teamwork</t>
        </is>
      </c>
      <c r="G510" s="2" t="inlineStr">
        <is>
          <t>AGTCCR23</t>
        </is>
      </c>
      <c r="H510" s="2" t="inlineStr"/>
      <c r="I510" s="2" t="inlineStr">
        <is>
          <t>Medium</t>
        </is>
      </c>
      <c r="J510" s="3">
        <f>HYPERLINK("https://www.codechef.com/problems/AGTCCR23", "https://www.codechef.com/problems/AGTCCR23")</f>
        <v/>
      </c>
      <c r="K510" s="2" t="inlineStr"/>
      <c r="L510" s="2" t="inlineStr"/>
      <c r="M510" s="2" t="inlineStr"/>
      <c r="N510" s="2" t="inlineStr">
        <is>
          <t>No</t>
        </is>
      </c>
      <c r="O510" s="2" t="inlineStr">
        <is>
          <t>Unattempted</t>
        </is>
      </c>
    </row>
    <row r="511">
      <c r="A511" s="4" t="inlineStr">
        <is>
          <t>Company Based Questions</t>
        </is>
      </c>
      <c r="B511" s="4" t="inlineStr">
        <is>
          <t>Accenture Interview Questions</t>
        </is>
      </c>
      <c r="C511" s="4" t="inlineStr">
        <is>
          <t>Prepare for Accenture with previous years questions. Solve the coding, numerical ability, reasoning ability, verbal ability and quant questions which were asked in the past.</t>
        </is>
      </c>
      <c r="D511" s="4" t="inlineStr">
        <is>
          <t>Numerical Ability Problems - Past Years Numerical Ability Problems</t>
        </is>
      </c>
      <c r="E511" s="4" t="n">
        <v>32</v>
      </c>
      <c r="F511" s="4" t="inlineStr">
        <is>
          <t>Profit Percentage on Doubled Price</t>
        </is>
      </c>
      <c r="G511" s="4" t="inlineStr">
        <is>
          <t>AGTCCR24</t>
        </is>
      </c>
      <c r="H511" s="4" t="inlineStr"/>
      <c r="I511" s="4" t="inlineStr">
        <is>
          <t>Medium</t>
        </is>
      </c>
      <c r="J511" s="5">
        <f>HYPERLINK("https://www.codechef.com/problems/AGTCCR24", "https://www.codechef.com/problems/AGTCCR24")</f>
        <v/>
      </c>
      <c r="K511" s="4" t="inlineStr"/>
      <c r="L511" s="4" t="inlineStr"/>
      <c r="M511" s="4" t="inlineStr"/>
      <c r="N511" s="4" t="inlineStr">
        <is>
          <t>No</t>
        </is>
      </c>
      <c r="O511" s="4" t="inlineStr">
        <is>
          <t>Unattempted</t>
        </is>
      </c>
    </row>
    <row r="512">
      <c r="A512" s="2" t="inlineStr">
        <is>
          <t>Company Based Questions</t>
        </is>
      </c>
      <c r="B512" s="2" t="inlineStr">
        <is>
          <t>Accenture Interview Questions</t>
        </is>
      </c>
      <c r="C512" s="2" t="inlineStr">
        <is>
          <t>Prepare for Accenture with previous years questions. Solve the coding, numerical ability, reasoning ability, verbal ability and quant questions which were asked in the past.</t>
        </is>
      </c>
      <c r="D512" s="2" t="inlineStr">
        <is>
          <t>Numerical Ability Problems - Past Years Numerical Ability Problems</t>
        </is>
      </c>
      <c r="E512" s="2" t="n">
        <v>33</v>
      </c>
      <c r="F512" s="2" t="inlineStr">
        <is>
          <t>Profit Calculation Sufficiency</t>
        </is>
      </c>
      <c r="G512" s="2" t="inlineStr">
        <is>
          <t>AGTCCR25</t>
        </is>
      </c>
      <c r="H512" s="2" t="inlineStr"/>
      <c r="I512" s="2" t="inlineStr">
        <is>
          <t>Medium</t>
        </is>
      </c>
      <c r="J512" s="3">
        <f>HYPERLINK("https://www.codechef.com/problems/AGTCCR25", "https://www.codechef.com/problems/AGTCCR25")</f>
        <v/>
      </c>
      <c r="K512" s="2" t="inlineStr"/>
      <c r="L512" s="2" t="inlineStr"/>
      <c r="M512" s="2" t="inlineStr"/>
      <c r="N512" s="2" t="inlineStr">
        <is>
          <t>No</t>
        </is>
      </c>
      <c r="O512" s="2" t="inlineStr">
        <is>
          <t>Unattempted</t>
        </is>
      </c>
    </row>
    <row r="513">
      <c r="A513" s="4" t="inlineStr">
        <is>
          <t>Company Based Questions</t>
        </is>
      </c>
      <c r="B513" s="4" t="inlineStr">
        <is>
          <t>Accenture Interview Questions</t>
        </is>
      </c>
      <c r="C513" s="4" t="inlineStr">
        <is>
          <t>Prepare for Accenture with previous years questions. Solve the coding, numerical ability, reasoning ability, verbal ability and quant questions which were asked in the past.</t>
        </is>
      </c>
      <c r="D513" s="4" t="inlineStr">
        <is>
          <t>Numerical Ability Problems - Past Years Numerical Ability Problems</t>
        </is>
      </c>
      <c r="E513" s="4" t="n">
        <v>34</v>
      </c>
      <c r="F513" s="4" t="inlineStr">
        <is>
          <t>Sum of Reciprocal Roots of a Polynomial</t>
        </is>
      </c>
      <c r="G513" s="4" t="inlineStr">
        <is>
          <t>AGTCCR26</t>
        </is>
      </c>
      <c r="H513" s="4" t="inlineStr"/>
      <c r="I513" s="4" t="inlineStr">
        <is>
          <t>Medium</t>
        </is>
      </c>
      <c r="J513" s="5">
        <f>HYPERLINK("https://www.codechef.com/problems/AGTCCR26", "https://www.codechef.com/problems/AGTCCR26")</f>
        <v/>
      </c>
      <c r="K513" s="4" t="inlineStr"/>
      <c r="L513" s="4" t="inlineStr"/>
      <c r="M513" s="4" t="inlineStr"/>
      <c r="N513" s="4" t="inlineStr">
        <is>
          <t>No</t>
        </is>
      </c>
      <c r="O513" s="4" t="inlineStr">
        <is>
          <t>Unattempted</t>
        </is>
      </c>
    </row>
    <row r="514">
      <c r="A514" s="2" t="inlineStr">
        <is>
          <t>Company Based Questions</t>
        </is>
      </c>
      <c r="B514" s="2" t="inlineStr">
        <is>
          <t>Accenture Interview Questions</t>
        </is>
      </c>
      <c r="C514" s="2" t="inlineStr">
        <is>
          <t>Prepare for Accenture with previous years questions. Solve the coding, numerical ability, reasoning ability, verbal ability and quant questions which were asked in the past.</t>
        </is>
      </c>
      <c r="D514" s="2" t="inlineStr">
        <is>
          <t>Numerical Ability Problems - Past Years Numerical Ability Problems</t>
        </is>
      </c>
      <c r="E514" s="2" t="n">
        <v>35</v>
      </c>
      <c r="F514" s="2" t="inlineStr">
        <is>
          <t>Company Financial Performance</t>
        </is>
      </c>
      <c r="G514" s="2" t="inlineStr">
        <is>
          <t>AGTCCR27</t>
        </is>
      </c>
      <c r="H514" s="2" t="inlineStr"/>
      <c r="I514" s="2" t="inlineStr">
        <is>
          <t>Easy</t>
        </is>
      </c>
      <c r="J514" s="3">
        <f>HYPERLINK("https://www.codechef.com/problems/AGTCCR27", "https://www.codechef.com/problems/AGTCCR27")</f>
        <v/>
      </c>
      <c r="K514" s="2" t="inlineStr"/>
      <c r="L514" s="2" t="inlineStr"/>
      <c r="M514" s="2" t="inlineStr"/>
      <c r="N514" s="2" t="inlineStr">
        <is>
          <t>No</t>
        </is>
      </c>
      <c r="O514" s="2" t="inlineStr">
        <is>
          <t>Unattempted</t>
        </is>
      </c>
    </row>
    <row r="515">
      <c r="A515" s="4" t="inlineStr">
        <is>
          <t>Company Based Questions</t>
        </is>
      </c>
      <c r="B515" s="4" t="inlineStr">
        <is>
          <t>Accenture Interview Questions</t>
        </is>
      </c>
      <c r="C515" s="4" t="inlineStr">
        <is>
          <t>Prepare for Accenture with previous years questions. Solve the coding, numerical ability, reasoning ability, verbal ability and quant questions which were asked in the past.</t>
        </is>
      </c>
      <c r="D515" s="4" t="inlineStr">
        <is>
          <t>Numerical Ability Problems - Past Years Numerical Ability Problems</t>
        </is>
      </c>
      <c r="E515" s="4" t="n">
        <v>36</v>
      </c>
      <c r="F515" s="4" t="inlineStr">
        <is>
          <t>Ratio of Apples Problem</t>
        </is>
      </c>
      <c r="G515" s="4" t="inlineStr">
        <is>
          <t>AGTCCR28</t>
        </is>
      </c>
      <c r="H515" s="4" t="inlineStr"/>
      <c r="I515" s="4" t="inlineStr">
        <is>
          <t>Medium</t>
        </is>
      </c>
      <c r="J515" s="5">
        <f>HYPERLINK("https://www.codechef.com/problems/AGTCCR28", "https://www.codechef.com/problems/AGTCCR28")</f>
        <v/>
      </c>
      <c r="K515" s="4" t="inlineStr"/>
      <c r="L515" s="4" t="inlineStr"/>
      <c r="M515" s="4" t="inlineStr"/>
      <c r="N515" s="4" t="inlineStr">
        <is>
          <t>No</t>
        </is>
      </c>
      <c r="O515" s="4" t="inlineStr">
        <is>
          <t>Unattempted</t>
        </is>
      </c>
    </row>
    <row r="516">
      <c r="A516" s="2" t="inlineStr">
        <is>
          <t>Company Based Questions</t>
        </is>
      </c>
      <c r="B516" s="2" t="inlineStr">
        <is>
          <t>Accenture Interview Questions</t>
        </is>
      </c>
      <c r="C516" s="2" t="inlineStr">
        <is>
          <t>Prepare for Accenture with previous years questions. Solve the coding, numerical ability, reasoning ability, verbal ability and quant questions which were asked in the past.</t>
        </is>
      </c>
      <c r="D516" s="2" t="inlineStr">
        <is>
          <t>Numerical Ability Problems - Past Years Numerical Ability Problems</t>
        </is>
      </c>
      <c r="E516" s="2" t="n">
        <v>37</v>
      </c>
      <c r="F516" s="2" t="inlineStr">
        <is>
          <t>Evaluating Arguments on Government Policy</t>
        </is>
      </c>
      <c r="G516" s="2" t="inlineStr">
        <is>
          <t>AGTCCR29</t>
        </is>
      </c>
      <c r="H516" s="2" t="inlineStr"/>
      <c r="I516" s="2" t="inlineStr">
        <is>
          <t>Easy</t>
        </is>
      </c>
      <c r="J516" s="3">
        <f>HYPERLINK("https://www.codechef.com/problems/AGTCCR29", "https://www.codechef.com/problems/AGTCCR29")</f>
        <v/>
      </c>
      <c r="K516" s="2" t="inlineStr"/>
      <c r="L516" s="2" t="inlineStr"/>
      <c r="M516" s="2" t="inlineStr"/>
      <c r="N516" s="2" t="inlineStr">
        <is>
          <t>No</t>
        </is>
      </c>
      <c r="O516" s="2" t="inlineStr">
        <is>
          <t>Unattempted</t>
        </is>
      </c>
    </row>
    <row r="517">
      <c r="A517" s="4" t="inlineStr">
        <is>
          <t>Company Based Questions</t>
        </is>
      </c>
      <c r="B517" s="4" t="inlineStr">
        <is>
          <t>Accenture Interview Questions</t>
        </is>
      </c>
      <c r="C517" s="4" t="inlineStr">
        <is>
          <t>Prepare for Accenture with previous years questions. Solve the coding, numerical ability, reasoning ability, verbal ability and quant questions which were asked in the past.</t>
        </is>
      </c>
      <c r="D517" s="4" t="inlineStr">
        <is>
          <t>Numerical Ability Problems - Past Years Numerical Ability Problems</t>
        </is>
      </c>
      <c r="E517" s="4" t="n">
        <v>38</v>
      </c>
      <c r="F517" s="4" t="inlineStr">
        <is>
          <t>Arithmetic Progression Ratio Problem</t>
        </is>
      </c>
      <c r="G517" s="4" t="inlineStr">
        <is>
          <t>AGTCCR30</t>
        </is>
      </c>
      <c r="H517" s="4" t="inlineStr"/>
      <c r="I517" s="4" t="inlineStr">
        <is>
          <t>Hard</t>
        </is>
      </c>
      <c r="J517" s="5">
        <f>HYPERLINK("https://www.codechef.com/problems/AGTCCR30", "https://www.codechef.com/problems/AGTCCR30")</f>
        <v/>
      </c>
      <c r="K517" s="4" t="inlineStr"/>
      <c r="L517" s="4" t="inlineStr"/>
      <c r="M517" s="4" t="inlineStr"/>
      <c r="N517" s="4" t="inlineStr">
        <is>
          <t>No</t>
        </is>
      </c>
      <c r="O517" s="4" t="inlineStr">
        <is>
          <t>Unattempted</t>
        </is>
      </c>
    </row>
    <row r="518">
      <c r="A518" s="2" t="inlineStr">
        <is>
          <t>Company Based Questions</t>
        </is>
      </c>
      <c r="B518" s="2" t="inlineStr">
        <is>
          <t>Accenture Interview Questions</t>
        </is>
      </c>
      <c r="C518" s="2" t="inlineStr">
        <is>
          <t>Prepare for Accenture with previous years questions. Solve the coding, numerical ability, reasoning ability, verbal ability and quant questions which were asked in the past.</t>
        </is>
      </c>
      <c r="D518" s="2" t="inlineStr">
        <is>
          <t>Numerical Ability Problems - Past Years Numerical Ability Problems</t>
        </is>
      </c>
      <c r="E518" s="2" t="n">
        <v>39</v>
      </c>
      <c r="F518" s="2" t="inlineStr">
        <is>
          <t>Evaluating Arguments: Public Transport Policy</t>
        </is>
      </c>
      <c r="G518" s="2" t="inlineStr">
        <is>
          <t>AGTCCR31</t>
        </is>
      </c>
      <c r="H518" s="2" t="inlineStr"/>
      <c r="I518" s="2" t="inlineStr">
        <is>
          <t>Easy</t>
        </is>
      </c>
      <c r="J518" s="3">
        <f>HYPERLINK("https://www.codechef.com/problems/AGTCCR31", "https://www.codechef.com/problems/AGTCCR31")</f>
        <v/>
      </c>
      <c r="K518" s="2" t="inlineStr"/>
      <c r="L518" s="2" t="inlineStr"/>
      <c r="M518" s="2" t="inlineStr"/>
      <c r="N518" s="2" t="inlineStr">
        <is>
          <t>No</t>
        </is>
      </c>
      <c r="O518" s="2" t="inlineStr">
        <is>
          <t>Unattempted</t>
        </is>
      </c>
    </row>
    <row r="519">
      <c r="A519" s="4" t="inlineStr">
        <is>
          <t>Company Based Questions</t>
        </is>
      </c>
      <c r="B519" s="4" t="inlineStr">
        <is>
          <t>Accenture Interview Questions</t>
        </is>
      </c>
      <c r="C519" s="4" t="inlineStr">
        <is>
          <t>Prepare for Accenture with previous years questions. Solve the coding, numerical ability, reasoning ability, verbal ability and quant questions which were asked in the past.</t>
        </is>
      </c>
      <c r="D519" s="4" t="inlineStr">
        <is>
          <t>Numerical Ability Problems - Past Years Numerical Ability Problems</t>
        </is>
      </c>
      <c r="E519" s="4" t="n">
        <v>40</v>
      </c>
      <c r="F519" s="4" t="inlineStr">
        <is>
          <t>Classroom Change Logic</t>
        </is>
      </c>
      <c r="G519" s="4" t="inlineStr">
        <is>
          <t>AGTCCR32</t>
        </is>
      </c>
      <c r="H519" s="4" t="inlineStr"/>
      <c r="I519" s="4" t="inlineStr">
        <is>
          <t>Easy</t>
        </is>
      </c>
      <c r="J519" s="5">
        <f>HYPERLINK("https://www.codechef.com/problems/AGTCCR32", "https://www.codechef.com/problems/AGTCCR32")</f>
        <v/>
      </c>
      <c r="K519" s="4" t="inlineStr"/>
      <c r="L519" s="4" t="inlineStr"/>
      <c r="M519" s="4" t="inlineStr"/>
      <c r="N519" s="4" t="inlineStr">
        <is>
          <t>No</t>
        </is>
      </c>
      <c r="O519" s="4" t="inlineStr">
        <is>
          <t>Unattempted</t>
        </is>
      </c>
    </row>
    <row r="520">
      <c r="A520" s="2" t="inlineStr">
        <is>
          <t>Company Based Questions</t>
        </is>
      </c>
      <c r="B520" s="2" t="inlineStr">
        <is>
          <t>Accenture Interview Questions</t>
        </is>
      </c>
      <c r="C520" s="2" t="inlineStr">
        <is>
          <t>Prepare for Accenture with previous years questions. Solve the coding, numerical ability, reasoning ability, verbal ability and quant questions which were asked in the past.</t>
        </is>
      </c>
      <c r="D520" s="2" t="inlineStr">
        <is>
          <t>Numerical Ability Problems - Past Years Numerical Ability Problems</t>
        </is>
      </c>
      <c r="E520" s="2" t="n">
        <v>41</v>
      </c>
      <c r="F520" s="2" t="inlineStr">
        <is>
          <t>Corporate Wellness Trend Analysis</t>
        </is>
      </c>
      <c r="G520" s="2" t="inlineStr">
        <is>
          <t>AGTCCR33</t>
        </is>
      </c>
      <c r="H520" s="2" t="inlineStr"/>
      <c r="I520" s="2" t="inlineStr">
        <is>
          <t>Easy</t>
        </is>
      </c>
      <c r="J520" s="3">
        <f>HYPERLINK("https://www.codechef.com/problems/AGTCCR33", "https://www.codechef.com/problems/AGTCCR33")</f>
        <v/>
      </c>
      <c r="K520" s="2" t="inlineStr"/>
      <c r="L520" s="2" t="inlineStr"/>
      <c r="M520" s="2" t="inlineStr"/>
      <c r="N520" s="2" t="inlineStr">
        <is>
          <t>No</t>
        </is>
      </c>
      <c r="O520" s="2" t="inlineStr">
        <is>
          <t>Unattempted</t>
        </is>
      </c>
    </row>
    <row r="521">
      <c r="A521" s="4" t="inlineStr">
        <is>
          <t>Company Based Questions</t>
        </is>
      </c>
      <c r="B521" s="4" t="inlineStr">
        <is>
          <t>Accenture Interview Questions</t>
        </is>
      </c>
      <c r="C521" s="4" t="inlineStr">
        <is>
          <t>Prepare for Accenture with previous years questions. Solve the coding, numerical ability, reasoning ability, verbal ability and quant questions which were asked in the past.</t>
        </is>
      </c>
      <c r="D521" s="4" t="inlineStr">
        <is>
          <t>Numerical Ability Problems - Past Years Numerical Ability Problems</t>
        </is>
      </c>
      <c r="E521" s="4" t="n">
        <v>42</v>
      </c>
      <c r="F521" s="4" t="inlineStr">
        <is>
          <t>Logical Assumption: Traffic Rule Change</t>
        </is>
      </c>
      <c r="G521" s="4" t="inlineStr">
        <is>
          <t>AGTCCR34</t>
        </is>
      </c>
      <c r="H521" s="4" t="inlineStr"/>
      <c r="I521" s="4" t="inlineStr">
        <is>
          <t>Easy</t>
        </is>
      </c>
      <c r="J521" s="5">
        <f>HYPERLINK("https://www.codechef.com/problems/AGTCCR34", "https://www.codechef.com/problems/AGTCCR34")</f>
        <v/>
      </c>
      <c r="K521" s="4" t="inlineStr"/>
      <c r="L521" s="4" t="inlineStr"/>
      <c r="M521" s="4" t="inlineStr"/>
      <c r="N521" s="4" t="inlineStr">
        <is>
          <t>No</t>
        </is>
      </c>
      <c r="O521" s="4" t="inlineStr">
        <is>
          <t>Unattempted</t>
        </is>
      </c>
    </row>
    <row r="522">
      <c r="A522" s="2" t="inlineStr">
        <is>
          <t>Company Based Questions</t>
        </is>
      </c>
      <c r="B522" s="2" t="inlineStr">
        <is>
          <t>Accenture Interview Questions</t>
        </is>
      </c>
      <c r="C522" s="2" t="inlineStr">
        <is>
          <t>Prepare for Accenture with previous years questions. Solve the coding, numerical ability, reasoning ability, verbal ability and quant questions which were asked in the past.</t>
        </is>
      </c>
      <c r="D522" s="2" t="inlineStr">
        <is>
          <t>Reasoning Ability Problems - Past Years Reasoning Ability Problems</t>
        </is>
      </c>
      <c r="E522" s="2" t="n">
        <v>43</v>
      </c>
      <c r="F522" s="2" t="inlineStr">
        <is>
          <t>Secret Code Language Puzzle</t>
        </is>
      </c>
      <c r="G522" s="2" t="inlineStr">
        <is>
          <t>AGTCCR47</t>
        </is>
      </c>
      <c r="H522" s="2" t="inlineStr"/>
      <c r="I522" s="2" t="inlineStr">
        <is>
          <t>Easy</t>
        </is>
      </c>
      <c r="J522" s="3">
        <f>HYPERLINK("https://www.codechef.com/problems/AGTCCR47", "https://www.codechef.com/problems/AGTCCR47")</f>
        <v/>
      </c>
      <c r="K522" s="2" t="inlineStr"/>
      <c r="L522" s="2" t="inlineStr"/>
      <c r="M522" s="2" t="inlineStr"/>
      <c r="N522" s="2" t="inlineStr">
        <is>
          <t>No</t>
        </is>
      </c>
      <c r="O522" s="2" t="inlineStr">
        <is>
          <t>Unattempted</t>
        </is>
      </c>
    </row>
    <row r="523">
      <c r="A523" s="4" t="inlineStr">
        <is>
          <t>Company Based Questions</t>
        </is>
      </c>
      <c r="B523" s="4" t="inlineStr">
        <is>
          <t>Accenture Interview Questions</t>
        </is>
      </c>
      <c r="C523" s="4" t="inlineStr">
        <is>
          <t>Prepare for Accenture with previous years questions. Solve the coding, numerical ability, reasoning ability, verbal ability and quant questions which were asked in the past.</t>
        </is>
      </c>
      <c r="D523" s="4" t="inlineStr">
        <is>
          <t>Reasoning Ability Problems - Past Years Reasoning Ability Problems</t>
        </is>
      </c>
      <c r="E523" s="4" t="n">
        <v>44</v>
      </c>
      <c r="F523" s="4" t="inlineStr">
        <is>
          <t>Alphabetical Shift Coding</t>
        </is>
      </c>
      <c r="G523" s="4" t="inlineStr">
        <is>
          <t>AGTCCR48</t>
        </is>
      </c>
      <c r="H523" s="4" t="inlineStr"/>
      <c r="I523" s="4" t="inlineStr">
        <is>
          <t>Easy</t>
        </is>
      </c>
      <c r="J523" s="5">
        <f>HYPERLINK("https://www.codechef.com/problems/AGTCCR48", "https://www.codechef.com/problems/AGTCCR48")</f>
        <v/>
      </c>
      <c r="K523" s="4" t="inlineStr"/>
      <c r="L523" s="4" t="inlineStr"/>
      <c r="M523" s="4" t="inlineStr"/>
      <c r="N523" s="4" t="inlineStr">
        <is>
          <t>No</t>
        </is>
      </c>
      <c r="O523" s="4" t="inlineStr">
        <is>
          <t>Unattempted</t>
        </is>
      </c>
    </row>
    <row r="524">
      <c r="A524" s="2" t="inlineStr">
        <is>
          <t>Company Based Questions</t>
        </is>
      </c>
      <c r="B524" s="2" t="inlineStr">
        <is>
          <t>Accenture Interview Questions</t>
        </is>
      </c>
      <c r="C524" s="2" t="inlineStr">
        <is>
          <t>Prepare for Accenture with previous years questions. Solve the coding, numerical ability, reasoning ability, verbal ability and quant questions which were asked in the past.</t>
        </is>
      </c>
      <c r="D524" s="2" t="inlineStr">
        <is>
          <t>Reasoning Ability Problems - Past Years Reasoning Ability Problems</t>
        </is>
      </c>
      <c r="E524" s="2" t="n">
        <v>45</v>
      </c>
      <c r="F524" s="2" t="inlineStr">
        <is>
          <t>Symbolic Relationship Logic Puzzle</t>
        </is>
      </c>
      <c r="G524" s="2" t="inlineStr">
        <is>
          <t>AGTCCR49</t>
        </is>
      </c>
      <c r="H524" s="2" t="inlineStr"/>
      <c r="I524" s="2" t="inlineStr">
        <is>
          <t>Easy</t>
        </is>
      </c>
      <c r="J524" s="3">
        <f>HYPERLINK("https://www.codechef.com/problems/AGTCCR49", "https://www.codechef.com/problems/AGTCCR49")</f>
        <v/>
      </c>
      <c r="K524" s="2" t="inlineStr"/>
      <c r="L524" s="2" t="inlineStr"/>
      <c r="M524" s="2" t="inlineStr"/>
      <c r="N524" s="2" t="inlineStr">
        <is>
          <t>No</t>
        </is>
      </c>
      <c r="O524" s="2" t="inlineStr">
        <is>
          <t>Unattempted</t>
        </is>
      </c>
    </row>
    <row r="525">
      <c r="A525" s="4" t="inlineStr">
        <is>
          <t>Company Based Questions</t>
        </is>
      </c>
      <c r="B525" s="4" t="inlineStr">
        <is>
          <t>Accenture Interview Questions</t>
        </is>
      </c>
      <c r="C525" s="4" t="inlineStr">
        <is>
          <t>Prepare for Accenture with previous years questions. Solve the coding, numerical ability, reasoning ability, verbal ability and quant questions which were asked in the past.</t>
        </is>
      </c>
      <c r="D525" s="4" t="inlineStr">
        <is>
          <t>Reasoning Ability Problems - Past Years Reasoning Ability Problems</t>
        </is>
      </c>
      <c r="E525" s="4" t="n">
        <v>46</v>
      </c>
      <c r="F525" s="4" t="inlineStr">
        <is>
          <t>Logical Speed Ranking</t>
        </is>
      </c>
      <c r="G525" s="4" t="inlineStr">
        <is>
          <t>AGTCCR50</t>
        </is>
      </c>
      <c r="H525" s="4" t="inlineStr"/>
      <c r="I525" s="4" t="inlineStr">
        <is>
          <t>Easy</t>
        </is>
      </c>
      <c r="J525" s="5">
        <f>HYPERLINK("https://www.codechef.com/problems/AGTCCR50", "https://www.codechef.com/problems/AGTCCR50")</f>
        <v/>
      </c>
      <c r="K525" s="4" t="inlineStr"/>
      <c r="L525" s="4" t="inlineStr"/>
      <c r="M525" s="4" t="inlineStr"/>
      <c r="N525" s="4" t="inlineStr">
        <is>
          <t>No</t>
        </is>
      </c>
      <c r="O525" s="4" t="inlineStr">
        <is>
          <t>Unattempted</t>
        </is>
      </c>
    </row>
    <row r="526">
      <c r="A526" s="2" t="inlineStr">
        <is>
          <t>Company Based Questions</t>
        </is>
      </c>
      <c r="B526" s="2" t="inlineStr">
        <is>
          <t>Accenture Interview Questions</t>
        </is>
      </c>
      <c r="C526" s="2" t="inlineStr">
        <is>
          <t>Prepare for Accenture with previous years questions. Solve the coding, numerical ability, reasoning ability, verbal ability and quant questions which were asked in the past.</t>
        </is>
      </c>
      <c r="D526" s="2" t="inlineStr">
        <is>
          <t>Reasoning Ability Problems - Past Years Reasoning Ability Problems</t>
        </is>
      </c>
      <c r="E526" s="2" t="n">
        <v>47</v>
      </c>
      <c r="F526" s="2" t="inlineStr">
        <is>
          <t>Logical Deduction with Unknown Operators</t>
        </is>
      </c>
      <c r="G526" s="2" t="inlineStr">
        <is>
          <t>AGTCCR51</t>
        </is>
      </c>
      <c r="H526" s="2" t="inlineStr"/>
      <c r="I526" s="2" t="inlineStr">
        <is>
          <t>Medium</t>
        </is>
      </c>
      <c r="J526" s="3">
        <f>HYPERLINK("https://www.codechef.com/problems/AGTCCR51", "https://www.codechef.com/problems/AGTCCR51")</f>
        <v/>
      </c>
      <c r="K526" s="2" t="inlineStr"/>
      <c r="L526" s="2" t="inlineStr"/>
      <c r="M526" s="2" t="inlineStr"/>
      <c r="N526" s="2" t="inlineStr">
        <is>
          <t>No</t>
        </is>
      </c>
      <c r="O526" s="2" t="inlineStr">
        <is>
          <t>Unattempted</t>
        </is>
      </c>
    </row>
    <row r="527">
      <c r="A527" s="4" t="inlineStr">
        <is>
          <t>Company Based Questions</t>
        </is>
      </c>
      <c r="B527" s="4" t="inlineStr">
        <is>
          <t>Accenture Interview Questions</t>
        </is>
      </c>
      <c r="C527" s="4" t="inlineStr">
        <is>
          <t>Prepare for Accenture with previous years questions. Solve the coding, numerical ability, reasoning ability, verbal ability and quant questions which were asked in the past.</t>
        </is>
      </c>
      <c r="D527" s="4" t="inlineStr">
        <is>
          <t>Reasoning Ability Problems - Past Years Reasoning Ability Problems</t>
        </is>
      </c>
      <c r="E527" s="4" t="n">
        <v>48</v>
      </c>
      <c r="F527" s="4" t="inlineStr">
        <is>
          <t>Logical Reasoning: Syllogism</t>
        </is>
      </c>
      <c r="G527" s="4" t="inlineStr">
        <is>
          <t>AGTCCR52</t>
        </is>
      </c>
      <c r="H527" s="4" t="inlineStr"/>
      <c r="I527" s="4" t="inlineStr">
        <is>
          <t>Easy</t>
        </is>
      </c>
      <c r="J527" s="5">
        <f>HYPERLINK("https://www.codechef.com/problems/AGTCCR52", "https://www.codechef.com/problems/AGTCCR52")</f>
        <v/>
      </c>
      <c r="K527" s="4" t="inlineStr"/>
      <c r="L527" s="4" t="inlineStr"/>
      <c r="M527" s="4" t="inlineStr"/>
      <c r="N527" s="4" t="inlineStr">
        <is>
          <t>No</t>
        </is>
      </c>
      <c r="O527" s="4" t="inlineStr">
        <is>
          <t>Unattempted</t>
        </is>
      </c>
    </row>
    <row r="528">
      <c r="A528" s="2" t="inlineStr">
        <is>
          <t>Company Based Questions</t>
        </is>
      </c>
      <c r="B528" s="2" t="inlineStr">
        <is>
          <t>Accenture Interview Questions</t>
        </is>
      </c>
      <c r="C528" s="2" t="inlineStr">
        <is>
          <t>Prepare for Accenture with previous years questions. Solve the coding, numerical ability, reasoning ability, verbal ability and quant questions which were asked in the past.</t>
        </is>
      </c>
      <c r="D528" s="2" t="inlineStr">
        <is>
          <t>Reasoning Ability Problems - Past Years Reasoning Ability Problems</t>
        </is>
      </c>
      <c r="E528" s="2" t="n">
        <v>49</v>
      </c>
      <c r="F528" s="2" t="inlineStr">
        <is>
          <t>Alphabet Series Position Puzzle</t>
        </is>
      </c>
      <c r="G528" s="2" t="inlineStr">
        <is>
          <t>AGTCCR53</t>
        </is>
      </c>
      <c r="H528" s="2" t="inlineStr"/>
      <c r="I528" s="2" t="inlineStr">
        <is>
          <t>Easy</t>
        </is>
      </c>
      <c r="J528" s="3">
        <f>HYPERLINK("https://www.codechef.com/problems/AGTCCR53", "https://www.codechef.com/problems/AGTCCR53")</f>
        <v/>
      </c>
      <c r="K528" s="2" t="inlineStr"/>
      <c r="L528" s="2" t="inlineStr"/>
      <c r="M528" s="2" t="inlineStr"/>
      <c r="N528" s="2" t="inlineStr">
        <is>
          <t>No</t>
        </is>
      </c>
      <c r="O528" s="2" t="inlineStr">
        <is>
          <t>Unattempted</t>
        </is>
      </c>
    </row>
    <row r="529">
      <c r="A529" s="4" t="inlineStr">
        <is>
          <t>Company Based Questions</t>
        </is>
      </c>
      <c r="B529" s="4" t="inlineStr">
        <is>
          <t>Accenture Interview Questions</t>
        </is>
      </c>
      <c r="C529" s="4" t="inlineStr">
        <is>
          <t>Prepare for Accenture with previous years questions. Solve the coding, numerical ability, reasoning ability, verbal ability and quant questions which were asked in the past.</t>
        </is>
      </c>
      <c r="D529" s="4" t="inlineStr">
        <is>
          <t>Reasoning Ability Problems - Past Years Reasoning Ability Problems</t>
        </is>
      </c>
      <c r="E529" s="4" t="n">
        <v>50</v>
      </c>
      <c r="F529" s="4" t="inlineStr">
        <is>
          <t>Logical Deduction Problem</t>
        </is>
      </c>
      <c r="G529" s="4" t="inlineStr">
        <is>
          <t>AGTCCR54</t>
        </is>
      </c>
      <c r="H529" s="4" t="inlineStr"/>
      <c r="I529" s="4" t="inlineStr">
        <is>
          <t>Medium</t>
        </is>
      </c>
      <c r="J529" s="5">
        <f>HYPERLINK("https://www.codechef.com/problems/AGTCCR54", "https://www.codechef.com/problems/AGTCCR54")</f>
        <v/>
      </c>
      <c r="K529" s="4" t="inlineStr"/>
      <c r="L529" s="4" t="inlineStr"/>
      <c r="M529" s="4" t="inlineStr"/>
      <c r="N529" s="4" t="inlineStr">
        <is>
          <t>No</t>
        </is>
      </c>
      <c r="O529" s="4" t="inlineStr">
        <is>
          <t>Unattempted</t>
        </is>
      </c>
    </row>
    <row r="530">
      <c r="A530" s="2" t="inlineStr">
        <is>
          <t>Company Based Questions</t>
        </is>
      </c>
      <c r="B530" s="2" t="inlineStr">
        <is>
          <t>Accenture Interview Questions</t>
        </is>
      </c>
      <c r="C530" s="2" t="inlineStr">
        <is>
          <t>Prepare for Accenture with previous years questions. Solve the coding, numerical ability, reasoning ability, verbal ability and quant questions which were asked in the past.</t>
        </is>
      </c>
      <c r="D530" s="2" t="inlineStr">
        <is>
          <t>Reasoning Ability Problems - Past Years Reasoning Ability Problems</t>
        </is>
      </c>
      <c r="E530" s="2" t="n">
        <v>51</v>
      </c>
      <c r="F530" s="2" t="inlineStr">
        <is>
          <t>Syllogism with Animals</t>
        </is>
      </c>
      <c r="G530" s="2" t="inlineStr">
        <is>
          <t>AGTCCR55</t>
        </is>
      </c>
      <c r="H530" s="2" t="inlineStr"/>
      <c r="I530" s="2" t="inlineStr">
        <is>
          <t>Medium</t>
        </is>
      </c>
      <c r="J530" s="3">
        <f>HYPERLINK("https://www.codechef.com/problems/AGTCCR55", "https://www.codechef.com/problems/AGTCCR55")</f>
        <v/>
      </c>
      <c r="K530" s="2" t="inlineStr"/>
      <c r="L530" s="2" t="inlineStr"/>
      <c r="M530" s="2" t="inlineStr"/>
      <c r="N530" s="2" t="inlineStr">
        <is>
          <t>No</t>
        </is>
      </c>
      <c r="O530" s="2" t="inlineStr">
        <is>
          <t>Unattempted</t>
        </is>
      </c>
    </row>
    <row r="531">
      <c r="A531" s="4" t="inlineStr">
        <is>
          <t>Company Based Questions</t>
        </is>
      </c>
      <c r="B531" s="4" t="inlineStr">
        <is>
          <t>Accenture Interview Questions</t>
        </is>
      </c>
      <c r="C531" s="4" t="inlineStr">
        <is>
          <t>Prepare for Accenture with previous years questions. Solve the coding, numerical ability, reasoning ability, verbal ability and quant questions which were asked in the past.</t>
        </is>
      </c>
      <c r="D531" s="4" t="inlineStr">
        <is>
          <t>Reasoning Ability Problems - Past Years Reasoning Ability Problems</t>
        </is>
      </c>
      <c r="E531" s="4" t="n">
        <v>52</v>
      </c>
      <c r="F531" s="4" t="inlineStr">
        <is>
          <t>Assisted Work and Time Problem</t>
        </is>
      </c>
      <c r="G531" s="4" t="inlineStr">
        <is>
          <t>AGTCCR56</t>
        </is>
      </c>
      <c r="H531" s="4" t="inlineStr"/>
      <c r="I531" s="4" t="inlineStr">
        <is>
          <t>Medium</t>
        </is>
      </c>
      <c r="J531" s="5">
        <f>HYPERLINK("https://www.codechef.com/problems/AGTCCR56", "https://www.codechef.com/problems/AGTCCR56")</f>
        <v/>
      </c>
      <c r="K531" s="4" t="inlineStr"/>
      <c r="L531" s="4" t="inlineStr"/>
      <c r="M531" s="4" t="inlineStr"/>
      <c r="N531" s="4" t="inlineStr">
        <is>
          <t>No</t>
        </is>
      </c>
      <c r="O531" s="4" t="inlineStr">
        <is>
          <t>Unattempted</t>
        </is>
      </c>
    </row>
    <row r="532">
      <c r="A532" s="2" t="inlineStr">
        <is>
          <t>Company Based Questions</t>
        </is>
      </c>
      <c r="B532" s="2" t="inlineStr">
        <is>
          <t>Accenture Interview Questions</t>
        </is>
      </c>
      <c r="C532" s="2" t="inlineStr">
        <is>
          <t>Prepare for Accenture with previous years questions. Solve the coding, numerical ability, reasoning ability, verbal ability and quant questions which were asked in the past.</t>
        </is>
      </c>
      <c r="D532" s="2" t="inlineStr">
        <is>
          <t>Reasoning Ability Problems - Past Years Reasoning Ability Problems</t>
        </is>
      </c>
      <c r="E532" s="2" t="n">
        <v>53</v>
      </c>
      <c r="F532" s="2" t="inlineStr">
        <is>
          <t>Find the Missing Number in the Sequence</t>
        </is>
      </c>
      <c r="G532" s="2" t="inlineStr">
        <is>
          <t>AGTCCR57</t>
        </is>
      </c>
      <c r="H532" s="2" t="inlineStr"/>
      <c r="I532" s="2" t="inlineStr">
        <is>
          <t>Easy</t>
        </is>
      </c>
      <c r="J532" s="3">
        <f>HYPERLINK("https://www.codechef.com/problems/AGTCCR57", "https://www.codechef.com/problems/AGTCCR57")</f>
        <v/>
      </c>
      <c r="K532" s="2" t="inlineStr"/>
      <c r="L532" s="2" t="inlineStr"/>
      <c r="M532" s="2" t="inlineStr"/>
      <c r="N532" s="2" t="inlineStr">
        <is>
          <t>No</t>
        </is>
      </c>
      <c r="O532" s="2" t="inlineStr">
        <is>
          <t>Unattempted</t>
        </is>
      </c>
    </row>
    <row r="533">
      <c r="A533" s="4" t="inlineStr">
        <is>
          <t>Company Based Questions</t>
        </is>
      </c>
      <c r="B533" s="4" t="inlineStr">
        <is>
          <t>Accenture Interview Questions</t>
        </is>
      </c>
      <c r="C533" s="4" t="inlineStr">
        <is>
          <t>Prepare for Accenture with previous years questions. Solve the coding, numerical ability, reasoning ability, verbal ability and quant questions which were asked in the past.</t>
        </is>
      </c>
      <c r="D533" s="4" t="inlineStr">
        <is>
          <t>Reasoning Ability Problems - Past Years Reasoning Ability Problems</t>
        </is>
      </c>
      <c r="E533" s="4" t="n">
        <v>54</v>
      </c>
      <c r="F533" s="4" t="inlineStr">
        <is>
          <t>Circular Arrangement</t>
        </is>
      </c>
      <c r="G533" s="4" t="inlineStr">
        <is>
          <t>AGTCCR58</t>
        </is>
      </c>
      <c r="H533" s="4" t="inlineStr"/>
      <c r="I533" s="4" t="inlineStr">
        <is>
          <t>Medium</t>
        </is>
      </c>
      <c r="J533" s="5">
        <f>HYPERLINK("https://www.codechef.com/problems/AGTCCR58", "https://www.codechef.com/problems/AGTCCR58")</f>
        <v/>
      </c>
      <c r="K533" s="4" t="inlineStr"/>
      <c r="L533" s="4" t="inlineStr"/>
      <c r="M533" s="4" t="inlineStr"/>
      <c r="N533" s="4" t="inlineStr">
        <is>
          <t>No</t>
        </is>
      </c>
      <c r="O533" s="4" t="inlineStr">
        <is>
          <t>Unattempted</t>
        </is>
      </c>
    </row>
    <row r="534">
      <c r="A534" s="2" t="inlineStr">
        <is>
          <t>Company Based Questions</t>
        </is>
      </c>
      <c r="B534" s="2" t="inlineStr">
        <is>
          <t>Accenture Interview Questions</t>
        </is>
      </c>
      <c r="C534" s="2" t="inlineStr">
        <is>
          <t>Prepare for Accenture with previous years questions. Solve the coding, numerical ability, reasoning ability, verbal ability and quant questions which were asked in the past.</t>
        </is>
      </c>
      <c r="D534" s="2" t="inlineStr">
        <is>
          <t>Reasoning Ability Problems - Past Years Reasoning Ability Problems</t>
        </is>
      </c>
      <c r="E534" s="2" t="n">
        <v>55</v>
      </c>
      <c r="F534" s="2" t="inlineStr">
        <is>
          <t>Find the Missing Term in the Number Series</t>
        </is>
      </c>
      <c r="G534" s="2" t="inlineStr">
        <is>
          <t>AGTCCR59</t>
        </is>
      </c>
      <c r="H534" s="2" t="inlineStr"/>
      <c r="I534" s="2" t="inlineStr">
        <is>
          <t>Easy</t>
        </is>
      </c>
      <c r="J534" s="3">
        <f>HYPERLINK("https://www.codechef.com/problems/AGTCCR59", "https://www.codechef.com/problems/AGTCCR59")</f>
        <v/>
      </c>
      <c r="K534" s="2" t="inlineStr"/>
      <c r="L534" s="2" t="inlineStr"/>
      <c r="M534" s="2" t="inlineStr"/>
      <c r="N534" s="2" t="inlineStr">
        <is>
          <t>No</t>
        </is>
      </c>
      <c r="O534" s="2" t="inlineStr">
        <is>
          <t>Unattempted</t>
        </is>
      </c>
    </row>
    <row r="535">
      <c r="A535" s="4" t="inlineStr">
        <is>
          <t>Company Based Questions</t>
        </is>
      </c>
      <c r="B535" s="4" t="inlineStr">
        <is>
          <t>Accenture Interview Questions</t>
        </is>
      </c>
      <c r="C535" s="4" t="inlineStr">
        <is>
          <t>Prepare for Accenture with previous years questions. Solve the coding, numerical ability, reasoning ability, verbal ability and quant questions which were asked in the past.</t>
        </is>
      </c>
      <c r="D535" s="4" t="inlineStr">
        <is>
          <t>Reasoning Ability Problems - Past Years Reasoning Ability Problems</t>
        </is>
      </c>
      <c r="E535" s="4" t="n">
        <v>56</v>
      </c>
      <c r="F535" s="4" t="inlineStr">
        <is>
          <t>Paper Folding and Punching Puzzle</t>
        </is>
      </c>
      <c r="G535" s="4" t="inlineStr">
        <is>
          <t>AGTCCR60</t>
        </is>
      </c>
      <c r="H535" s="4" t="inlineStr"/>
      <c r="I535" s="4" t="inlineStr">
        <is>
          <t>Medium</t>
        </is>
      </c>
      <c r="J535" s="5">
        <f>HYPERLINK("https://www.codechef.com/problems/AGTCCR60", "https://www.codechef.com/problems/AGTCCR60")</f>
        <v/>
      </c>
      <c r="K535" s="4" t="inlineStr"/>
      <c r="L535" s="4" t="inlineStr"/>
      <c r="M535" s="4" t="inlineStr"/>
      <c r="N535" s="4" t="inlineStr">
        <is>
          <t>No</t>
        </is>
      </c>
      <c r="O535" s="4" t="inlineStr">
        <is>
          <t>Unattempted</t>
        </is>
      </c>
    </row>
    <row r="536">
      <c r="A536" s="2" t="inlineStr">
        <is>
          <t>Company Based Questions</t>
        </is>
      </c>
      <c r="B536" s="2" t="inlineStr">
        <is>
          <t>Accenture Interview Questions</t>
        </is>
      </c>
      <c r="C536" s="2" t="inlineStr">
        <is>
          <t>Prepare for Accenture with previous years questions. Solve the coding, numerical ability, reasoning ability, verbal ability and quant questions which were asked in the past.</t>
        </is>
      </c>
      <c r="D536" s="2" t="inlineStr">
        <is>
          <t>Reasoning Ability Problems - Past Years Reasoning Ability Problems</t>
        </is>
      </c>
      <c r="E536" s="2" t="n">
        <v>57</v>
      </c>
      <c r="F536" s="2" t="inlineStr">
        <is>
          <t>Logical Analogy</t>
        </is>
      </c>
      <c r="G536" s="2" t="inlineStr">
        <is>
          <t>AGTCCR61</t>
        </is>
      </c>
      <c r="H536" s="2" t="inlineStr"/>
      <c r="I536" s="2" t="inlineStr">
        <is>
          <t>Medium</t>
        </is>
      </c>
      <c r="J536" s="3">
        <f>HYPERLINK("https://www.codechef.com/problems/AGTCCR61", "https://www.codechef.com/problems/AGTCCR61")</f>
        <v/>
      </c>
      <c r="K536" s="2" t="inlineStr"/>
      <c r="L536" s="2" t="inlineStr"/>
      <c r="M536" s="2" t="inlineStr"/>
      <c r="N536" s="2" t="inlineStr">
        <is>
          <t>No</t>
        </is>
      </c>
      <c r="O536" s="2" t="inlineStr">
        <is>
          <t>Unattempted</t>
        </is>
      </c>
    </row>
    <row r="537">
      <c r="A537" s="4" t="inlineStr">
        <is>
          <t>Company Based Questions</t>
        </is>
      </c>
      <c r="B537" s="4" t="inlineStr">
        <is>
          <t>Accenture Interview Questions</t>
        </is>
      </c>
      <c r="C537" s="4" t="inlineStr">
        <is>
          <t>Prepare for Accenture with previous years questions. Solve the coding, numerical ability, reasoning ability, verbal ability and quant questions which were asked in the past.</t>
        </is>
      </c>
      <c r="D537" s="4" t="inlineStr">
        <is>
          <t>Reasoning Ability Problems - Past Years Reasoning Ability Problems</t>
        </is>
      </c>
      <c r="E537" s="4" t="n">
        <v>58</v>
      </c>
      <c r="F537" s="4" t="inlineStr">
        <is>
          <t>Letter Shifts</t>
        </is>
      </c>
      <c r="G537" s="4" t="inlineStr">
        <is>
          <t>AGTCCR62</t>
        </is>
      </c>
      <c r="H537" s="4" t="inlineStr"/>
      <c r="I537" s="4" t="inlineStr">
        <is>
          <t>Easy</t>
        </is>
      </c>
      <c r="J537" s="5">
        <f>HYPERLINK("https://www.codechef.com/problems/AGTCCR62", "https://www.codechef.com/problems/AGTCCR62")</f>
        <v/>
      </c>
      <c r="K537" s="4" t="inlineStr"/>
      <c r="L537" s="4" t="inlineStr"/>
      <c r="M537" s="4" t="inlineStr"/>
      <c r="N537" s="4" t="inlineStr">
        <is>
          <t>No</t>
        </is>
      </c>
      <c r="O537" s="4" t="inlineStr">
        <is>
          <t>Unattempted</t>
        </is>
      </c>
    </row>
    <row r="538">
      <c r="A538" s="2" t="inlineStr">
        <is>
          <t>Company Based Questions</t>
        </is>
      </c>
      <c r="B538" s="2" t="inlineStr">
        <is>
          <t>Accenture Interview Questions</t>
        </is>
      </c>
      <c r="C538" s="2" t="inlineStr">
        <is>
          <t>Prepare for Accenture with previous years questions. Solve the coding, numerical ability, reasoning ability, verbal ability and quant questions which were asked in the past.</t>
        </is>
      </c>
      <c r="D538" s="2" t="inlineStr">
        <is>
          <t>Reasoning Ability Problems - Past Years Reasoning Ability Problems</t>
        </is>
      </c>
      <c r="E538" s="2" t="n">
        <v>59</v>
      </c>
      <c r="F538" s="2" t="inlineStr">
        <is>
          <t>Analogy: Find the Related Word</t>
        </is>
      </c>
      <c r="G538" s="2" t="inlineStr">
        <is>
          <t>AGTCCR63</t>
        </is>
      </c>
      <c r="H538" s="2" t="inlineStr"/>
      <c r="I538" s="2" t="inlineStr">
        <is>
          <t>Easy</t>
        </is>
      </c>
      <c r="J538" s="3">
        <f>HYPERLINK("https://www.codechef.com/problems/AGTCCR63", "https://www.codechef.com/problems/AGTCCR63")</f>
        <v/>
      </c>
      <c r="K538" s="2" t="inlineStr"/>
      <c r="L538" s="2" t="inlineStr"/>
      <c r="M538" s="2" t="inlineStr"/>
      <c r="N538" s="2" t="inlineStr">
        <is>
          <t>No</t>
        </is>
      </c>
      <c r="O538" s="2" t="inlineStr">
        <is>
          <t>Unattempted</t>
        </is>
      </c>
    </row>
    <row r="539">
      <c r="A539" s="4" t="inlineStr">
        <is>
          <t>Company Based Questions</t>
        </is>
      </c>
      <c r="B539" s="4" t="inlineStr">
        <is>
          <t>Accenture Interview Questions</t>
        </is>
      </c>
      <c r="C539" s="4" t="inlineStr">
        <is>
          <t>Prepare for Accenture with previous years questions. Solve the coding, numerical ability, reasoning ability, verbal ability and quant questions which were asked in the past.</t>
        </is>
      </c>
      <c r="D539" s="4" t="inlineStr">
        <is>
          <t>Verbal Ability Problems - Past Years Verbal Ability Problems</t>
        </is>
      </c>
      <c r="E539" s="4" t="n">
        <v>60</v>
      </c>
      <c r="F539" s="4" t="inlineStr">
        <is>
          <t>Phrasal Verb Substitution</t>
        </is>
      </c>
      <c r="G539" s="4" t="inlineStr">
        <is>
          <t>AGTCCR01</t>
        </is>
      </c>
      <c r="H539" s="4" t="inlineStr"/>
      <c r="I539" s="4" t="inlineStr">
        <is>
          <t>Easy</t>
        </is>
      </c>
      <c r="J539" s="5">
        <f>HYPERLINK("https://www.codechef.com/problems/AGTCCR01", "https://www.codechef.com/problems/AGTCCR01")</f>
        <v/>
      </c>
      <c r="K539" s="4" t="inlineStr"/>
      <c r="L539" s="4" t="inlineStr"/>
      <c r="M539" s="4" t="inlineStr"/>
      <c r="N539" s="4" t="inlineStr">
        <is>
          <t>No</t>
        </is>
      </c>
      <c r="O539" s="4" t="inlineStr">
        <is>
          <t>Unattempted</t>
        </is>
      </c>
    </row>
    <row r="540">
      <c r="A540" s="2" t="inlineStr">
        <is>
          <t>Company Based Questions</t>
        </is>
      </c>
      <c r="B540" s="2" t="inlineStr">
        <is>
          <t>Accenture Interview Questions</t>
        </is>
      </c>
      <c r="C540" s="2" t="inlineStr">
        <is>
          <t>Prepare for Accenture with previous years questions. Solve the coding, numerical ability, reasoning ability, verbal ability and quant questions which were asked in the past.</t>
        </is>
      </c>
      <c r="D540" s="2" t="inlineStr">
        <is>
          <t>Verbal Ability Problems - Past Years Verbal Ability Problems</t>
        </is>
      </c>
      <c r="E540" s="2" t="n">
        <v>61</v>
      </c>
      <c r="F540" s="2" t="inlineStr">
        <is>
          <t>Synonym Identification in a Sentence</t>
        </is>
      </c>
      <c r="G540" s="2" t="inlineStr">
        <is>
          <t>AGTCCR02</t>
        </is>
      </c>
      <c r="H540" s="2" t="inlineStr"/>
      <c r="I540" s="2" t="inlineStr">
        <is>
          <t>Easy</t>
        </is>
      </c>
      <c r="J540" s="3">
        <f>HYPERLINK("https://www.codechef.com/problems/AGTCCR02", "https://www.codechef.com/problems/AGTCCR02")</f>
        <v/>
      </c>
      <c r="K540" s="2" t="inlineStr"/>
      <c r="L540" s="2" t="inlineStr"/>
      <c r="M540" s="2" t="inlineStr"/>
      <c r="N540" s="2" t="inlineStr">
        <is>
          <t>No</t>
        </is>
      </c>
      <c r="O540" s="2" t="inlineStr">
        <is>
          <t>Unattempted</t>
        </is>
      </c>
    </row>
    <row r="541">
      <c r="A541" s="4" t="inlineStr">
        <is>
          <t>Company Based Questions</t>
        </is>
      </c>
      <c r="B541" s="4" t="inlineStr">
        <is>
          <t>Accenture Interview Questions</t>
        </is>
      </c>
      <c r="C541" s="4" t="inlineStr">
        <is>
          <t>Prepare for Accenture with previous years questions. Solve the coding, numerical ability, reasoning ability, verbal ability and quant questions which were asked in the past.</t>
        </is>
      </c>
      <c r="D541" s="4" t="inlineStr">
        <is>
          <t>Verbal Ability Problems - Past Years Verbal Ability Problems</t>
        </is>
      </c>
      <c r="E541" s="4" t="n">
        <v>62</v>
      </c>
      <c r="F541" s="4" t="inlineStr">
        <is>
          <t>Pronoun Agreement Error Identification</t>
        </is>
      </c>
      <c r="G541" s="4" t="inlineStr">
        <is>
          <t>AGTCCR03</t>
        </is>
      </c>
      <c r="H541" s="4" t="inlineStr"/>
      <c r="I541" s="4" t="inlineStr">
        <is>
          <t>Easy</t>
        </is>
      </c>
      <c r="J541" s="5">
        <f>HYPERLINK("https://www.codechef.com/problems/AGTCCR03", "https://www.codechef.com/problems/AGTCCR03")</f>
        <v/>
      </c>
      <c r="K541" s="4" t="inlineStr"/>
      <c r="L541" s="4" t="inlineStr"/>
      <c r="M541" s="4" t="inlineStr"/>
      <c r="N541" s="4" t="inlineStr">
        <is>
          <t>No</t>
        </is>
      </c>
      <c r="O541" s="4" t="inlineStr">
        <is>
          <t>Unattempted</t>
        </is>
      </c>
    </row>
    <row r="542">
      <c r="A542" s="2" t="inlineStr">
        <is>
          <t>Company Based Questions</t>
        </is>
      </c>
      <c r="B542" s="2" t="inlineStr">
        <is>
          <t>Accenture Interview Questions</t>
        </is>
      </c>
      <c r="C542" s="2" t="inlineStr">
        <is>
          <t>Prepare for Accenture with previous years questions. Solve the coding, numerical ability, reasoning ability, verbal ability and quant questions which were asked in the past.</t>
        </is>
      </c>
      <c r="D542" s="2" t="inlineStr">
        <is>
          <t>Verbal Ability Problems - Past Years Verbal Ability Problems</t>
        </is>
      </c>
      <c r="E542" s="2" t="n">
        <v>63</v>
      </c>
      <c r="F542" s="2" t="inlineStr">
        <is>
          <t>Sentence Jumble Problem</t>
        </is>
      </c>
      <c r="G542" s="2" t="inlineStr">
        <is>
          <t>AGTCCR04</t>
        </is>
      </c>
      <c r="H542" s="2" t="inlineStr"/>
      <c r="I542" s="2" t="inlineStr">
        <is>
          <t>Easy</t>
        </is>
      </c>
      <c r="J542" s="3">
        <f>HYPERLINK("https://www.codechef.com/problems/AGTCCR04", "https://www.codechef.com/problems/AGTCCR04")</f>
        <v/>
      </c>
      <c r="K542" s="2" t="inlineStr"/>
      <c r="L542" s="2" t="inlineStr"/>
      <c r="M542" s="2" t="inlineStr"/>
      <c r="N542" s="2" t="inlineStr">
        <is>
          <t>No</t>
        </is>
      </c>
      <c r="O542" s="2" t="inlineStr">
        <is>
          <t>Unattempted</t>
        </is>
      </c>
    </row>
    <row r="543">
      <c r="A543" s="4" t="inlineStr">
        <is>
          <t>Company Based Questions</t>
        </is>
      </c>
      <c r="B543" s="4" t="inlineStr">
        <is>
          <t>Accenture Interview Questions</t>
        </is>
      </c>
      <c r="C543" s="4" t="inlineStr">
        <is>
          <t>Prepare for Accenture with previous years questions. Solve the coding, numerical ability, reasoning ability, verbal ability and quant questions which were asked in the past.</t>
        </is>
      </c>
      <c r="D543" s="4" t="inlineStr">
        <is>
          <t>Verbal Ability Problems - Past Years Verbal Ability Problems</t>
        </is>
      </c>
      <c r="E543" s="4" t="n">
        <v>64</v>
      </c>
      <c r="F543" s="4" t="inlineStr">
        <is>
          <t>Correcting Prepositions of Time</t>
        </is>
      </c>
      <c r="G543" s="4" t="inlineStr">
        <is>
          <t>AGTCCR05</t>
        </is>
      </c>
      <c r="H543" s="4" t="inlineStr"/>
      <c r="I543" s="4" t="inlineStr">
        <is>
          <t>Easy</t>
        </is>
      </c>
      <c r="J543" s="5">
        <f>HYPERLINK("https://www.codechef.com/problems/AGTCCR05", "https://www.codechef.com/problems/AGTCCR05")</f>
        <v/>
      </c>
      <c r="K543" s="4" t="inlineStr"/>
      <c r="L543" s="4" t="inlineStr"/>
      <c r="M543" s="4" t="inlineStr"/>
      <c r="N543" s="4" t="inlineStr">
        <is>
          <t>No</t>
        </is>
      </c>
      <c r="O543" s="4" t="inlineStr">
        <is>
          <t>Unattempted</t>
        </is>
      </c>
    </row>
    <row r="544">
      <c r="A544" s="2" t="inlineStr">
        <is>
          <t>Company Based Questions</t>
        </is>
      </c>
      <c r="B544" s="2" t="inlineStr">
        <is>
          <t>Accenture Interview Questions</t>
        </is>
      </c>
      <c r="C544" s="2" t="inlineStr">
        <is>
          <t>Prepare for Accenture with previous years questions. Solve the coding, numerical ability, reasoning ability, verbal ability and quant questions which were asked in the past.</t>
        </is>
      </c>
      <c r="D544" s="2" t="inlineStr">
        <is>
          <t>Verbal Ability Problems - Past Years Verbal Ability Problems</t>
        </is>
      </c>
      <c r="E544" s="2" t="n">
        <v>65</v>
      </c>
      <c r="F544" s="2" t="inlineStr">
        <is>
          <t>Grammatical Error Identification</t>
        </is>
      </c>
      <c r="G544" s="2" t="inlineStr">
        <is>
          <t>AGTCCR06</t>
        </is>
      </c>
      <c r="H544" s="2" t="inlineStr"/>
      <c r="I544" s="2" t="inlineStr">
        <is>
          <t>Easy</t>
        </is>
      </c>
      <c r="J544" s="3">
        <f>HYPERLINK("https://www.codechef.com/problems/AGTCCR06", "https://www.codechef.com/problems/AGTCCR06")</f>
        <v/>
      </c>
      <c r="K544" s="2" t="inlineStr"/>
      <c r="L544" s="2" t="inlineStr"/>
      <c r="M544" s="2" t="inlineStr"/>
      <c r="N544" s="2" t="inlineStr">
        <is>
          <t>No</t>
        </is>
      </c>
      <c r="O544" s="2" t="inlineStr">
        <is>
          <t>Unattempted</t>
        </is>
      </c>
    </row>
    <row r="545">
      <c r="A545" s="4" t="inlineStr">
        <is>
          <t>Company Based Questions</t>
        </is>
      </c>
      <c r="B545" s="4" t="inlineStr">
        <is>
          <t>Accenture Interview Questions</t>
        </is>
      </c>
      <c r="C545" s="4" t="inlineStr">
        <is>
          <t>Prepare for Accenture with previous years questions. Solve the coding, numerical ability, reasoning ability, verbal ability and quant questions which were asked in the past.</t>
        </is>
      </c>
      <c r="D545" s="4" t="inlineStr">
        <is>
          <t>Verbal Ability Problems - Past Years Verbal Ability Problems</t>
        </is>
      </c>
      <c r="E545" s="4" t="n">
        <v>66</v>
      </c>
      <c r="F545" s="4" t="inlineStr">
        <is>
          <t>Synonym for CANDID</t>
        </is>
      </c>
      <c r="G545" s="4" t="inlineStr">
        <is>
          <t>AGTCCR07</t>
        </is>
      </c>
      <c r="H545" s="4" t="inlineStr"/>
      <c r="I545" s="4" t="inlineStr">
        <is>
          <t>Easy</t>
        </is>
      </c>
      <c r="J545" s="5">
        <f>HYPERLINK("https://www.codechef.com/problems/AGTCCR07", "https://www.codechef.com/problems/AGTCCR07")</f>
        <v/>
      </c>
      <c r="K545" s="4" t="inlineStr"/>
      <c r="L545" s="4" t="inlineStr"/>
      <c r="M545" s="4" t="inlineStr"/>
      <c r="N545" s="4" t="inlineStr">
        <is>
          <t>No</t>
        </is>
      </c>
      <c r="O545" s="4" t="inlineStr">
        <is>
          <t>Unattempted</t>
        </is>
      </c>
    </row>
    <row r="546">
      <c r="A546" s="2" t="inlineStr">
        <is>
          <t>Company Based Questions</t>
        </is>
      </c>
      <c r="B546" s="2" t="inlineStr">
        <is>
          <t>Accenture Interview Questions</t>
        </is>
      </c>
      <c r="C546" s="2" t="inlineStr">
        <is>
          <t>Prepare for Accenture with previous years questions. Solve the coding, numerical ability, reasoning ability, verbal ability and quant questions which were asked in the past.</t>
        </is>
      </c>
      <c r="D546" s="2" t="inlineStr">
        <is>
          <t>Verbal Ability Problems - Past Years Verbal Ability Problems</t>
        </is>
      </c>
      <c r="E546" s="2" t="n">
        <v>67</v>
      </c>
      <c r="F546" s="2" t="inlineStr">
        <is>
          <t>Sentence Completion - Logical Consequence</t>
        </is>
      </c>
      <c r="G546" s="2" t="inlineStr">
        <is>
          <t>AGTCCR08</t>
        </is>
      </c>
      <c r="H546" s="2" t="inlineStr"/>
      <c r="I546" s="2" t="inlineStr">
        <is>
          <t>Easy</t>
        </is>
      </c>
      <c r="J546" s="3">
        <f>HYPERLINK("https://www.codechef.com/problems/AGTCCR08", "https://www.codechef.com/problems/AGTCCR08")</f>
        <v/>
      </c>
      <c r="K546" s="2" t="inlineStr"/>
      <c r="L546" s="2" t="inlineStr"/>
      <c r="M546" s="2" t="inlineStr"/>
      <c r="N546" s="2" t="inlineStr">
        <is>
          <t>No</t>
        </is>
      </c>
      <c r="O546" s="2" t="inlineStr">
        <is>
          <t>Unattempted</t>
        </is>
      </c>
    </row>
    <row r="547">
      <c r="A547" s="4" t="inlineStr">
        <is>
          <t>Company Based Questions</t>
        </is>
      </c>
      <c r="B547" s="4" t="inlineStr">
        <is>
          <t>Accenture Interview Questions</t>
        </is>
      </c>
      <c r="C547" s="4" t="inlineStr">
        <is>
          <t>Prepare for Accenture with previous years questions. Solve the coding, numerical ability, reasoning ability, verbal ability and quant questions which were asked in the past.</t>
        </is>
      </c>
      <c r="D547" s="4" t="inlineStr">
        <is>
          <t>Verbal Ability Problems - Past Years Verbal Ability Problems</t>
        </is>
      </c>
      <c r="E547" s="4" t="n">
        <v>68</v>
      </c>
      <c r="F547" s="4" t="inlineStr">
        <is>
          <t>Vocabulary - Fill in the Blank</t>
        </is>
      </c>
      <c r="G547" s="4" t="inlineStr">
        <is>
          <t>AGTCCR09</t>
        </is>
      </c>
      <c r="H547" s="4" t="inlineStr"/>
      <c r="I547" s="4" t="inlineStr">
        <is>
          <t>Easy</t>
        </is>
      </c>
      <c r="J547" s="5">
        <f>HYPERLINK("https://www.codechef.com/problems/AGTCCR09", "https://www.codechef.com/problems/AGTCCR09")</f>
        <v/>
      </c>
      <c r="K547" s="4" t="inlineStr"/>
      <c r="L547" s="4" t="inlineStr"/>
      <c r="M547" s="4" t="inlineStr"/>
      <c r="N547" s="4" t="inlineStr">
        <is>
          <t>No</t>
        </is>
      </c>
      <c r="O547" s="4" t="inlineStr">
        <is>
          <t>Unattempted</t>
        </is>
      </c>
    </row>
    <row r="548">
      <c r="A548" s="2" t="inlineStr">
        <is>
          <t>Company Based Questions</t>
        </is>
      </c>
      <c r="B548" s="2" t="inlineStr">
        <is>
          <t>Accenture Interview Questions</t>
        </is>
      </c>
      <c r="C548" s="2" t="inlineStr">
        <is>
          <t>Prepare for Accenture with previous years questions. Solve the coding, numerical ability, reasoning ability, verbal ability and quant questions which were asked in the past.</t>
        </is>
      </c>
      <c r="D548" s="2" t="inlineStr">
        <is>
          <t>Verbal Ability Problems - Past Years Verbal Ability Problems</t>
        </is>
      </c>
      <c r="E548" s="2" t="n">
        <v>69</v>
      </c>
      <c r="F548" s="2" t="inlineStr">
        <is>
          <t>Antonym of Abundant</t>
        </is>
      </c>
      <c r="G548" s="2" t="inlineStr">
        <is>
          <t>AGTCCR13</t>
        </is>
      </c>
      <c r="H548" s="2" t="inlineStr"/>
      <c r="I548" s="2" t="inlineStr">
        <is>
          <t>Easy</t>
        </is>
      </c>
      <c r="J548" s="3">
        <f>HYPERLINK("https://www.codechef.com/problems/AGTCCR13", "https://www.codechef.com/problems/AGTCCR13")</f>
        <v/>
      </c>
      <c r="K548" s="2" t="inlineStr"/>
      <c r="L548" s="2" t="inlineStr"/>
      <c r="M548" s="2" t="inlineStr"/>
      <c r="N548" s="2" t="inlineStr">
        <is>
          <t>No</t>
        </is>
      </c>
      <c r="O548" s="2" t="inlineStr">
        <is>
          <t>Unattempted</t>
        </is>
      </c>
    </row>
    <row r="549">
      <c r="A549" s="4" t="inlineStr">
        <is>
          <t>Company Based Questions</t>
        </is>
      </c>
      <c r="B549" s="4" t="inlineStr">
        <is>
          <t>Accenture Interview Questions</t>
        </is>
      </c>
      <c r="C549" s="4" t="inlineStr">
        <is>
          <t>Prepare for Accenture with previous years questions. Solve the coding, numerical ability, reasoning ability, verbal ability and quant questions which were asked in the past.</t>
        </is>
      </c>
      <c r="D549" s="4" t="inlineStr">
        <is>
          <t>Verbal Ability Problems - Past Years Verbal Ability Problems</t>
        </is>
      </c>
      <c r="E549" s="4" t="n">
        <v>70</v>
      </c>
      <c r="F549" s="4" t="inlineStr">
        <is>
          <t>Jumbled Sentence Arrangement</t>
        </is>
      </c>
      <c r="G549" s="4" t="inlineStr">
        <is>
          <t>AGTCCR14</t>
        </is>
      </c>
      <c r="H549" s="4" t="inlineStr"/>
      <c r="I549" s="4" t="inlineStr">
        <is>
          <t>Easy</t>
        </is>
      </c>
      <c r="J549" s="5">
        <f>HYPERLINK("https://www.codechef.com/problems/AGTCCR14", "https://www.codechef.com/problems/AGTCCR14")</f>
        <v/>
      </c>
      <c r="K549" s="4" t="inlineStr"/>
      <c r="L549" s="4" t="inlineStr"/>
      <c r="M549" s="4" t="inlineStr"/>
      <c r="N549" s="4" t="inlineStr">
        <is>
          <t>No</t>
        </is>
      </c>
      <c r="O549" s="4" t="inlineStr">
        <is>
          <t>Unattempted</t>
        </is>
      </c>
    </row>
    <row r="550">
      <c r="A550" s="2" t="inlineStr">
        <is>
          <t>Company Based Questions</t>
        </is>
      </c>
      <c r="B550" s="2" t="inlineStr">
        <is>
          <t>Accenture Interview Questions</t>
        </is>
      </c>
      <c r="C550" s="2" t="inlineStr">
        <is>
          <t>Prepare for Accenture with previous years questions. Solve the coding, numerical ability, reasoning ability, verbal ability and quant questions which were asked in the past.</t>
        </is>
      </c>
      <c r="D550" s="2" t="inlineStr">
        <is>
          <t>Verbal Ability Problems - Past Years Verbal Ability Problems</t>
        </is>
      </c>
      <c r="E550" s="2" t="n">
        <v>71</v>
      </c>
      <c r="F550" s="2" t="inlineStr">
        <is>
          <t>Present Continuous for Future Plans</t>
        </is>
      </c>
      <c r="G550" s="2" t="inlineStr">
        <is>
          <t>AGTCCR15</t>
        </is>
      </c>
      <c r="H550" s="2" t="inlineStr"/>
      <c r="I550" s="2" t="inlineStr">
        <is>
          <t>Easy</t>
        </is>
      </c>
      <c r="J550" s="3">
        <f>HYPERLINK("https://www.codechef.com/problems/AGTCCR15", "https://www.codechef.com/problems/AGTCCR15")</f>
        <v/>
      </c>
      <c r="K550" s="2" t="inlineStr"/>
      <c r="L550" s="2" t="inlineStr"/>
      <c r="M550" s="2" t="inlineStr"/>
      <c r="N550" s="2" t="inlineStr">
        <is>
          <t>No</t>
        </is>
      </c>
      <c r="O550" s="2" t="inlineStr">
        <is>
          <t>Unattempted</t>
        </is>
      </c>
    </row>
    <row r="551">
      <c r="A551" s="4" t="inlineStr">
        <is>
          <t>Company Based Questions</t>
        </is>
      </c>
      <c r="B551" s="4" t="inlineStr">
        <is>
          <t>Accenture Interview Questions</t>
        </is>
      </c>
      <c r="C551" s="4" t="inlineStr">
        <is>
          <t>Prepare for Accenture with previous years questions. Solve the coding, numerical ability, reasoning ability, verbal ability and quant questions which were asked in the past.</t>
        </is>
      </c>
      <c r="D551" s="4" t="inlineStr">
        <is>
          <t>Verbal Ability Problems - Past Years Verbal Ability Problems</t>
        </is>
      </c>
      <c r="E551" s="4" t="n">
        <v>72</v>
      </c>
      <c r="F551" s="4" t="inlineStr">
        <is>
          <t>Jumbled Sentences Rearrangement</t>
        </is>
      </c>
      <c r="G551" s="4" t="inlineStr">
        <is>
          <t>AGTCCR16</t>
        </is>
      </c>
      <c r="H551" s="4" t="inlineStr"/>
      <c r="I551" s="4" t="inlineStr">
        <is>
          <t>Easy</t>
        </is>
      </c>
      <c r="J551" s="5">
        <f>HYPERLINK("https://www.codechef.com/problems/AGTCCR16", "https://www.codechef.com/problems/AGTCCR16")</f>
        <v/>
      </c>
      <c r="K551" s="4" t="inlineStr"/>
      <c r="L551" s="4" t="inlineStr"/>
      <c r="M551" s="4" t="inlineStr"/>
      <c r="N551" s="4" t="inlineStr">
        <is>
          <t>No</t>
        </is>
      </c>
      <c r="O551" s="4" t="inlineStr">
        <is>
          <t>Unattempted</t>
        </is>
      </c>
    </row>
    <row r="552">
      <c r="A552" s="2" t="inlineStr">
        <is>
          <t>Company Based Questions</t>
        </is>
      </c>
      <c r="B552" s="2" t="inlineStr">
        <is>
          <t>Accenture Interview Questions</t>
        </is>
      </c>
      <c r="C552" s="2" t="inlineStr">
        <is>
          <t>Prepare for Accenture with previous years questions. Solve the coding, numerical ability, reasoning ability, verbal ability and quant questions which were asked in the past.</t>
        </is>
      </c>
      <c r="D552" s="2" t="inlineStr">
        <is>
          <t>Technical Questions - Past Years Technical Questions</t>
        </is>
      </c>
      <c r="E552" s="2" t="n">
        <v>73</v>
      </c>
      <c r="F552" s="2" t="inlineStr">
        <is>
          <t>Excel Shortcut</t>
        </is>
      </c>
      <c r="G552" s="2" t="inlineStr">
        <is>
          <t>AGTCCR35</t>
        </is>
      </c>
      <c r="H552" s="2" t="inlineStr"/>
      <c r="I552" s="2" t="inlineStr">
        <is>
          <t>Easy</t>
        </is>
      </c>
      <c r="J552" s="3">
        <f>HYPERLINK("https://www.codechef.com/problems/AGTCCR35", "https://www.codechef.com/problems/AGTCCR35")</f>
        <v/>
      </c>
      <c r="K552" s="2" t="inlineStr"/>
      <c r="L552" s="2" t="inlineStr"/>
      <c r="M552" s="2" t="inlineStr"/>
      <c r="N552" s="2" t="inlineStr">
        <is>
          <t>No</t>
        </is>
      </c>
      <c r="O552" s="2" t="inlineStr">
        <is>
          <t>Unattempted</t>
        </is>
      </c>
    </row>
    <row r="553">
      <c r="A553" s="4" t="inlineStr">
        <is>
          <t>Company Based Questions</t>
        </is>
      </c>
      <c r="B553" s="4" t="inlineStr">
        <is>
          <t>Accenture Interview Questions</t>
        </is>
      </c>
      <c r="C553" s="4" t="inlineStr">
        <is>
          <t>Prepare for Accenture with previous years questions. Solve the coding, numerical ability, reasoning ability, verbal ability and quant questions which were asked in the past.</t>
        </is>
      </c>
      <c r="D553" s="4" t="inlineStr">
        <is>
          <t>Technical Questions - Past Years Technical Questions</t>
        </is>
      </c>
      <c r="E553" s="4" t="n">
        <v>74</v>
      </c>
      <c r="F553" s="4" t="inlineStr">
        <is>
          <t>MS PowerPoint Executable File Name</t>
        </is>
      </c>
      <c r="G553" s="4" t="inlineStr">
        <is>
          <t>AGTCCR36</t>
        </is>
      </c>
      <c r="H553" s="4" t="inlineStr"/>
      <c r="I553" s="4" t="inlineStr">
        <is>
          <t>Easy</t>
        </is>
      </c>
      <c r="J553" s="5">
        <f>HYPERLINK("https://www.codechef.com/problems/AGTCCR36", "https://www.codechef.com/problems/AGTCCR36")</f>
        <v/>
      </c>
      <c r="K553" s="4" t="inlineStr"/>
      <c r="L553" s="4" t="inlineStr"/>
      <c r="M553" s="4" t="inlineStr"/>
      <c r="N553" s="4" t="inlineStr">
        <is>
          <t>No</t>
        </is>
      </c>
      <c r="O553" s="4" t="inlineStr">
        <is>
          <t>Unattempted</t>
        </is>
      </c>
    </row>
    <row r="554">
      <c r="A554" s="2" t="inlineStr">
        <is>
          <t>Company Based Questions</t>
        </is>
      </c>
      <c r="B554" s="2" t="inlineStr">
        <is>
          <t>Accenture Interview Questions</t>
        </is>
      </c>
      <c r="C554" s="2" t="inlineStr">
        <is>
          <t>Prepare for Accenture with previous years questions. Solve the coding, numerical ability, reasoning ability, verbal ability and quant questions which were asked in the past.</t>
        </is>
      </c>
      <c r="D554" s="2" t="inlineStr">
        <is>
          <t>Technical Questions - Past Years Technical Questions</t>
        </is>
      </c>
      <c r="E554" s="2" t="n">
        <v>75</v>
      </c>
      <c r="F554" s="2" t="inlineStr">
        <is>
          <t>Spreadsheet Formatting Logic</t>
        </is>
      </c>
      <c r="G554" s="2" t="inlineStr">
        <is>
          <t>AGTCCR37</t>
        </is>
      </c>
      <c r="H554" s="2" t="inlineStr"/>
      <c r="I554" s="2" t="inlineStr">
        <is>
          <t>Easy</t>
        </is>
      </c>
      <c r="J554" s="3">
        <f>HYPERLINK("https://www.codechef.com/problems/AGTCCR37", "https://www.codechef.com/problems/AGTCCR37")</f>
        <v/>
      </c>
      <c r="K554" s="2" t="inlineStr"/>
      <c r="L554" s="2" t="inlineStr"/>
      <c r="M554" s="2" t="inlineStr"/>
      <c r="N554" s="2" t="inlineStr">
        <is>
          <t>No</t>
        </is>
      </c>
      <c r="O554" s="2" t="inlineStr">
        <is>
          <t>Unattempted</t>
        </is>
      </c>
    </row>
    <row r="555">
      <c r="A555" s="4" t="inlineStr">
        <is>
          <t>Company Based Questions</t>
        </is>
      </c>
      <c r="B555" s="4" t="inlineStr">
        <is>
          <t>Accenture Interview Questions</t>
        </is>
      </c>
      <c r="C555" s="4" t="inlineStr">
        <is>
          <t>Prepare for Accenture with previous years questions. Solve the coding, numerical ability, reasoning ability, verbal ability and quant questions which were asked in the past.</t>
        </is>
      </c>
      <c r="D555" s="4" t="inlineStr">
        <is>
          <t>Technical Questions - Past Years Technical Questions</t>
        </is>
      </c>
      <c r="E555" s="4" t="n">
        <v>76</v>
      </c>
      <c r="F555" s="4" t="inlineStr">
        <is>
          <t>Selecting a Cell Range in Excel</t>
        </is>
      </c>
      <c r="G555" s="4" t="inlineStr">
        <is>
          <t>AGTCCR38</t>
        </is>
      </c>
      <c r="H555" s="4" t="inlineStr"/>
      <c r="I555" s="4" t="inlineStr">
        <is>
          <t>Easy</t>
        </is>
      </c>
      <c r="J555" s="5">
        <f>HYPERLINK("https://www.codechef.com/problems/AGTCCR38", "https://www.codechef.com/problems/AGTCCR38")</f>
        <v/>
      </c>
      <c r="K555" s="4" t="inlineStr"/>
      <c r="L555" s="4" t="inlineStr"/>
      <c r="M555" s="4" t="inlineStr"/>
      <c r="N555" s="4" t="inlineStr">
        <is>
          <t>No</t>
        </is>
      </c>
      <c r="O555" s="4" t="inlineStr">
        <is>
          <t>Unattempted</t>
        </is>
      </c>
    </row>
    <row r="556">
      <c r="A556" s="2" t="inlineStr">
        <is>
          <t>Company Based Questions</t>
        </is>
      </c>
      <c r="B556" s="2" t="inlineStr">
        <is>
          <t>Accenture Interview Questions</t>
        </is>
      </c>
      <c r="C556" s="2" t="inlineStr">
        <is>
          <t>Prepare for Accenture with previous years questions. Solve the coding, numerical ability, reasoning ability, verbal ability and quant questions which were asked in the past.</t>
        </is>
      </c>
      <c r="D556" s="2" t="inlineStr">
        <is>
          <t>Technical Questions - Past Years Technical Questions</t>
        </is>
      </c>
      <c r="E556" s="2" t="n">
        <v>77</v>
      </c>
      <c r="F556" s="2" t="inlineStr">
        <is>
          <t>Operating System Interface Type</t>
        </is>
      </c>
      <c r="G556" s="2" t="inlineStr">
        <is>
          <t>AGTCCR39</t>
        </is>
      </c>
      <c r="H556" s="2" t="inlineStr"/>
      <c r="I556" s="2" t="inlineStr">
        <is>
          <t>Easy</t>
        </is>
      </c>
      <c r="J556" s="3">
        <f>HYPERLINK("https://www.codechef.com/problems/AGTCCR39", "https://www.codechef.com/problems/AGTCCR39")</f>
        <v/>
      </c>
      <c r="K556" s="2" t="inlineStr"/>
      <c r="L556" s="2" t="inlineStr"/>
      <c r="M556" s="2" t="inlineStr"/>
      <c r="N556" s="2" t="inlineStr">
        <is>
          <t>No</t>
        </is>
      </c>
      <c r="O556" s="2" t="inlineStr">
        <is>
          <t>Unattempted</t>
        </is>
      </c>
    </row>
    <row r="557">
      <c r="A557" s="4" t="inlineStr">
        <is>
          <t>Company Based Questions</t>
        </is>
      </c>
      <c r="B557" s="4" t="inlineStr">
        <is>
          <t>Accenture Interview Questions</t>
        </is>
      </c>
      <c r="C557" s="4" t="inlineStr">
        <is>
          <t>Prepare for Accenture with previous years questions. Solve the coding, numerical ability, reasoning ability, verbal ability and quant questions which were asked in the past.</t>
        </is>
      </c>
      <c r="D557" s="4" t="inlineStr">
        <is>
          <t>Technical Questions - Past Years Technical Questions</t>
        </is>
      </c>
      <c r="E557" s="4" t="n">
        <v>78</v>
      </c>
      <c r="F557" s="4" t="inlineStr">
        <is>
          <t>Moving a File on a Computer</t>
        </is>
      </c>
      <c r="G557" s="4" t="inlineStr">
        <is>
          <t>AGTCCR40</t>
        </is>
      </c>
      <c r="H557" s="4" t="inlineStr"/>
      <c r="I557" s="4" t="inlineStr">
        <is>
          <t>Easy</t>
        </is>
      </c>
      <c r="J557" s="5">
        <f>HYPERLINK("https://www.codechef.com/problems/AGTCCR40", "https://www.codechef.com/problems/AGTCCR40")</f>
        <v/>
      </c>
      <c r="K557" s="4" t="inlineStr"/>
      <c r="L557" s="4" t="inlineStr"/>
      <c r="M557" s="4" t="inlineStr"/>
      <c r="N557" s="4" t="inlineStr">
        <is>
          <t>No</t>
        </is>
      </c>
      <c r="O557" s="4" t="inlineStr">
        <is>
          <t>Unattempted</t>
        </is>
      </c>
    </row>
    <row r="558">
      <c r="A558" s="2" t="inlineStr">
        <is>
          <t>Company Based Questions</t>
        </is>
      </c>
      <c r="B558" s="2" t="inlineStr">
        <is>
          <t>Accenture Interview Questions</t>
        </is>
      </c>
      <c r="C558" s="2" t="inlineStr">
        <is>
          <t>Prepare for Accenture with previous years questions. Solve the coding, numerical ability, reasoning ability, verbal ability and quant questions which were asked in the past.</t>
        </is>
      </c>
      <c r="D558" s="2" t="inlineStr">
        <is>
          <t>Technical Questions - Past Years Technical Questions</t>
        </is>
      </c>
      <c r="E558" s="2" t="n">
        <v>79</v>
      </c>
      <c r="F558" s="2" t="inlineStr">
        <is>
          <t>Keyboard Shortcut for Selecting All Content</t>
        </is>
      </c>
      <c r="G558" s="2" t="inlineStr">
        <is>
          <t>AGTCCR41</t>
        </is>
      </c>
      <c r="H558" s="2" t="inlineStr"/>
      <c r="I558" s="2" t="inlineStr">
        <is>
          <t>Easy</t>
        </is>
      </c>
      <c r="J558" s="3">
        <f>HYPERLINK("https://www.codechef.com/problems/AGTCCR41", "https://www.codechef.com/problems/AGTCCR41")</f>
        <v/>
      </c>
      <c r="K558" s="2" t="inlineStr"/>
      <c r="L558" s="2" t="inlineStr"/>
      <c r="M558" s="2" t="inlineStr"/>
      <c r="N558" s="2" t="inlineStr">
        <is>
          <t>No</t>
        </is>
      </c>
      <c r="O558" s="2" t="inlineStr">
        <is>
          <t>Unattempted</t>
        </is>
      </c>
    </row>
    <row r="559">
      <c r="A559" s="4" t="inlineStr">
        <is>
          <t>Company Based Questions</t>
        </is>
      </c>
      <c r="B559" s="4" t="inlineStr">
        <is>
          <t>Accenture Interview Questions</t>
        </is>
      </c>
      <c r="C559" s="4" t="inlineStr">
        <is>
          <t>Prepare for Accenture with previous years questions. Solve the coding, numerical ability, reasoning ability, verbal ability and quant questions which were asked in the past.</t>
        </is>
      </c>
      <c r="D559" s="4" t="inlineStr">
        <is>
          <t>Technical Questions - Past Years Technical Questions</t>
        </is>
      </c>
      <c r="E559" s="4" t="n">
        <v>80</v>
      </c>
      <c r="F559" s="4" t="inlineStr">
        <is>
          <t>MS Word Background Text Feature</t>
        </is>
      </c>
      <c r="G559" s="4" t="inlineStr">
        <is>
          <t>AGTCCR42</t>
        </is>
      </c>
      <c r="H559" s="4" t="inlineStr"/>
      <c r="I559" s="4" t="inlineStr">
        <is>
          <t>Easy</t>
        </is>
      </c>
      <c r="J559" s="5">
        <f>HYPERLINK("https://www.codechef.com/problems/AGTCCR42", "https://www.codechef.com/problems/AGTCCR42")</f>
        <v/>
      </c>
      <c r="K559" s="4" t="inlineStr"/>
      <c r="L559" s="4" t="inlineStr"/>
      <c r="M559" s="4" t="inlineStr"/>
      <c r="N559" s="4" t="inlineStr">
        <is>
          <t>No</t>
        </is>
      </c>
      <c r="O559" s="4" t="inlineStr">
        <is>
          <t>Unattempted</t>
        </is>
      </c>
    </row>
    <row r="560">
      <c r="A560" s="2" t="inlineStr">
        <is>
          <t>Company Based Questions</t>
        </is>
      </c>
      <c r="B560" s="2" t="inlineStr">
        <is>
          <t>Accenture Interview Questions</t>
        </is>
      </c>
      <c r="C560" s="2" t="inlineStr">
        <is>
          <t>Prepare for Accenture with previous years questions. Solve the coding, numerical ability, reasoning ability, verbal ability and quant questions which were asked in the past.</t>
        </is>
      </c>
      <c r="D560" s="2" t="inlineStr">
        <is>
          <t>Technical Questions - Past Years Technical Questions</t>
        </is>
      </c>
      <c r="E560" s="2" t="n">
        <v>81</v>
      </c>
      <c r="F560" s="2" t="inlineStr">
        <is>
          <t>MS-Word Save Shortcut Key</t>
        </is>
      </c>
      <c r="G560" s="2" t="inlineStr">
        <is>
          <t>AGTCCR43</t>
        </is>
      </c>
      <c r="H560" s="2" t="inlineStr"/>
      <c r="I560" s="2" t="inlineStr">
        <is>
          <t>Easy</t>
        </is>
      </c>
      <c r="J560" s="3">
        <f>HYPERLINK("https://www.codechef.com/problems/AGTCCR43", "https://www.codechef.com/problems/AGTCCR43")</f>
        <v/>
      </c>
      <c r="K560" s="2" t="inlineStr"/>
      <c r="L560" s="2" t="inlineStr"/>
      <c r="M560" s="2" t="inlineStr"/>
      <c r="N560" s="2" t="inlineStr">
        <is>
          <t>No</t>
        </is>
      </c>
      <c r="O560" s="2" t="inlineStr">
        <is>
          <t>Unattempted</t>
        </is>
      </c>
    </row>
    <row r="561">
      <c r="A561" s="4" t="inlineStr">
        <is>
          <t>Company Based Questions</t>
        </is>
      </c>
      <c r="B561" s="4" t="inlineStr">
        <is>
          <t>Accenture Interview Questions</t>
        </is>
      </c>
      <c r="C561" s="4" t="inlineStr">
        <is>
          <t>Prepare for Accenture with previous years questions. Solve the coding, numerical ability, reasoning ability, verbal ability and quant questions which were asked in the past.</t>
        </is>
      </c>
      <c r="D561" s="4" t="inlineStr">
        <is>
          <t>Technical Questions - Past Years Technical Questions</t>
        </is>
      </c>
      <c r="E561" s="4" t="n">
        <v>82</v>
      </c>
      <c r="F561" s="4" t="inlineStr">
        <is>
          <t>MS Word Save As Shortcut Key</t>
        </is>
      </c>
      <c r="G561" s="4" t="inlineStr">
        <is>
          <t>AGTCCR44</t>
        </is>
      </c>
      <c r="H561" s="4" t="inlineStr"/>
      <c r="I561" s="4" t="inlineStr">
        <is>
          <t>Easy</t>
        </is>
      </c>
      <c r="J561" s="5">
        <f>HYPERLINK("https://www.codechef.com/problems/AGTCCR44", "https://www.codechef.com/problems/AGTCCR44")</f>
        <v/>
      </c>
      <c r="K561" s="4" t="inlineStr"/>
      <c r="L561" s="4" t="inlineStr"/>
      <c r="M561" s="4" t="inlineStr"/>
      <c r="N561" s="4" t="inlineStr">
        <is>
          <t>No</t>
        </is>
      </c>
      <c r="O561" s="4" t="inlineStr">
        <is>
          <t>Unattempted</t>
        </is>
      </c>
    </row>
    <row r="562">
      <c r="A562" s="2" t="inlineStr">
        <is>
          <t>Company Based Questions</t>
        </is>
      </c>
      <c r="B562" s="2" t="inlineStr">
        <is>
          <t>Accenture Interview Questions</t>
        </is>
      </c>
      <c r="C562" s="2" t="inlineStr">
        <is>
          <t>Prepare for Accenture with previous years questions. Solve the coding, numerical ability, reasoning ability, verbal ability and quant questions which were asked in the past.</t>
        </is>
      </c>
      <c r="D562" s="2" t="inlineStr">
        <is>
          <t>Technical Questions - Past Years Technical Questions</t>
        </is>
      </c>
      <c r="E562" s="2" t="n">
        <v>83</v>
      </c>
      <c r="F562" s="2" t="inlineStr">
        <is>
          <t>Browser Shortcut: Ctrl+F</t>
        </is>
      </c>
      <c r="G562" s="2" t="inlineStr">
        <is>
          <t>AGTCCR45</t>
        </is>
      </c>
      <c r="H562" s="2" t="inlineStr"/>
      <c r="I562" s="2" t="inlineStr">
        <is>
          <t>Easy</t>
        </is>
      </c>
      <c r="J562" s="3">
        <f>HYPERLINK("https://www.codechef.com/problems/AGTCCR45", "https://www.codechef.com/problems/AGTCCR45")</f>
        <v/>
      </c>
      <c r="K562" s="2" t="inlineStr"/>
      <c r="L562" s="2" t="inlineStr"/>
      <c r="M562" s="2" t="inlineStr"/>
      <c r="N562" s="2" t="inlineStr">
        <is>
          <t>No</t>
        </is>
      </c>
      <c r="O562" s="2" t="inlineStr">
        <is>
          <t>Unattempted</t>
        </is>
      </c>
    </row>
    <row r="563">
      <c r="A563" s="4" t="inlineStr">
        <is>
          <t>Company Based Questions</t>
        </is>
      </c>
      <c r="B563" s="4" t="inlineStr">
        <is>
          <t>Accenture Interview Questions</t>
        </is>
      </c>
      <c r="C563" s="4" t="inlineStr">
        <is>
          <t>Prepare for Accenture with previous years questions. Solve the coding, numerical ability, reasoning ability, verbal ability and quant questions which were asked in the past.</t>
        </is>
      </c>
      <c r="D563" s="4" t="inlineStr">
        <is>
          <t>Technical Questions - Past Years Technical Questions</t>
        </is>
      </c>
      <c r="E563" s="4" t="n">
        <v>84</v>
      </c>
      <c r="F563" s="4" t="inlineStr">
        <is>
          <t>MS Excel Default Worksheets</t>
        </is>
      </c>
      <c r="G563" s="4" t="inlineStr">
        <is>
          <t>AGTCCR46</t>
        </is>
      </c>
      <c r="H563" s="4" t="inlineStr"/>
      <c r="I563" s="4" t="inlineStr">
        <is>
          <t>Easy</t>
        </is>
      </c>
      <c r="J563" s="5">
        <f>HYPERLINK("https://www.codechef.com/problems/AGTCCR46", "https://www.codechef.com/problems/AGTCCR46")</f>
        <v/>
      </c>
      <c r="K563" s="4" t="inlineStr"/>
      <c r="L563" s="4" t="inlineStr"/>
      <c r="M563" s="4" t="inlineStr"/>
      <c r="N563" s="4" t="inlineStr">
        <is>
          <t>No</t>
        </is>
      </c>
      <c r="O563" s="4" t="inlineStr">
        <is>
          <t>Unattempted</t>
        </is>
      </c>
    </row>
    <row r="564">
      <c r="A564" s="2" t="inlineStr">
        <is>
          <t>Company Based Questions</t>
        </is>
      </c>
      <c r="B564" s="2" t="inlineStr">
        <is>
          <t>Accenture Interview Questions</t>
        </is>
      </c>
      <c r="C564" s="2" t="inlineStr">
        <is>
          <t>Prepare for Accenture with previous years questions. Solve the coding, numerical ability, reasoning ability, verbal ability and quant questions which were asked in the past.</t>
        </is>
      </c>
      <c r="D564" s="2" t="inlineStr">
        <is>
          <t>Technical Questions - Past Years Technical Questions</t>
        </is>
      </c>
      <c r="E564" s="2" t="n">
        <v>85</v>
      </c>
      <c r="F564" s="2" t="inlineStr">
        <is>
          <t>Factors Affecting Computer Performance</t>
        </is>
      </c>
      <c r="G564" s="2" t="inlineStr">
        <is>
          <t>AGTCCR10</t>
        </is>
      </c>
      <c r="H564" s="2" t="inlineStr"/>
      <c r="I564" s="2" t="inlineStr">
        <is>
          <t>Easy</t>
        </is>
      </c>
      <c r="J564" s="3">
        <f>HYPERLINK("https://www.codechef.com/problems/AGTCCR10", "https://www.codechef.com/problems/AGTCCR10")</f>
        <v/>
      </c>
      <c r="K564" s="2" t="inlineStr"/>
      <c r="L564" s="2" t="inlineStr"/>
      <c r="M564" s="2" t="inlineStr"/>
      <c r="N564" s="2" t="inlineStr">
        <is>
          <t>No</t>
        </is>
      </c>
      <c r="O564" s="2" t="inlineStr">
        <is>
          <t>Unattempted</t>
        </is>
      </c>
    </row>
    <row r="565">
      <c r="A565" s="4" t="inlineStr">
        <is>
          <t>Company Based Questions</t>
        </is>
      </c>
      <c r="B565" s="4" t="inlineStr">
        <is>
          <t>Accenture Interview Questions</t>
        </is>
      </c>
      <c r="C565" s="4" t="inlineStr">
        <is>
          <t>Prepare for Accenture with previous years questions. Solve the coding, numerical ability, reasoning ability, verbal ability and quant questions which were asked in the past.</t>
        </is>
      </c>
      <c r="D565" s="4" t="inlineStr">
        <is>
          <t>Technical Questions - Past Years Technical Questions</t>
        </is>
      </c>
      <c r="E565" s="4" t="n">
        <v>86</v>
      </c>
      <c r="F565" s="4" t="inlineStr">
        <is>
          <t>Programming Concepts</t>
        </is>
      </c>
      <c r="G565" s="4" t="inlineStr">
        <is>
          <t>AGTCCR11</t>
        </is>
      </c>
      <c r="H565" s="4" t="inlineStr"/>
      <c r="I565" s="4" t="inlineStr">
        <is>
          <t>Easy</t>
        </is>
      </c>
      <c r="J565" s="5">
        <f>HYPERLINK("https://www.codechef.com/problems/AGTCCR11", "https://www.codechef.com/problems/AGTCCR11")</f>
        <v/>
      </c>
      <c r="K565" s="4" t="inlineStr"/>
      <c r="L565" s="4" t="inlineStr"/>
      <c r="M565" s="4" t="inlineStr"/>
      <c r="N565" s="4" t="inlineStr">
        <is>
          <t>No</t>
        </is>
      </c>
      <c r="O565" s="4" t="inlineStr">
        <is>
          <t>Unattempted</t>
        </is>
      </c>
    </row>
    <row r="566">
      <c r="A566" s="2" t="inlineStr">
        <is>
          <t>Company Based Questions</t>
        </is>
      </c>
      <c r="B566" s="2" t="inlineStr">
        <is>
          <t>Accenture Interview Questions</t>
        </is>
      </c>
      <c r="C566" s="2" t="inlineStr">
        <is>
          <t>Prepare for Accenture with previous years questions. Solve the coding, numerical ability, reasoning ability, verbal ability and quant questions which were asked in the past.</t>
        </is>
      </c>
      <c r="D566" s="2" t="inlineStr">
        <is>
          <t>Technical Questions - Past Years Technical Questions</t>
        </is>
      </c>
      <c r="E566" s="2" t="n">
        <v>87</v>
      </c>
      <c r="F566" s="2" t="inlineStr">
        <is>
          <t>Understanding Cognition</t>
        </is>
      </c>
      <c r="G566" s="2" t="inlineStr">
        <is>
          <t>AGTCCR12</t>
        </is>
      </c>
      <c r="H566" s="2" t="inlineStr"/>
      <c r="I566" s="2" t="inlineStr">
        <is>
          <t>Easy</t>
        </is>
      </c>
      <c r="J566" s="3">
        <f>HYPERLINK("https://www.codechef.com/problems/AGTCCR12", "https://www.codechef.com/problems/AGTCCR12")</f>
        <v/>
      </c>
      <c r="K566" s="2" t="inlineStr"/>
      <c r="L566" s="2" t="inlineStr"/>
      <c r="M566" s="2" t="inlineStr"/>
      <c r="N566" s="2" t="inlineStr">
        <is>
          <t>No</t>
        </is>
      </c>
      <c r="O566" s="2" t="inlineStr">
        <is>
          <t>Unattempted</t>
        </is>
      </c>
    </row>
    <row r="567">
      <c r="A567" s="4" t="inlineStr">
        <is>
          <t>Company Based Questions</t>
        </is>
      </c>
      <c r="B567" s="4" t="inlineStr">
        <is>
          <t>Accenture Interview Questions</t>
        </is>
      </c>
      <c r="C567" s="4" t="inlineStr">
        <is>
          <t>Prepare for Accenture with previous years questions. Solve the coding, numerical ability, reasoning ability, verbal ability and quant questions which were asked in the past.</t>
        </is>
      </c>
      <c r="D567" s="4" t="inlineStr">
        <is>
          <t>Technical Questions - Past Years Technical Questions</t>
        </is>
      </c>
      <c r="E567" s="4" t="n">
        <v>88</v>
      </c>
      <c r="F567" s="4" t="inlineStr">
        <is>
          <t>OSI Layer for Link-Level Error Checking</t>
        </is>
      </c>
      <c r="G567" s="4" t="inlineStr">
        <is>
          <t>TDWDDE01</t>
        </is>
      </c>
      <c r="H567" s="4" t="inlineStr"/>
      <c r="I567" s="4" t="inlineStr">
        <is>
          <t>Easy</t>
        </is>
      </c>
      <c r="J567" s="5">
        <f>HYPERLINK("https://www.codechef.com/problems/TDWDDE01", "https://www.codechef.com/problems/TDWDDE01")</f>
        <v/>
      </c>
      <c r="K567" s="4" t="inlineStr"/>
      <c r="L567" s="4" t="inlineStr"/>
      <c r="M567" s="4" t="inlineStr"/>
      <c r="N567" s="4" t="inlineStr">
        <is>
          <t>No</t>
        </is>
      </c>
      <c r="O567" s="4" t="inlineStr">
        <is>
          <t>Unattempted</t>
        </is>
      </c>
    </row>
    <row r="568">
      <c r="A568" s="2" t="inlineStr">
        <is>
          <t>Company Based Questions</t>
        </is>
      </c>
      <c r="B568" s="2" t="inlineStr">
        <is>
          <t>Accenture Interview Questions</t>
        </is>
      </c>
      <c r="C568" s="2" t="inlineStr">
        <is>
          <t>Prepare for Accenture with previous years questions. Solve the coding, numerical ability, reasoning ability, verbal ability and quant questions which were asked in the past.</t>
        </is>
      </c>
      <c r="D568" s="2" t="inlineStr">
        <is>
          <t>Technical Questions - Past Years Technical Questions</t>
        </is>
      </c>
      <c r="E568" s="2" t="n">
        <v>89</v>
      </c>
      <c r="F568" s="2" t="inlineStr">
        <is>
          <t>Command for Listing Directory Contents</t>
        </is>
      </c>
      <c r="G568" s="2" t="inlineStr">
        <is>
          <t>TDWDDE02</t>
        </is>
      </c>
      <c r="H568" s="2" t="inlineStr"/>
      <c r="I568" s="2" t="inlineStr">
        <is>
          <t>Easy</t>
        </is>
      </c>
      <c r="J568" s="3">
        <f>HYPERLINK("https://www.codechef.com/problems/TDWDDE02", "https://www.codechef.com/problems/TDWDDE02")</f>
        <v/>
      </c>
      <c r="K568" s="2" t="inlineStr"/>
      <c r="L568" s="2" t="inlineStr"/>
      <c r="M568" s="2" t="inlineStr"/>
      <c r="N568" s="2" t="inlineStr">
        <is>
          <t>No</t>
        </is>
      </c>
      <c r="O568" s="2" t="inlineStr">
        <is>
          <t>Unattempted</t>
        </is>
      </c>
    </row>
    <row r="569">
      <c r="A569" s="4" t="inlineStr">
        <is>
          <t>Company Based Questions</t>
        </is>
      </c>
      <c r="B569" s="4" t="inlineStr">
        <is>
          <t>Accenture Interview Questions</t>
        </is>
      </c>
      <c r="C569" s="4" t="inlineStr">
        <is>
          <t>Prepare for Accenture with previous years questions. Solve the coding, numerical ability, reasoning ability, verbal ability and quant questions which were asked in the past.</t>
        </is>
      </c>
      <c r="D569" s="4" t="inlineStr">
        <is>
          <t>Technical Questions - Past Years Technical Questions</t>
        </is>
      </c>
      <c r="E569" s="4" t="n">
        <v>90</v>
      </c>
      <c r="F569" s="4" t="inlineStr">
        <is>
          <t>Network Connectivity Troubleshooting</t>
        </is>
      </c>
      <c r="G569" s="4" t="inlineStr">
        <is>
          <t>TDWDDE03</t>
        </is>
      </c>
      <c r="H569" s="4" t="inlineStr"/>
      <c r="I569" s="4" t="inlineStr">
        <is>
          <t>Easy</t>
        </is>
      </c>
      <c r="J569" s="5">
        <f>HYPERLINK("https://www.codechef.com/problems/TDWDDE03", "https://www.codechef.com/problems/TDWDDE03")</f>
        <v/>
      </c>
      <c r="K569" s="4" t="inlineStr"/>
      <c r="L569" s="4" t="inlineStr"/>
      <c r="M569" s="4" t="inlineStr"/>
      <c r="N569" s="4" t="inlineStr">
        <is>
          <t>No</t>
        </is>
      </c>
      <c r="O569" s="4" t="inlineStr">
        <is>
          <t>Unattempted</t>
        </is>
      </c>
    </row>
    <row r="570">
      <c r="A570" s="2" t="inlineStr">
        <is>
          <t>Company Based Questions</t>
        </is>
      </c>
      <c r="B570" s="2" t="inlineStr">
        <is>
          <t>Accenture Interview Questions</t>
        </is>
      </c>
      <c r="C570" s="2" t="inlineStr">
        <is>
          <t>Prepare for Accenture with previous years questions. Solve the coding, numerical ability, reasoning ability, verbal ability and quant questions which were asked in the past.</t>
        </is>
      </c>
      <c r="D570" s="2" t="inlineStr">
        <is>
          <t>Technical Questions - Past Years Technical Questions</t>
        </is>
      </c>
      <c r="E570" s="2" t="n">
        <v>91</v>
      </c>
      <c r="F570" s="2" t="inlineStr">
        <is>
          <t>OSI Network Layer Function</t>
        </is>
      </c>
      <c r="G570" s="2" t="inlineStr">
        <is>
          <t>TDWDDE04</t>
        </is>
      </c>
      <c r="H570" s="2" t="inlineStr"/>
      <c r="I570" s="2" t="inlineStr">
        <is>
          <t>Easy</t>
        </is>
      </c>
      <c r="J570" s="3">
        <f>HYPERLINK("https://www.codechef.com/problems/TDWDDE04", "https://www.codechef.com/problems/TDWDDE04")</f>
        <v/>
      </c>
      <c r="K570" s="2" t="inlineStr"/>
      <c r="L570" s="2" t="inlineStr"/>
      <c r="M570" s="2" t="inlineStr"/>
      <c r="N570" s="2" t="inlineStr">
        <is>
          <t>No</t>
        </is>
      </c>
      <c r="O570" s="2" t="inlineStr">
        <is>
          <t>Unattempted</t>
        </is>
      </c>
    </row>
    <row r="571">
      <c r="A571" s="4" t="inlineStr">
        <is>
          <t>Company Based Questions</t>
        </is>
      </c>
      <c r="B571" s="4" t="inlineStr">
        <is>
          <t>Accenture Interview Questions</t>
        </is>
      </c>
      <c r="C571" s="4" t="inlineStr">
        <is>
          <t>Prepare for Accenture with previous years questions. Solve the coding, numerical ability, reasoning ability, verbal ability and quant questions which were asked in the past.</t>
        </is>
      </c>
      <c r="D571" s="4" t="inlineStr">
        <is>
          <t>Technical Questions - Past Years Technical Questions</t>
        </is>
      </c>
      <c r="E571" s="4" t="n">
        <v>92</v>
      </c>
      <c r="F571" s="4" t="inlineStr">
        <is>
          <t>TCP/IP to OSI Layer Mapping</t>
        </is>
      </c>
      <c r="G571" s="4" t="inlineStr">
        <is>
          <t>TDWDDE05</t>
        </is>
      </c>
      <c r="H571" s="4" t="inlineStr"/>
      <c r="I571" s="4" t="inlineStr">
        <is>
          <t>Easy</t>
        </is>
      </c>
      <c r="J571" s="5">
        <f>HYPERLINK("https://www.codechef.com/problems/TDWDDE05", "https://www.codechef.com/problems/TDWDDE05")</f>
        <v/>
      </c>
      <c r="K571" s="4" t="inlineStr"/>
      <c r="L571" s="4" t="inlineStr"/>
      <c r="M571" s="4" t="inlineStr"/>
      <c r="N571" s="4" t="inlineStr">
        <is>
          <t>No</t>
        </is>
      </c>
      <c r="O571" s="4" t="inlineStr">
        <is>
          <t>Unattempted</t>
        </is>
      </c>
    </row>
    <row r="572">
      <c r="A572" s="2" t="inlineStr">
        <is>
          <t>Company Based Questions</t>
        </is>
      </c>
      <c r="B572" s="2" t="inlineStr">
        <is>
          <t>Accenture Interview Questions</t>
        </is>
      </c>
      <c r="C572" s="2" t="inlineStr">
        <is>
          <t>Prepare for Accenture with previous years questions. Solve the coding, numerical ability, reasoning ability, verbal ability and quant questions which were asked in the past.</t>
        </is>
      </c>
      <c r="D572" s="2" t="inlineStr">
        <is>
          <t>Technical Questions - Past Years Technical Questions</t>
        </is>
      </c>
      <c r="E572" s="2" t="n">
        <v>93</v>
      </c>
      <c r="F572" s="2" t="inlineStr">
        <is>
          <t>Displaying Network Details</t>
        </is>
      </c>
      <c r="G572" s="2" t="inlineStr">
        <is>
          <t>TDWDDE06</t>
        </is>
      </c>
      <c r="H572" s="2" t="inlineStr"/>
      <c r="I572" s="2" t="inlineStr">
        <is>
          <t>Easy</t>
        </is>
      </c>
      <c r="J572" s="3">
        <f>HYPERLINK("https://www.codechef.com/problems/TDWDDE06", "https://www.codechef.com/problems/TDWDDE06")</f>
        <v/>
      </c>
      <c r="K572" s="2" t="inlineStr"/>
      <c r="L572" s="2" t="inlineStr"/>
      <c r="M572" s="2" t="inlineStr"/>
      <c r="N572" s="2" t="inlineStr">
        <is>
          <t>No</t>
        </is>
      </c>
      <c r="O572" s="2" t="inlineStr">
        <is>
          <t>Unattempted</t>
        </is>
      </c>
    </row>
    <row r="573">
      <c r="A573" s="4" t="inlineStr">
        <is>
          <t>Company Based Questions</t>
        </is>
      </c>
      <c r="B573" s="4" t="inlineStr">
        <is>
          <t>Accenture Interview Questions</t>
        </is>
      </c>
      <c r="C573" s="4" t="inlineStr">
        <is>
          <t>Prepare for Accenture with previous years questions. Solve the coding, numerical ability, reasoning ability, verbal ability and quant questions which were asked in the past.</t>
        </is>
      </c>
      <c r="D573" s="4" t="inlineStr">
        <is>
          <t>Technical Questions - Past Years Technical Questions</t>
        </is>
      </c>
      <c r="E573" s="4" t="n">
        <v>94</v>
      </c>
      <c r="F573" s="4" t="inlineStr">
        <is>
          <t>Function of the Ping Command</t>
        </is>
      </c>
      <c r="G573" s="4" t="inlineStr">
        <is>
          <t>TDWDDE07</t>
        </is>
      </c>
      <c r="H573" s="4" t="inlineStr"/>
      <c r="I573" s="4" t="inlineStr">
        <is>
          <t>Easy</t>
        </is>
      </c>
      <c r="J573" s="5">
        <f>HYPERLINK("https://www.codechef.com/problems/TDWDDE07", "https://www.codechef.com/problems/TDWDDE07")</f>
        <v/>
      </c>
      <c r="K573" s="4" t="inlineStr"/>
      <c r="L573" s="4" t="inlineStr"/>
      <c r="M573" s="4" t="inlineStr"/>
      <c r="N573" s="4" t="inlineStr">
        <is>
          <t>No</t>
        </is>
      </c>
      <c r="O573" s="4" t="inlineStr">
        <is>
          <t>Unattempted</t>
        </is>
      </c>
    </row>
    <row r="574">
      <c r="A574" s="2" t="inlineStr">
        <is>
          <t>Company Based Questions</t>
        </is>
      </c>
      <c r="B574" s="2" t="inlineStr">
        <is>
          <t>Accenture Interview Questions</t>
        </is>
      </c>
      <c r="C574" s="2" t="inlineStr">
        <is>
          <t>Prepare for Accenture with previous years questions. Solve the coding, numerical ability, reasoning ability, verbal ability and quant questions which were asked in the past.</t>
        </is>
      </c>
      <c r="D574" s="2" t="inlineStr">
        <is>
          <t>Technical Questions - Past Years Technical Questions</t>
        </is>
      </c>
      <c r="E574" s="2" t="n">
        <v>95</v>
      </c>
      <c r="F574" s="2" t="inlineStr">
        <is>
          <t>Main Role of TCP Protocol</t>
        </is>
      </c>
      <c r="G574" s="2" t="inlineStr">
        <is>
          <t>TDWDDE08</t>
        </is>
      </c>
      <c r="H574" s="2" t="inlineStr"/>
      <c r="I574" s="2" t="inlineStr">
        <is>
          <t>Easy</t>
        </is>
      </c>
      <c r="J574" s="3">
        <f>HYPERLINK("https://www.codechef.com/problems/TDWDDE08", "https://www.codechef.com/problems/TDWDDE08")</f>
        <v/>
      </c>
      <c r="K574" s="2" t="inlineStr"/>
      <c r="L574" s="2" t="inlineStr"/>
      <c r="M574" s="2" t="inlineStr"/>
      <c r="N574" s="2" t="inlineStr">
        <is>
          <t>No</t>
        </is>
      </c>
      <c r="O574" s="2" t="inlineStr">
        <is>
          <t>Unattempted</t>
        </is>
      </c>
    </row>
    <row r="575">
      <c r="A575" s="4" t="inlineStr">
        <is>
          <t>Company Based Questions</t>
        </is>
      </c>
      <c r="B575" s="4" t="inlineStr">
        <is>
          <t>Accenture Interview Questions</t>
        </is>
      </c>
      <c r="C575" s="4" t="inlineStr">
        <is>
          <t>Prepare for Accenture with previous years questions. Solve the coding, numerical ability, reasoning ability, verbal ability and quant questions which were asked in the past.</t>
        </is>
      </c>
      <c r="D575" s="4" t="inlineStr">
        <is>
          <t>Technical Questions - Past Years Technical Questions</t>
        </is>
      </c>
      <c r="E575" s="4" t="n">
        <v>96</v>
      </c>
      <c r="F575" s="4" t="inlineStr">
        <is>
          <t>Dynamic vs. Static Routing</t>
        </is>
      </c>
      <c r="G575" s="4" t="inlineStr">
        <is>
          <t>TDWDDE09</t>
        </is>
      </c>
      <c r="H575" s="4" t="inlineStr"/>
      <c r="I575" s="4" t="inlineStr">
        <is>
          <t>Easy</t>
        </is>
      </c>
      <c r="J575" s="5">
        <f>HYPERLINK("https://www.codechef.com/problems/TDWDDE09", "https://www.codechef.com/problems/TDWDDE09")</f>
        <v/>
      </c>
      <c r="K575" s="4" t="inlineStr"/>
      <c r="L575" s="4" t="inlineStr"/>
      <c r="M575" s="4" t="inlineStr"/>
      <c r="N575" s="4" t="inlineStr">
        <is>
          <t>No</t>
        </is>
      </c>
      <c r="O575" s="4" t="inlineStr">
        <is>
          <t>Unattempted</t>
        </is>
      </c>
    </row>
    <row r="576">
      <c r="A576" s="2" t="inlineStr">
        <is>
          <t>Company Based Questions</t>
        </is>
      </c>
      <c r="B576" s="2" t="inlineStr">
        <is>
          <t>Accenture Interview Questions</t>
        </is>
      </c>
      <c r="C576" s="2" t="inlineStr">
        <is>
          <t>Prepare for Accenture with previous years questions. Solve the coding, numerical ability, reasoning ability, verbal ability and quant questions which were asked in the past.</t>
        </is>
      </c>
      <c r="D576" s="2" t="inlineStr">
        <is>
          <t>Technical Questions - Past Years Technical Questions</t>
        </is>
      </c>
      <c r="E576" s="2" t="n">
        <v>97</v>
      </c>
      <c r="F576" s="2" t="inlineStr">
        <is>
          <t>Online Gaming Protocol Choice</t>
        </is>
      </c>
      <c r="G576" s="2" t="inlineStr">
        <is>
          <t>TDWDDE10</t>
        </is>
      </c>
      <c r="H576" s="2" t="inlineStr"/>
      <c r="I576" s="2" t="inlineStr">
        <is>
          <t>Easy</t>
        </is>
      </c>
      <c r="J576" s="3">
        <f>HYPERLINK("https://www.codechef.com/problems/TDWDDE10", "https://www.codechef.com/problems/TDWDDE10")</f>
        <v/>
      </c>
      <c r="K576" s="2" t="inlineStr"/>
      <c r="L576" s="2" t="inlineStr"/>
      <c r="M576" s="2" t="inlineStr"/>
      <c r="N576" s="2" t="inlineStr">
        <is>
          <t>No</t>
        </is>
      </c>
      <c r="O576" s="2" t="inlineStr">
        <is>
          <t>Unattempted</t>
        </is>
      </c>
    </row>
    <row r="577">
      <c r="A577" s="4" t="inlineStr">
        <is>
          <t>Company Based Questions</t>
        </is>
      </c>
      <c r="B577" s="4" t="inlineStr">
        <is>
          <t>Accenture Interview Questions</t>
        </is>
      </c>
      <c r="C577" s="4" t="inlineStr">
        <is>
          <t>Prepare for Accenture with previous years questions. Solve the coding, numerical ability, reasoning ability, verbal ability and quant questions which were asked in the past.</t>
        </is>
      </c>
      <c r="D577" s="4" t="inlineStr">
        <is>
          <t>Pseudo Code Questions - Past Years Pseudo Code Questions</t>
        </is>
      </c>
      <c r="E577" s="4" t="n">
        <v>98</v>
      </c>
      <c r="F577" s="4" t="inlineStr">
        <is>
          <t>Pseudocode Bitwise Operation</t>
        </is>
      </c>
      <c r="G577" s="4" t="inlineStr">
        <is>
          <t>TKYCPP01</t>
        </is>
      </c>
      <c r="H577" s="4" t="inlineStr"/>
      <c r="I577" s="4" t="inlineStr">
        <is>
          <t>Easy</t>
        </is>
      </c>
      <c r="J577" s="5">
        <f>HYPERLINK("https://www.codechef.com/problems/TKYCPP01", "https://www.codechef.com/problems/TKYCPP01")</f>
        <v/>
      </c>
      <c r="K577" s="4" t="inlineStr"/>
      <c r="L577" s="4" t="inlineStr"/>
      <c r="M577" s="4" t="inlineStr"/>
      <c r="N577" s="4" t="inlineStr">
        <is>
          <t>No</t>
        </is>
      </c>
      <c r="O577" s="4" t="inlineStr">
        <is>
          <t>Unattempted</t>
        </is>
      </c>
    </row>
    <row r="578">
      <c r="A578" s="2" t="inlineStr">
        <is>
          <t>Company Based Questions</t>
        </is>
      </c>
      <c r="B578" s="2" t="inlineStr">
        <is>
          <t>Accenture Interview Questions</t>
        </is>
      </c>
      <c r="C578" s="2" t="inlineStr">
        <is>
          <t>Prepare for Accenture with previous years questions. Solve the coding, numerical ability, reasoning ability, verbal ability and quant questions which were asked in the past.</t>
        </is>
      </c>
      <c r="D578" s="2" t="inlineStr">
        <is>
          <t>Pseudo Code Questions - Past Years Pseudo Code Questions</t>
        </is>
      </c>
      <c r="E578" s="2" t="n">
        <v>99</v>
      </c>
      <c r="F578" s="2" t="inlineStr">
        <is>
          <t>Pseudocode Loop Value Prediction</t>
        </is>
      </c>
      <c r="G578" s="2" t="inlineStr">
        <is>
          <t>TKYCPP02</t>
        </is>
      </c>
      <c r="H578" s="2" t="inlineStr"/>
      <c r="I578" s="2" t="inlineStr">
        <is>
          <t>Easy</t>
        </is>
      </c>
      <c r="J578" s="3">
        <f>HYPERLINK("https://www.codechef.com/problems/TKYCPP02", "https://www.codechef.com/problems/TKYCPP02")</f>
        <v/>
      </c>
      <c r="K578" s="2" t="inlineStr"/>
      <c r="L578" s="2" t="inlineStr"/>
      <c r="M578" s="2" t="inlineStr"/>
      <c r="N578" s="2" t="inlineStr">
        <is>
          <t>No</t>
        </is>
      </c>
      <c r="O578" s="2" t="inlineStr">
        <is>
          <t>Unattempted</t>
        </is>
      </c>
    </row>
    <row r="579">
      <c r="A579" s="4" t="inlineStr">
        <is>
          <t>Company Based Questions</t>
        </is>
      </c>
      <c r="B579" s="4" t="inlineStr">
        <is>
          <t>Accenture Interview Questions</t>
        </is>
      </c>
      <c r="C579" s="4" t="inlineStr">
        <is>
          <t>Prepare for Accenture with previous years questions. Solve the coding, numerical ability, reasoning ability, verbal ability and quant questions which were asked in the past.</t>
        </is>
      </c>
      <c r="D579" s="4" t="inlineStr">
        <is>
          <t>Pseudo Code Questions - Past Years Pseudo Code Questions</t>
        </is>
      </c>
      <c r="E579" s="4" t="n">
        <v>100</v>
      </c>
      <c r="F579" s="4" t="inlineStr">
        <is>
          <t>Pseudocode Array Manipulation</t>
        </is>
      </c>
      <c r="G579" s="4" t="inlineStr">
        <is>
          <t>TKYCPP03</t>
        </is>
      </c>
      <c r="H579" s="4" t="inlineStr"/>
      <c r="I579" s="4" t="inlineStr">
        <is>
          <t>Easy</t>
        </is>
      </c>
      <c r="J579" s="5">
        <f>HYPERLINK("https://www.codechef.com/problems/TKYCPP03", "https://www.codechef.com/problems/TKYCPP03")</f>
        <v/>
      </c>
      <c r="K579" s="4" t="inlineStr"/>
      <c r="L579" s="4" t="inlineStr"/>
      <c r="M579" s="4" t="inlineStr"/>
      <c r="N579" s="4" t="inlineStr">
        <is>
          <t>No</t>
        </is>
      </c>
      <c r="O579" s="4" t="inlineStr">
        <is>
          <t>Unattempted</t>
        </is>
      </c>
    </row>
    <row r="580">
      <c r="A580" s="2" t="inlineStr">
        <is>
          <t>Company Based Questions</t>
        </is>
      </c>
      <c r="B580" s="2" t="inlineStr">
        <is>
          <t>Accenture Interview Questions</t>
        </is>
      </c>
      <c r="C580" s="2" t="inlineStr">
        <is>
          <t>Prepare for Accenture with previous years questions. Solve the coding, numerical ability, reasoning ability, verbal ability and quant questions which were asked in the past.</t>
        </is>
      </c>
      <c r="D580" s="2" t="inlineStr">
        <is>
          <t>Pseudo Code Questions - Past Years Pseudo Code Questions</t>
        </is>
      </c>
      <c r="E580" s="2" t="n">
        <v>101</v>
      </c>
      <c r="F580" s="2" t="inlineStr">
        <is>
          <t>Recursive Function Output Prediction</t>
        </is>
      </c>
      <c r="G580" s="2" t="inlineStr">
        <is>
          <t>TKYCPP04</t>
        </is>
      </c>
      <c r="H580" s="2" t="inlineStr"/>
      <c r="I580" s="2" t="inlineStr">
        <is>
          <t>Medium</t>
        </is>
      </c>
      <c r="J580" s="3">
        <f>HYPERLINK("https://www.codechef.com/problems/TKYCPP04", "https://www.codechef.com/problems/TKYCPP04")</f>
        <v/>
      </c>
      <c r="K580" s="2" t="inlineStr"/>
      <c r="L580" s="2" t="inlineStr"/>
      <c r="M580" s="2" t="inlineStr"/>
      <c r="N580" s="2" t="inlineStr">
        <is>
          <t>No</t>
        </is>
      </c>
      <c r="O580" s="2" t="inlineStr">
        <is>
          <t>Unattempted</t>
        </is>
      </c>
    </row>
    <row r="581">
      <c r="A581" s="4" t="inlineStr">
        <is>
          <t>Company Based Questions</t>
        </is>
      </c>
      <c r="B581" s="4" t="inlineStr">
        <is>
          <t>Accenture Interview Questions</t>
        </is>
      </c>
      <c r="C581" s="4" t="inlineStr">
        <is>
          <t>Prepare for Accenture with previous years questions. Solve the coding, numerical ability, reasoning ability, verbal ability and quant questions which were asked in the past.</t>
        </is>
      </c>
      <c r="D581" s="4" t="inlineStr">
        <is>
          <t>Pseudo Code Questions - Past Years Pseudo Code Questions</t>
        </is>
      </c>
      <c r="E581" s="4" t="n">
        <v>102</v>
      </c>
      <c r="F581" s="4" t="inlineStr">
        <is>
          <t>Pseudocode Array Subtraction</t>
        </is>
      </c>
      <c r="G581" s="4" t="inlineStr">
        <is>
          <t>TKYCPP05</t>
        </is>
      </c>
      <c r="H581" s="4" t="inlineStr"/>
      <c r="I581" s="4" t="inlineStr">
        <is>
          <t>Easy</t>
        </is>
      </c>
      <c r="J581" s="5">
        <f>HYPERLINK("https://www.codechef.com/problems/TKYCPP05", "https://www.codechef.com/problems/TKYCPP05")</f>
        <v/>
      </c>
      <c r="K581" s="4" t="inlineStr"/>
      <c r="L581" s="4" t="inlineStr"/>
      <c r="M581" s="4" t="inlineStr"/>
      <c r="N581" s="4" t="inlineStr">
        <is>
          <t>No</t>
        </is>
      </c>
      <c r="O581" s="4" t="inlineStr">
        <is>
          <t>Unattempted</t>
        </is>
      </c>
    </row>
    <row r="582">
      <c r="A582" s="2" t="inlineStr">
        <is>
          <t>Company Based Questions</t>
        </is>
      </c>
      <c r="B582" s="2" t="inlineStr">
        <is>
          <t>Accenture Interview Questions</t>
        </is>
      </c>
      <c r="C582" s="2" t="inlineStr">
        <is>
          <t>Prepare for Accenture with previous years questions. Solve the coding, numerical ability, reasoning ability, verbal ability and quant questions which were asked in the past.</t>
        </is>
      </c>
      <c r="D582" s="2" t="inlineStr">
        <is>
          <t>Pseudo Code Questions - Past Years Pseudo Code Questions</t>
        </is>
      </c>
      <c r="E582" s="2" t="n">
        <v>103</v>
      </c>
      <c r="F582" s="2" t="inlineStr">
        <is>
          <t>Robot Star Placement Count</t>
        </is>
      </c>
      <c r="G582" s="2" t="inlineStr">
        <is>
          <t>TKYCPP06</t>
        </is>
      </c>
      <c r="H582" s="2" t="inlineStr"/>
      <c r="I582" s="2" t="inlineStr">
        <is>
          <t>Easy</t>
        </is>
      </c>
      <c r="J582" s="3">
        <f>HYPERLINK("https://www.codechef.com/problems/TKYCPP06", "https://www.codechef.com/problems/TKYCPP06")</f>
        <v/>
      </c>
      <c r="K582" s="2" t="inlineStr"/>
      <c r="L582" s="2" t="inlineStr"/>
      <c r="M582" s="2" t="inlineStr"/>
      <c r="N582" s="2" t="inlineStr">
        <is>
          <t>No</t>
        </is>
      </c>
      <c r="O582" s="2" t="inlineStr">
        <is>
          <t>Unattempted</t>
        </is>
      </c>
    </row>
    <row r="583">
      <c r="A583" s="4" t="inlineStr">
        <is>
          <t>Company Based Questions</t>
        </is>
      </c>
      <c r="B583" s="4" t="inlineStr">
        <is>
          <t>Accenture Interview Questions</t>
        </is>
      </c>
      <c r="C583" s="4" t="inlineStr">
        <is>
          <t>Prepare for Accenture with previous years questions. Solve the coding, numerical ability, reasoning ability, verbal ability and quant questions which were asked in the past.</t>
        </is>
      </c>
      <c r="D583" s="4" t="inlineStr">
        <is>
          <t>Pseudo Code Questions - Past Years Pseudo Code Questions</t>
        </is>
      </c>
      <c r="E583" s="4" t="n">
        <v>104</v>
      </c>
      <c r="F583" s="4" t="inlineStr">
        <is>
          <t>Pseudocode Loop Analysis</t>
        </is>
      </c>
      <c r="G583" s="4" t="inlineStr">
        <is>
          <t>TKYCPP07</t>
        </is>
      </c>
      <c r="H583" s="4" t="inlineStr"/>
      <c r="I583" s="4" t="inlineStr">
        <is>
          <t>Medium</t>
        </is>
      </c>
      <c r="J583" s="5">
        <f>HYPERLINK("https://www.codechef.com/problems/TKYCPP07", "https://www.codechef.com/problems/TKYCPP07")</f>
        <v/>
      </c>
      <c r="K583" s="4" t="inlineStr"/>
      <c r="L583" s="4" t="inlineStr"/>
      <c r="M583" s="4" t="inlineStr"/>
      <c r="N583" s="4" t="inlineStr">
        <is>
          <t>No</t>
        </is>
      </c>
      <c r="O583" s="4" t="inlineStr">
        <is>
          <t>Unattempted</t>
        </is>
      </c>
    </row>
    <row r="584">
      <c r="A584" s="2" t="inlineStr">
        <is>
          <t>Company Based Questions</t>
        </is>
      </c>
      <c r="B584" s="2" t="inlineStr">
        <is>
          <t>Accenture Interview Questions</t>
        </is>
      </c>
      <c r="C584" s="2" t="inlineStr">
        <is>
          <t>Prepare for Accenture with previous years questions. Solve the coding, numerical ability, reasoning ability, verbal ability and quant questions which were asked in the past.</t>
        </is>
      </c>
      <c r="D584" s="2" t="inlineStr">
        <is>
          <t>Pseudo Code Questions - Past Years Pseudo Code Questions</t>
        </is>
      </c>
      <c r="E584" s="2" t="n">
        <v>105</v>
      </c>
      <c r="F584" s="2" t="inlineStr">
        <is>
          <t>Pseudocode Remainder Logic</t>
        </is>
      </c>
      <c r="G584" s="2" t="inlineStr">
        <is>
          <t>TKYCPP08</t>
        </is>
      </c>
      <c r="H584" s="2" t="inlineStr"/>
      <c r="I584" s="2" t="inlineStr">
        <is>
          <t>Easy</t>
        </is>
      </c>
      <c r="J584" s="3">
        <f>HYPERLINK("https://www.codechef.com/problems/TKYCPP08", "https://www.codechef.com/problems/TKYCPP08")</f>
        <v/>
      </c>
      <c r="K584" s="2" t="inlineStr"/>
      <c r="L584" s="2" t="inlineStr"/>
      <c r="M584" s="2" t="inlineStr"/>
      <c r="N584" s="2" t="inlineStr">
        <is>
          <t>No</t>
        </is>
      </c>
      <c r="O584" s="2" t="inlineStr">
        <is>
          <t>Unattempted</t>
        </is>
      </c>
    </row>
    <row r="585">
      <c r="A585" s="4" t="inlineStr">
        <is>
          <t>Company Based Questions</t>
        </is>
      </c>
      <c r="B585" s="4" t="inlineStr">
        <is>
          <t>Accenture Interview Questions</t>
        </is>
      </c>
      <c r="C585" s="4" t="inlineStr">
        <is>
          <t>Prepare for Accenture with previous years questions. Solve the coding, numerical ability, reasoning ability, verbal ability and quant questions which were asked in the past.</t>
        </is>
      </c>
      <c r="D585" s="4" t="inlineStr">
        <is>
          <t>Pseudo Code Questions - Past Years Pseudo Code Questions</t>
        </is>
      </c>
      <c r="E585" s="4" t="n">
        <v>106</v>
      </c>
      <c r="F585" s="4" t="inlineStr">
        <is>
          <t>Pseudocode Variable Trace</t>
        </is>
      </c>
      <c r="G585" s="4" t="inlineStr">
        <is>
          <t>TKYCPP09</t>
        </is>
      </c>
      <c r="H585" s="4" t="inlineStr"/>
      <c r="I585" s="4" t="inlineStr">
        <is>
          <t>Easy</t>
        </is>
      </c>
      <c r="J585" s="5">
        <f>HYPERLINK("https://www.codechef.com/problems/TKYCPP09", "https://www.codechef.com/problems/TKYCPP09")</f>
        <v/>
      </c>
      <c r="K585" s="4" t="inlineStr"/>
      <c r="L585" s="4" t="inlineStr"/>
      <c r="M585" s="4" t="inlineStr"/>
      <c r="N585" s="4" t="inlineStr">
        <is>
          <t>No</t>
        </is>
      </c>
      <c r="O585" s="4" t="inlineStr">
        <is>
          <t>Unattempted</t>
        </is>
      </c>
    </row>
    <row r="586">
      <c r="A586" s="2" t="inlineStr">
        <is>
          <t>Company Based Questions</t>
        </is>
      </c>
      <c r="B586" s="2" t="inlineStr">
        <is>
          <t>Accenture Interview Questions</t>
        </is>
      </c>
      <c r="C586" s="2" t="inlineStr">
        <is>
          <t>Prepare for Accenture with previous years questions. Solve the coding, numerical ability, reasoning ability, verbal ability and quant questions which were asked in the past.</t>
        </is>
      </c>
      <c r="D586" s="2" t="inlineStr">
        <is>
          <t>Pseudo Code Questions - Past Years Pseudo Code Questions</t>
        </is>
      </c>
      <c r="E586" s="2" t="n">
        <v>107</v>
      </c>
      <c r="F586" s="2" t="inlineStr">
        <is>
          <t>Bitwise Operator Pseudocode Output</t>
        </is>
      </c>
      <c r="G586" s="2" t="inlineStr">
        <is>
          <t>TKYCPP10</t>
        </is>
      </c>
      <c r="H586" s="2" t="inlineStr"/>
      <c r="I586" s="2" t="inlineStr">
        <is>
          <t>Easy</t>
        </is>
      </c>
      <c r="J586" s="3">
        <f>HYPERLINK("https://www.codechef.com/problems/TKYCPP10", "https://www.codechef.com/problems/TKYCPP10")</f>
        <v/>
      </c>
      <c r="K586" s="2" t="inlineStr"/>
      <c r="L586" s="2" t="inlineStr"/>
      <c r="M586" s="2" t="inlineStr"/>
      <c r="N586" s="2" t="inlineStr">
        <is>
          <t>No</t>
        </is>
      </c>
      <c r="O586" s="2" t="inlineStr">
        <is>
          <t>Unattempted</t>
        </is>
      </c>
    </row>
    <row r="587">
      <c r="A587" s="4" t="inlineStr">
        <is>
          <t>Company Based Questions</t>
        </is>
      </c>
      <c r="B587" s="4" t="inlineStr">
        <is>
          <t>Accenture Interview Questions</t>
        </is>
      </c>
      <c r="C587" s="4" t="inlineStr">
        <is>
          <t>Prepare for Accenture with previous years questions. Solve the coding, numerical ability, reasoning ability, verbal ability and quant questions which were asked in the past.</t>
        </is>
      </c>
      <c r="D587" s="4" t="inlineStr">
        <is>
          <t>Pseudo Code Questions - Past Years Pseudo Code Questions</t>
        </is>
      </c>
      <c r="E587" s="4" t="n">
        <v>108</v>
      </c>
      <c r="F587" s="4" t="inlineStr">
        <is>
          <t>Pseudocode Conditional Logic Output</t>
        </is>
      </c>
      <c r="G587" s="4" t="inlineStr">
        <is>
          <t>TKYCPP11</t>
        </is>
      </c>
      <c r="H587" s="4" t="inlineStr"/>
      <c r="I587" s="4" t="inlineStr">
        <is>
          <t>Easy</t>
        </is>
      </c>
      <c r="J587" s="5">
        <f>HYPERLINK("https://www.codechef.com/problems/TKYCPP11", "https://www.codechef.com/problems/TKYCPP11")</f>
        <v/>
      </c>
      <c r="K587" s="4" t="inlineStr"/>
      <c r="L587" s="4" t="inlineStr"/>
      <c r="M587" s="4" t="inlineStr"/>
      <c r="N587" s="4" t="inlineStr">
        <is>
          <t>No</t>
        </is>
      </c>
      <c r="O587" s="4" t="inlineStr">
        <is>
          <t>Unattempted</t>
        </is>
      </c>
    </row>
    <row r="588">
      <c r="A588" s="2" t="inlineStr">
        <is>
          <t>Company Based Questions</t>
        </is>
      </c>
      <c r="B588" s="2" t="inlineStr">
        <is>
          <t>Accenture Interview Questions</t>
        </is>
      </c>
      <c r="C588" s="2" t="inlineStr">
        <is>
          <t>Prepare for Accenture with previous years questions. Solve the coding, numerical ability, reasoning ability, verbal ability and quant questions which were asked in the past.</t>
        </is>
      </c>
      <c r="D588" s="2" t="inlineStr">
        <is>
          <t>Pseudo Code Questions - Past Years Pseudo Code Questions</t>
        </is>
      </c>
      <c r="E588" s="2" t="n">
        <v>109</v>
      </c>
      <c r="F588" s="2" t="inlineStr">
        <is>
          <t>Pseudocode Logic Evaluation</t>
        </is>
      </c>
      <c r="G588" s="2" t="inlineStr">
        <is>
          <t>TKYCPP12</t>
        </is>
      </c>
      <c r="H588" s="2" t="inlineStr"/>
      <c r="I588" s="2" t="inlineStr">
        <is>
          <t>Medium</t>
        </is>
      </c>
      <c r="J588" s="3">
        <f>HYPERLINK("https://www.codechef.com/problems/TKYCPP12", "https://www.codechef.com/problems/TKYCPP12")</f>
        <v/>
      </c>
      <c r="K588" s="2" t="inlineStr"/>
      <c r="L588" s="2" t="inlineStr"/>
      <c r="M588" s="2" t="inlineStr"/>
      <c r="N588" s="2" t="inlineStr">
        <is>
          <t>No</t>
        </is>
      </c>
      <c r="O588" s="2" t="inlineStr">
        <is>
          <t>Unattempted</t>
        </is>
      </c>
    </row>
    <row r="589">
      <c r="A589" s="4" t="inlineStr">
        <is>
          <t>Company Based Questions</t>
        </is>
      </c>
      <c r="B589" s="4" t="inlineStr">
        <is>
          <t>Accenture Interview Questions</t>
        </is>
      </c>
      <c r="C589" s="4" t="inlineStr">
        <is>
          <t>Prepare for Accenture with previous years questions. Solve the coding, numerical ability, reasoning ability, verbal ability and quant questions which were asked in the past.</t>
        </is>
      </c>
      <c r="D589" s="4" t="inlineStr">
        <is>
          <t>Pseudo Code Questions - Past Years Pseudo Code Questions</t>
        </is>
      </c>
      <c r="E589" s="4" t="n">
        <v>110</v>
      </c>
      <c r="F589" s="4" t="inlineStr">
        <is>
          <t>Pseudocode Logic Puzzle</t>
        </is>
      </c>
      <c r="G589" s="4" t="inlineStr">
        <is>
          <t>TKYCPP13</t>
        </is>
      </c>
      <c r="H589" s="4" t="inlineStr"/>
      <c r="I589" s="4" t="inlineStr">
        <is>
          <t>Medium</t>
        </is>
      </c>
      <c r="J589" s="5">
        <f>HYPERLINK("https://www.codechef.com/problems/TKYCPP13", "https://www.codechef.com/problems/TKYCPP13")</f>
        <v/>
      </c>
      <c r="K589" s="4" t="inlineStr"/>
      <c r="L589" s="4" t="inlineStr"/>
      <c r="M589" s="4" t="inlineStr"/>
      <c r="N589" s="4" t="inlineStr">
        <is>
          <t>No</t>
        </is>
      </c>
      <c r="O589" s="4" t="inlineStr">
        <is>
          <t>Unattempted</t>
        </is>
      </c>
    </row>
    <row r="590">
      <c r="A590" s="2" t="inlineStr">
        <is>
          <t>Company Based Questions</t>
        </is>
      </c>
      <c r="B590" s="2" t="inlineStr">
        <is>
          <t>Accenture Interview Questions</t>
        </is>
      </c>
      <c r="C590" s="2" t="inlineStr">
        <is>
          <t>Prepare for Accenture with previous years questions. Solve the coding, numerical ability, reasoning ability, verbal ability and quant questions which were asked in the past.</t>
        </is>
      </c>
      <c r="D590" s="2" t="inlineStr">
        <is>
          <t>Pseudo Code Questions - Past Years Pseudo Code Questions</t>
        </is>
      </c>
      <c r="E590" s="2" t="n">
        <v>111</v>
      </c>
      <c r="F590" s="2" t="inlineStr">
        <is>
          <t>Pseudocode Bitwise Operation Output</t>
        </is>
      </c>
      <c r="G590" s="2" t="inlineStr">
        <is>
          <t>TKYCPP14</t>
        </is>
      </c>
      <c r="H590" s="2" t="inlineStr"/>
      <c r="I590" s="2" t="inlineStr">
        <is>
          <t>Medium</t>
        </is>
      </c>
      <c r="J590" s="3">
        <f>HYPERLINK("https://www.codechef.com/problems/TKYCPP14", "https://www.codechef.com/problems/TKYCPP14")</f>
        <v/>
      </c>
      <c r="K590" s="2" t="inlineStr"/>
      <c r="L590" s="2" t="inlineStr"/>
      <c r="M590" s="2" t="inlineStr"/>
      <c r="N590" s="2" t="inlineStr">
        <is>
          <t>No</t>
        </is>
      </c>
      <c r="O590" s="2" t="inlineStr">
        <is>
          <t>Unattempted</t>
        </is>
      </c>
    </row>
    <row r="591">
      <c r="A591" s="4" t="inlineStr">
        <is>
          <t>Company Based Questions</t>
        </is>
      </c>
      <c r="B591" s="4" t="inlineStr">
        <is>
          <t>Accenture Interview Questions</t>
        </is>
      </c>
      <c r="C591" s="4" t="inlineStr">
        <is>
          <t>Prepare for Accenture with previous years questions. Solve the coding, numerical ability, reasoning ability, verbal ability and quant questions which were asked in the past.</t>
        </is>
      </c>
      <c r="D591" s="4" t="inlineStr">
        <is>
          <t>Pseudo Code Questions - Past Years Pseudo Code Questions</t>
        </is>
      </c>
      <c r="E591" s="4" t="n">
        <v>112</v>
      </c>
      <c r="F591" s="4" t="inlineStr">
        <is>
          <t>Nested If-Else Pseudocode</t>
        </is>
      </c>
      <c r="G591" s="4" t="inlineStr">
        <is>
          <t>TKYCPP15</t>
        </is>
      </c>
      <c r="H591" s="4" t="inlineStr"/>
      <c r="I591" s="4" t="inlineStr">
        <is>
          <t>Easy</t>
        </is>
      </c>
      <c r="J591" s="5">
        <f>HYPERLINK("https://www.codechef.com/problems/TKYCPP15", "https://www.codechef.com/problems/TKYCPP15")</f>
        <v/>
      </c>
      <c r="K591" s="4" t="inlineStr"/>
      <c r="L591" s="4" t="inlineStr"/>
      <c r="M591" s="4" t="inlineStr"/>
      <c r="N591" s="4" t="inlineStr">
        <is>
          <t>No</t>
        </is>
      </c>
      <c r="O591" s="4" t="inlineStr">
        <is>
          <t>Unattempted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2026-08-01T19:10:18Z</dcterms:created>
  <dcterms:modified xsi:type="dcterms:W3CDTF">2026-08-01T19:10:19Z</dcterms:modified>
</cp:coreProperties>
</file>