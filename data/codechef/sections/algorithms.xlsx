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gorith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color rgb="000563C1"/>
      <sz val="11"/>
      <u val="single"/>
    </font>
  </fonts>
  <fills count="5">
    <fill>
      <patternFill/>
    </fill>
    <fill>
      <patternFill patternType="gray125"/>
    </fill>
    <fill>
      <patternFill patternType="solid">
        <fgColor rgb="001F4E79"/>
        <bgColor rgb="001F4E79"/>
      </patternFill>
    </fill>
    <fill>
      <patternFill patternType="solid">
        <fgColor rgb="00F2F4F7"/>
        <bgColor rgb="00F2F4F7"/>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pivotButton="0" quotePrefix="0" xfId="0"/>
    <xf numFmtId="0" fontId="3" fillId="3" borderId="1" pivotButton="0" quotePrefix="0" xfId="0"/>
    <xf numFmtId="0" fontId="2" fillId="4" borderId="1" pivotButton="0" quotePrefix="0" xfId="0"/>
    <xf numFmtId="0" fontId="3"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0"/>
  <sheetViews>
    <sheetView showGridLines="1" workbookViewId="0">
      <selection activeCell="A1" sqref="A1"/>
    </sheetView>
  </sheetViews>
  <sheetFormatPr baseColWidth="8" defaultRowHeight="15"/>
  <cols>
    <col width="13" customWidth="1" min="1" max="1"/>
    <col width="44" customWidth="1" min="2" max="2"/>
    <col width="246" customWidth="1" min="3" max="3"/>
    <col width="49" customWidth="1" min="4" max="4"/>
    <col width="16" customWidth="1" min="5" max="5"/>
    <col width="50" customWidth="1" min="6" max="6"/>
    <col width="15" customWidth="1" min="7" max="7"/>
    <col width="20" customWidth="1" min="8" max="8"/>
    <col width="19" customWidth="1" min="9" max="9"/>
    <col width="15" customWidth="1" min="10" max="10"/>
    <col width="17" customWidth="1" min="11" max="11"/>
    <col width="183" customWidth="1" min="12" max="12"/>
    <col width="12" customWidth="1" min="13" max="13"/>
    <col width="14" customWidth="1" min="14" max="14"/>
    <col width="14" customWidth="1" min="15" max="15"/>
  </cols>
  <sheetData>
    <row r="1">
      <c r="A1" s="1" t="inlineStr">
        <is>
          <t>Section</t>
        </is>
      </c>
      <c r="B1" s="1" t="inlineStr">
        <is>
          <t>Practice Path</t>
        </is>
      </c>
      <c r="C1" s="1" t="inlineStr">
        <is>
          <t>Description</t>
        </is>
      </c>
      <c r="D1" s="1" t="inlineStr">
        <is>
          <t>Lesson</t>
        </is>
      </c>
      <c r="E1" s="1" t="inlineStr">
        <is>
          <t>Problem Order</t>
        </is>
      </c>
      <c r="F1" s="1" t="inlineStr">
        <is>
          <t>Problem Name</t>
        </is>
      </c>
      <c r="G1" s="1" t="inlineStr">
        <is>
          <t>Problem Code</t>
        </is>
      </c>
      <c r="H1" s="1" t="inlineStr">
        <is>
          <t>Difficulty Rating</t>
        </is>
      </c>
      <c r="I1" s="1" t="inlineStr">
        <is>
          <t>Difficulty Label</t>
        </is>
      </c>
      <c r="J1" s="1" t="inlineStr">
        <is>
          <t>Official URL</t>
        </is>
      </c>
      <c r="K1" s="1" t="inlineStr">
        <is>
          <t>Estimated Time</t>
        </is>
      </c>
      <c r="L1" s="1" t="inlineStr">
        <is>
          <t>Tags</t>
        </is>
      </c>
      <c r="M1" s="1" t="inlineStr">
        <is>
          <t>Companies</t>
        </is>
      </c>
      <c r="N1" s="1" t="inlineStr">
        <is>
          <t>Certificate</t>
        </is>
      </c>
      <c r="O1" s="1" t="inlineStr">
        <is>
          <t>Status</t>
        </is>
      </c>
    </row>
    <row r="2">
      <c r="A2" s="2" t="inlineStr">
        <is>
          <t>Algorithms</t>
        </is>
      </c>
      <c r="B2" s="2" t="inlineStr">
        <is>
          <t>Arrays, Strings &amp; Sorting</t>
        </is>
      </c>
      <c r="C2" s="2" t="inlineStr">
        <is>
          <t>Practice programming problems using Intemediate level DSA concepts of Arrays, Strings and Sorting</t>
        </is>
      </c>
      <c r="D2" s="2" t="inlineStr">
        <is>
          <t>Arrays, Strings, and Sorting - Practice</t>
        </is>
      </c>
      <c r="E2" s="2" t="n">
        <v>1</v>
      </c>
      <c r="F2" s="2" t="inlineStr">
        <is>
          <t>Chef and Dolls</t>
        </is>
      </c>
      <c r="G2" s="2" t="inlineStr">
        <is>
          <t>MISSP</t>
        </is>
      </c>
      <c r="H2" s="2" t="inlineStr">
        <is>
          <t>1012</t>
        </is>
      </c>
      <c r="I2" s="2" t="inlineStr">
        <is>
          <t>Easy</t>
        </is>
      </c>
      <c r="J2" s="3">
        <f>HYPERLINK("https://www.codechef.com/problems/MISSP", "https://www.codechef.com/problems/MISSP")</f>
        <v/>
      </c>
      <c r="K2" s="2" t="inlineStr"/>
      <c r="L2" s="2" t="inlineStr">
        <is>
          <t>Arrays, Data Structures, Divisibility, Frequency Arrays, Mathematics, Modular Arithmetic</t>
        </is>
      </c>
      <c r="M2" s="2" t="inlineStr"/>
      <c r="N2" s="2" t="inlineStr">
        <is>
          <t>No</t>
        </is>
      </c>
      <c r="O2" s="2" t="inlineStr">
        <is>
          <t>Unattempted</t>
        </is>
      </c>
    </row>
    <row r="3">
      <c r="A3" s="4" t="inlineStr">
        <is>
          <t>Algorithms</t>
        </is>
      </c>
      <c r="B3" s="4" t="inlineStr">
        <is>
          <t>Arrays, Strings &amp; Sorting</t>
        </is>
      </c>
      <c r="C3" s="4" t="inlineStr">
        <is>
          <t>Practice programming problems using Intemediate level DSA concepts of Arrays, Strings and Sorting</t>
        </is>
      </c>
      <c r="D3" s="4" t="inlineStr">
        <is>
          <t>Arrays, Strings, and Sorting - Practice</t>
        </is>
      </c>
      <c r="E3" s="4" t="n">
        <v>2</v>
      </c>
      <c r="F3" s="4" t="inlineStr">
        <is>
          <t>Devu and friendship testing</t>
        </is>
      </c>
      <c r="G3" s="4" t="inlineStr">
        <is>
          <t>CFRTEST</t>
        </is>
      </c>
      <c r="H3" s="4" t="inlineStr">
        <is>
          <t>1061</t>
        </is>
      </c>
      <c r="I3" s="4" t="inlineStr">
        <is>
          <t>Easy</t>
        </is>
      </c>
      <c r="J3" s="5">
        <f>HYPERLINK("https://www.codechef.com/problems/CFRTEST", "https://www.codechef.com/problems/CFRTEST")</f>
        <v/>
      </c>
      <c r="K3" s="4" t="inlineStr"/>
      <c r="L3" s="4" t="inlineStr"/>
      <c r="M3" s="4" t="inlineStr"/>
      <c r="N3" s="4" t="inlineStr">
        <is>
          <t>No</t>
        </is>
      </c>
      <c r="O3" s="4" t="inlineStr">
        <is>
          <t>Unattempted</t>
        </is>
      </c>
    </row>
    <row r="4">
      <c r="A4" s="2" t="inlineStr">
        <is>
          <t>Algorithms</t>
        </is>
      </c>
      <c r="B4" s="2" t="inlineStr">
        <is>
          <t>Arrays, Strings &amp; Sorting</t>
        </is>
      </c>
      <c r="C4" s="2" t="inlineStr">
        <is>
          <t>Practice programming problems using Intemediate level DSA concepts of Arrays, Strings and Sorting</t>
        </is>
      </c>
      <c r="D4" s="2" t="inlineStr">
        <is>
          <t>Arrays, Strings, and Sorting - Practice</t>
        </is>
      </c>
      <c r="E4" s="2" t="n">
        <v>3</v>
      </c>
      <c r="F4" s="2" t="inlineStr">
        <is>
          <t>Equal Elements</t>
        </is>
      </c>
      <c r="G4" s="2" t="inlineStr">
        <is>
          <t>EQUALELE</t>
        </is>
      </c>
      <c r="H4" s="2" t="inlineStr">
        <is>
          <t>1123</t>
        </is>
      </c>
      <c r="I4" s="2" t="inlineStr">
        <is>
          <t>Easy</t>
        </is>
      </c>
      <c r="J4" s="3">
        <f>HYPERLINK("https://www.codechef.com/problems/EQUALELE", "https://www.codechef.com/problems/EQUALELE")</f>
        <v/>
      </c>
      <c r="K4" s="2" t="inlineStr"/>
      <c r="L4" s="2" t="inlineStr">
        <is>
          <t>Arrays, Data Structures, Frequency Arrays</t>
        </is>
      </c>
      <c r="M4" s="2" t="inlineStr"/>
      <c r="N4" s="2" t="inlineStr">
        <is>
          <t>No</t>
        </is>
      </c>
      <c r="O4" s="2" t="inlineStr">
        <is>
          <t>Unattempted</t>
        </is>
      </c>
    </row>
    <row r="5">
      <c r="A5" s="4" t="inlineStr">
        <is>
          <t>Algorithms</t>
        </is>
      </c>
      <c r="B5" s="4" t="inlineStr">
        <is>
          <t>Arrays, Strings &amp; Sorting</t>
        </is>
      </c>
      <c r="C5" s="4" t="inlineStr">
        <is>
          <t>Practice programming problems using Intemediate level DSA concepts of Arrays, Strings and Sorting</t>
        </is>
      </c>
      <c r="D5" s="4" t="inlineStr">
        <is>
          <t>Arrays, Strings, and Sorting - Practice</t>
        </is>
      </c>
      <c r="E5" s="4" t="n">
        <v>4</v>
      </c>
      <c r="F5" s="4" t="inlineStr">
        <is>
          <t>Dominant Element</t>
        </is>
      </c>
      <c r="G5" s="4" t="inlineStr">
        <is>
          <t>DOMINANT2</t>
        </is>
      </c>
      <c r="H5" s="4" t="inlineStr">
        <is>
          <t>1171</t>
        </is>
      </c>
      <c r="I5" s="4" t="inlineStr">
        <is>
          <t>Easy</t>
        </is>
      </c>
      <c r="J5" s="5">
        <f>HYPERLINK("https://www.codechef.com/problems/DOMINANT2", "https://www.codechef.com/problems/DOMINANT2")</f>
        <v/>
      </c>
      <c r="K5" s="4" t="inlineStr"/>
      <c r="L5" s="4" t="inlineStr">
        <is>
          <t>Arrays, Data Structures, Frequency Arrays</t>
        </is>
      </c>
      <c r="M5" s="4" t="inlineStr"/>
      <c r="N5" s="4" t="inlineStr">
        <is>
          <t>No</t>
        </is>
      </c>
      <c r="O5" s="4" t="inlineStr">
        <is>
          <t>Unattempted</t>
        </is>
      </c>
    </row>
    <row r="6">
      <c r="A6" s="2" t="inlineStr">
        <is>
          <t>Algorithms</t>
        </is>
      </c>
      <c r="B6" s="2" t="inlineStr">
        <is>
          <t>Arrays, Strings &amp; Sorting</t>
        </is>
      </c>
      <c r="C6" s="2" t="inlineStr">
        <is>
          <t>Practice programming problems using Intemediate level DSA concepts of Arrays, Strings and Sorting</t>
        </is>
      </c>
      <c r="D6" s="2" t="inlineStr">
        <is>
          <t>Arrays, Strings, and Sorting - Practice</t>
        </is>
      </c>
      <c r="E6" s="2" t="n">
        <v>5</v>
      </c>
      <c r="F6" s="2" t="inlineStr">
        <is>
          <t>Distinct Colors</t>
        </is>
      </c>
      <c r="G6" s="2" t="inlineStr">
        <is>
          <t>DISTINCTCOL</t>
        </is>
      </c>
      <c r="H6" s="2" t="inlineStr">
        <is>
          <t>760</t>
        </is>
      </c>
      <c r="I6" s="2" t="inlineStr">
        <is>
          <t>Easy</t>
        </is>
      </c>
      <c r="J6" s="3">
        <f>HYPERLINK("https://www.codechef.com/problems/DISTINCTCOL", "https://www.codechef.com/problems/DISTINCTCOL")</f>
        <v/>
      </c>
      <c r="K6" s="2" t="inlineStr"/>
      <c r="L6" s="2" t="inlineStr">
        <is>
          <t>Basic Math, Mathematics</t>
        </is>
      </c>
      <c r="M6" s="2" t="inlineStr"/>
      <c r="N6" s="2" t="inlineStr">
        <is>
          <t>No</t>
        </is>
      </c>
      <c r="O6" s="2" t="inlineStr">
        <is>
          <t>Unattempted</t>
        </is>
      </c>
    </row>
    <row r="7">
      <c r="A7" s="4" t="inlineStr">
        <is>
          <t>Algorithms</t>
        </is>
      </c>
      <c r="B7" s="4" t="inlineStr">
        <is>
          <t>Arrays, Strings &amp; Sorting</t>
        </is>
      </c>
      <c r="C7" s="4" t="inlineStr">
        <is>
          <t>Practice programming problems using Intemediate level DSA concepts of Arrays, Strings and Sorting</t>
        </is>
      </c>
      <c r="D7" s="4" t="inlineStr">
        <is>
          <t>Arrays, Strings, and Sorting - Pro Practice</t>
        </is>
      </c>
      <c r="E7" s="4" t="n">
        <v>6</v>
      </c>
      <c r="F7" s="4" t="inlineStr">
        <is>
          <t>Lapindromes</t>
        </is>
      </c>
      <c r="G7" s="4" t="inlineStr">
        <is>
          <t>LAPIN</t>
        </is>
      </c>
      <c r="H7" s="4" t="inlineStr">
        <is>
          <t>1159</t>
        </is>
      </c>
      <c r="I7" s="4" t="inlineStr">
        <is>
          <t>Easy</t>
        </is>
      </c>
      <c r="J7" s="5">
        <f>HYPERLINK("https://www.codechef.com/problems/LAPIN", "https://www.codechef.com/problems/LAPIN")</f>
        <v/>
      </c>
      <c r="K7" s="4" t="inlineStr"/>
      <c r="L7" s="4" t="inlineStr">
        <is>
          <t>Arrays, Data Structures, Frequency Arrays, Hashmaps, Maps</t>
        </is>
      </c>
      <c r="M7" s="4" t="inlineStr"/>
      <c r="N7" s="4" t="inlineStr">
        <is>
          <t>No</t>
        </is>
      </c>
      <c r="O7" s="4" t="inlineStr">
        <is>
          <t>Unattempted</t>
        </is>
      </c>
    </row>
    <row r="8">
      <c r="A8" s="2" t="inlineStr">
        <is>
          <t>Algorithms</t>
        </is>
      </c>
      <c r="B8" s="2" t="inlineStr">
        <is>
          <t>Arrays, Strings &amp; Sorting</t>
        </is>
      </c>
      <c r="C8" s="2" t="inlineStr">
        <is>
          <t>Practice programming problems using Intemediate level DSA concepts of Arrays, Strings and Sorting</t>
        </is>
      </c>
      <c r="D8" s="2" t="inlineStr">
        <is>
          <t>Arrays, Strings, and Sorting - Pro Practice</t>
        </is>
      </c>
      <c r="E8" s="2" t="n">
        <v>7</v>
      </c>
      <c r="F8" s="2" t="inlineStr">
        <is>
          <t>Little Elephant and Lemonade</t>
        </is>
      </c>
      <c r="G8" s="2" t="inlineStr">
        <is>
          <t>LELEMON</t>
        </is>
      </c>
      <c r="H8" s="2" t="inlineStr">
        <is>
          <t>1472</t>
        </is>
      </c>
      <c r="I8" s="2" t="inlineStr">
        <is>
          <t>Medium</t>
        </is>
      </c>
      <c r="J8" s="3">
        <f>HYPERLINK("https://www.codechef.com/problems/LELEMON", "https://www.codechef.com/problems/LELEMON")</f>
        <v/>
      </c>
      <c r="K8" s="2" t="inlineStr"/>
      <c r="L8" s="2" t="inlineStr"/>
      <c r="M8" s="2" t="inlineStr"/>
      <c r="N8" s="2" t="inlineStr">
        <is>
          <t>No</t>
        </is>
      </c>
      <c r="O8" s="2" t="inlineStr">
        <is>
          <t>Unattempted</t>
        </is>
      </c>
    </row>
    <row r="9">
      <c r="A9" s="4" t="inlineStr">
        <is>
          <t>Algorithms</t>
        </is>
      </c>
      <c r="B9" s="4" t="inlineStr">
        <is>
          <t>Arrays, Strings &amp; Sorting</t>
        </is>
      </c>
      <c r="C9" s="4" t="inlineStr">
        <is>
          <t>Practice programming problems using Intemediate level DSA concepts of Arrays, Strings and Sorting</t>
        </is>
      </c>
      <c r="D9" s="4" t="inlineStr">
        <is>
          <t>Arrays, Strings, and Sorting - Pro Practice</t>
        </is>
      </c>
      <c r="E9" s="4" t="n">
        <v>8</v>
      </c>
      <c r="F9" s="4" t="inlineStr">
        <is>
          <t>Equal Distinct</t>
        </is>
      </c>
      <c r="G9" s="4" t="inlineStr">
        <is>
          <t>EQDIS</t>
        </is>
      </c>
      <c r="H9" s="4" t="inlineStr">
        <is>
          <t>1288</t>
        </is>
      </c>
      <c r="I9" s="4" t="inlineStr">
        <is>
          <t>Easy</t>
        </is>
      </c>
      <c r="J9" s="5">
        <f>HYPERLINK("https://www.codechef.com/problems/EQDIS", "https://www.codechef.com/problems/EQDIS")</f>
        <v/>
      </c>
      <c r="K9" s="4" t="inlineStr"/>
      <c r="L9" s="4" t="inlineStr"/>
      <c r="M9" s="4" t="inlineStr"/>
      <c r="N9" s="4" t="inlineStr">
        <is>
          <t>No</t>
        </is>
      </c>
      <c r="O9" s="4" t="inlineStr">
        <is>
          <t>Unattempted</t>
        </is>
      </c>
    </row>
    <row r="10">
      <c r="A10" s="2" t="inlineStr">
        <is>
          <t>Algorithms</t>
        </is>
      </c>
      <c r="B10" s="2" t="inlineStr">
        <is>
          <t>Arrays, Strings &amp; Sorting</t>
        </is>
      </c>
      <c r="C10" s="2" t="inlineStr">
        <is>
          <t>Practice programming problems using Intemediate level DSA concepts of Arrays, Strings and Sorting</t>
        </is>
      </c>
      <c r="D10" s="2" t="inlineStr">
        <is>
          <t>Arrays, Strings, and Sorting - Pro Practice</t>
        </is>
      </c>
      <c r="E10" s="2" t="n">
        <v>9</v>
      </c>
      <c r="F10" s="2" t="inlineStr">
        <is>
          <t>Maximum Expression</t>
        </is>
      </c>
      <c r="G10" s="2" t="inlineStr">
        <is>
          <t>MAXEXP</t>
        </is>
      </c>
      <c r="H10" s="2" t="inlineStr">
        <is>
          <t>1494</t>
        </is>
      </c>
      <c r="I10" s="2" t="inlineStr">
        <is>
          <t>Medium</t>
        </is>
      </c>
      <c r="J10" s="3">
        <f>HYPERLINK("https://www.codechef.com/problems/MAXEXP", "https://www.codechef.com/problems/MAXEXP")</f>
        <v/>
      </c>
      <c r="K10" s="2" t="inlineStr"/>
      <c r="L10" s="2" t="inlineStr"/>
      <c r="M10" s="2" t="inlineStr"/>
      <c r="N10" s="2" t="inlineStr">
        <is>
          <t>No</t>
        </is>
      </c>
      <c r="O10" s="2" t="inlineStr">
        <is>
          <t>Unattempted</t>
        </is>
      </c>
    </row>
    <row r="11">
      <c r="A11" s="4" t="inlineStr">
        <is>
          <t>Algorithms</t>
        </is>
      </c>
      <c r="B11" s="4" t="inlineStr">
        <is>
          <t>Arrays, Strings &amp; Sorting</t>
        </is>
      </c>
      <c r="C11" s="4" t="inlineStr">
        <is>
          <t>Practice programming problems using Intemediate level DSA concepts of Arrays, Strings and Sorting</t>
        </is>
      </c>
      <c r="D11" s="4" t="inlineStr">
        <is>
          <t>Arrays, Strings, and Sorting - Pro Practice</t>
        </is>
      </c>
      <c r="E11" s="4" t="n">
        <v>10</v>
      </c>
      <c r="F11" s="4" t="inlineStr">
        <is>
          <t>List of Lists</t>
        </is>
      </c>
      <c r="G11" s="4" t="inlineStr">
        <is>
          <t>LISTLIST</t>
        </is>
      </c>
      <c r="H11" s="4" t="inlineStr">
        <is>
          <t>1567</t>
        </is>
      </c>
      <c r="I11" s="4" t="inlineStr">
        <is>
          <t>Medium</t>
        </is>
      </c>
      <c r="J11" s="5">
        <f>HYPERLINK("https://www.codechef.com/problems/LISTLIST", "https://www.codechef.com/problems/LISTLIST")</f>
        <v/>
      </c>
      <c r="K11" s="4" t="inlineStr"/>
      <c r="L11" s="4" t="inlineStr"/>
      <c r="M11" s="4" t="inlineStr"/>
      <c r="N11" s="4" t="inlineStr">
        <is>
          <t>No</t>
        </is>
      </c>
      <c r="O11" s="4" t="inlineStr">
        <is>
          <t>Unattempted</t>
        </is>
      </c>
    </row>
    <row r="12">
      <c r="A12" s="2" t="inlineStr">
        <is>
          <t>Algorithms</t>
        </is>
      </c>
      <c r="B12" s="2" t="inlineStr">
        <is>
          <t>Greedy Algorithms</t>
        </is>
      </c>
      <c r="C12" s="2" t="inlineStr">
        <is>
          <t xml:space="preserve">Understanding Greedy algorithms helps in solving many complex problems where choosing the best option at each step provides the best solution.
</t>
        </is>
      </c>
      <c r="D12" s="2" t="inlineStr">
        <is>
          <t>Greedy Algorithms - Practice</t>
        </is>
      </c>
      <c r="E12" s="2" t="n">
        <v>1</v>
      </c>
      <c r="F12" s="2" t="inlineStr">
        <is>
          <t>Changes remaining at Lemonade shop</t>
        </is>
      </c>
      <c r="G12" s="2" t="inlineStr">
        <is>
          <t>TDQVH01</t>
        </is>
      </c>
      <c r="H12" s="2" t="inlineStr"/>
      <c r="I12" s="2" t="inlineStr">
        <is>
          <t>Medium</t>
        </is>
      </c>
      <c r="J12" s="3">
        <f>HYPERLINK("https://www.codechef.com/problems/TDQVH01", "https://www.codechef.com/problems/TDQVH01")</f>
        <v/>
      </c>
      <c r="K12" s="2" t="inlineStr"/>
      <c r="L12" s="2" t="inlineStr"/>
      <c r="M12" s="2" t="inlineStr"/>
      <c r="N12" s="2" t="inlineStr">
        <is>
          <t>No</t>
        </is>
      </c>
      <c r="O12" s="2" t="inlineStr">
        <is>
          <t>Unattempted</t>
        </is>
      </c>
    </row>
    <row r="13">
      <c r="A13" s="4" t="inlineStr">
        <is>
          <t>Algorithms</t>
        </is>
      </c>
      <c r="B13" s="4" t="inlineStr">
        <is>
          <t>Greedy Algorithms</t>
        </is>
      </c>
      <c r="C13" s="4" t="inlineStr">
        <is>
          <t xml:space="preserve">Understanding Greedy algorithms helps in solving many complex problems where choosing the best option at each step provides the best solution.
</t>
        </is>
      </c>
      <c r="D13" s="4" t="inlineStr">
        <is>
          <t>Greedy Algorithms - Practice</t>
        </is>
      </c>
      <c r="E13" s="4" t="n">
        <v>2</v>
      </c>
      <c r="F13" s="4" t="inlineStr">
        <is>
          <t>Chef and String</t>
        </is>
      </c>
      <c r="G13" s="4" t="inlineStr">
        <is>
          <t>XYSTR</t>
        </is>
      </c>
      <c r="H13" s="4" t="inlineStr">
        <is>
          <t>1124</t>
        </is>
      </c>
      <c r="I13" s="4" t="inlineStr">
        <is>
          <t>Easy</t>
        </is>
      </c>
      <c r="J13" s="5">
        <f>HYPERLINK("https://www.codechef.com/problems/XYSTR", "https://www.codechef.com/problems/XYSTR")</f>
        <v/>
      </c>
      <c r="K13" s="4" t="inlineStr"/>
      <c r="L13" s="4" t="inlineStr"/>
      <c r="M13" s="4" t="inlineStr"/>
      <c r="N13" s="4" t="inlineStr">
        <is>
          <t>No</t>
        </is>
      </c>
      <c r="O13" s="4" t="inlineStr">
        <is>
          <t>Unattempted</t>
        </is>
      </c>
    </row>
    <row r="14">
      <c r="A14" s="2" t="inlineStr">
        <is>
          <t>Algorithms</t>
        </is>
      </c>
      <c r="B14" s="2" t="inlineStr">
        <is>
          <t>Greedy Algorithms</t>
        </is>
      </c>
      <c r="C14" s="2" t="inlineStr">
        <is>
          <t xml:space="preserve">Understanding Greedy algorithms helps in solving many complex problems where choosing the best option at each step provides the best solution.
</t>
        </is>
      </c>
      <c r="D14" s="2" t="inlineStr">
        <is>
          <t>Greedy Algorithms - Practice</t>
        </is>
      </c>
      <c r="E14" s="2" t="n">
        <v>3</v>
      </c>
      <c r="F14" s="2" t="inlineStr">
        <is>
          <t>Watson asks Does Permutation Exist</t>
        </is>
      </c>
      <c r="G14" s="2" t="inlineStr">
        <is>
          <t>PERMEXIS</t>
        </is>
      </c>
      <c r="H14" s="2" t="inlineStr">
        <is>
          <t>1207</t>
        </is>
      </c>
      <c r="I14" s="2" t="inlineStr">
        <is>
          <t>Easy</t>
        </is>
      </c>
      <c r="J14" s="3">
        <f>HYPERLINK("https://www.codechef.com/problems/PERMEXIS", "https://www.codechef.com/problems/PERMEXIS")</f>
        <v/>
      </c>
      <c r="K14" s="2" t="inlineStr"/>
      <c r="L14" s="2" t="inlineStr"/>
      <c r="M14" s="2" t="inlineStr"/>
      <c r="N14" s="2" t="inlineStr">
        <is>
          <t>No</t>
        </is>
      </c>
      <c r="O14" s="2" t="inlineStr">
        <is>
          <t>Unattempted</t>
        </is>
      </c>
    </row>
    <row r="15">
      <c r="A15" s="4" t="inlineStr">
        <is>
          <t>Algorithms</t>
        </is>
      </c>
      <c r="B15" s="4" t="inlineStr">
        <is>
          <t>Greedy Algorithms</t>
        </is>
      </c>
      <c r="C15" s="4" t="inlineStr">
        <is>
          <t xml:space="preserve">Understanding Greedy algorithms helps in solving many complex problems where choosing the best option at each step provides the best solution.
</t>
        </is>
      </c>
      <c r="D15" s="4" t="inlineStr">
        <is>
          <t>Greedy Algorithms - Practice</t>
        </is>
      </c>
      <c r="E15" s="4" t="n">
        <v>4</v>
      </c>
      <c r="F15" s="4" t="inlineStr">
        <is>
          <t>Cookie distribution</t>
        </is>
      </c>
      <c r="G15" s="4" t="inlineStr">
        <is>
          <t>COOKIEDIST</t>
        </is>
      </c>
      <c r="H15" s="4" t="inlineStr"/>
      <c r="I15" s="4" t="inlineStr">
        <is>
          <t>Medium</t>
        </is>
      </c>
      <c r="J15" s="5">
        <f>HYPERLINK("https://www.codechef.com/problems/COOKIEDIST", "https://www.codechef.com/problems/COOKIEDIST")</f>
        <v/>
      </c>
      <c r="K15" s="4" t="inlineStr"/>
      <c r="L15" s="4" t="inlineStr"/>
      <c r="M15" s="4" t="inlineStr"/>
      <c r="N15" s="4" t="inlineStr">
        <is>
          <t>No</t>
        </is>
      </c>
      <c r="O15" s="4" t="inlineStr">
        <is>
          <t>Unattempted</t>
        </is>
      </c>
    </row>
    <row r="16">
      <c r="A16" s="2" t="inlineStr">
        <is>
          <t>Algorithms</t>
        </is>
      </c>
      <c r="B16" s="2" t="inlineStr">
        <is>
          <t>Greedy Algorithms</t>
        </is>
      </c>
      <c r="C16" s="2" t="inlineStr">
        <is>
          <t xml:space="preserve">Understanding Greedy algorithms helps in solving many complex problems where choosing the best option at each step provides the best solution.
</t>
        </is>
      </c>
      <c r="D16" s="2" t="inlineStr">
        <is>
          <t>Greedy Algorithms - Practice</t>
        </is>
      </c>
      <c r="E16" s="2" t="n">
        <v>5</v>
      </c>
      <c r="F16" s="2" t="inlineStr">
        <is>
          <t>EVacuate to Moon</t>
        </is>
      </c>
      <c r="G16" s="2" t="inlineStr">
        <is>
          <t>MOONSOON</t>
        </is>
      </c>
      <c r="H16" s="2" t="inlineStr">
        <is>
          <t>1479</t>
        </is>
      </c>
      <c r="I16" s="2" t="inlineStr">
        <is>
          <t>Medium</t>
        </is>
      </c>
      <c r="J16" s="3">
        <f>HYPERLINK("https://www.codechef.com/problems/MOONSOON", "https://www.codechef.com/problems/MOONSOON")</f>
        <v/>
      </c>
      <c r="K16" s="2" t="inlineStr"/>
      <c r="L16" s="2" t="inlineStr">
        <is>
          <t>Algorithms, Greedy, Sorting</t>
        </is>
      </c>
      <c r="M16" s="2" t="inlineStr"/>
      <c r="N16" s="2" t="inlineStr">
        <is>
          <t>No</t>
        </is>
      </c>
      <c r="O16" s="2" t="inlineStr">
        <is>
          <t>Unattempted</t>
        </is>
      </c>
    </row>
    <row r="17">
      <c r="A17" s="4" t="inlineStr">
        <is>
          <t>Algorithms</t>
        </is>
      </c>
      <c r="B17" s="4" t="inlineStr">
        <is>
          <t>Greedy Algorithms</t>
        </is>
      </c>
      <c r="C17" s="4" t="inlineStr">
        <is>
          <t xml:space="preserve">Understanding Greedy algorithms helps in solving many complex problems where choosing the best option at each step provides the best solution.
</t>
        </is>
      </c>
      <c r="D17" s="4" t="inlineStr">
        <is>
          <t>Greedy Algorithms - Practice</t>
        </is>
      </c>
      <c r="E17" s="4" t="n">
        <v>6</v>
      </c>
      <c r="F17" s="4" t="inlineStr">
        <is>
          <t>Maximum Weight Difference</t>
        </is>
      </c>
      <c r="G17" s="4" t="inlineStr">
        <is>
          <t>MAXDIFF</t>
        </is>
      </c>
      <c r="H17" s="4" t="inlineStr">
        <is>
          <t>1308</t>
        </is>
      </c>
      <c r="I17" s="4" t="inlineStr">
        <is>
          <t>Easy</t>
        </is>
      </c>
      <c r="J17" s="5">
        <f>HYPERLINK("https://www.codechef.com/problems/MAXDIFF", "https://www.codechef.com/problems/MAXDIFF")</f>
        <v/>
      </c>
      <c r="K17" s="4" t="inlineStr"/>
      <c r="L17" s="4" t="inlineStr"/>
      <c r="M17" s="4" t="inlineStr"/>
      <c r="N17" s="4" t="inlineStr">
        <is>
          <t>No</t>
        </is>
      </c>
      <c r="O17" s="4" t="inlineStr">
        <is>
          <t>Unattempted</t>
        </is>
      </c>
    </row>
    <row r="18">
      <c r="A18" s="2" t="inlineStr">
        <is>
          <t>Algorithms</t>
        </is>
      </c>
      <c r="B18" s="2" t="inlineStr">
        <is>
          <t>Greedy Algorithms</t>
        </is>
      </c>
      <c r="C18" s="2" t="inlineStr">
        <is>
          <t xml:space="preserve">Understanding Greedy algorithms helps in solving many complex problems where choosing the best option at each step provides the best solution.
</t>
        </is>
      </c>
      <c r="D18" s="2" t="inlineStr">
        <is>
          <t>Greedy Algorithms - Practice</t>
        </is>
      </c>
      <c r="E18" s="2" t="n">
        <v>7</v>
      </c>
      <c r="F18" s="2" t="inlineStr">
        <is>
          <t>Chopsticks</t>
        </is>
      </c>
      <c r="G18" s="2" t="inlineStr">
        <is>
          <t>TACHSTCK</t>
        </is>
      </c>
      <c r="H18" s="2" t="inlineStr">
        <is>
          <t>1320</t>
        </is>
      </c>
      <c r="I18" s="2" t="inlineStr">
        <is>
          <t>Easy</t>
        </is>
      </c>
      <c r="J18" s="3">
        <f>HYPERLINK("https://www.codechef.com/problems/TACHSTCK", "https://www.codechef.com/problems/TACHSTCK")</f>
        <v/>
      </c>
      <c r="K18" s="2" t="inlineStr"/>
      <c r="L18" s="2" t="inlineStr"/>
      <c r="M18" s="2" t="inlineStr"/>
      <c r="N18" s="2" t="inlineStr">
        <is>
          <t>No</t>
        </is>
      </c>
      <c r="O18" s="2" t="inlineStr">
        <is>
          <t>Unattempted</t>
        </is>
      </c>
    </row>
    <row r="19">
      <c r="A19" s="4" t="inlineStr">
        <is>
          <t>Algorithms</t>
        </is>
      </c>
      <c r="B19" s="4" t="inlineStr">
        <is>
          <t>Greedy Algorithms</t>
        </is>
      </c>
      <c r="C19" s="4" t="inlineStr">
        <is>
          <t xml:space="preserve">Understanding Greedy algorithms helps in solving many complex problems where choosing the best option at each step provides the best solution.
</t>
        </is>
      </c>
      <c r="D19" s="4" t="inlineStr">
        <is>
          <t>Greedy Algorithms - Practice</t>
        </is>
      </c>
      <c r="E19" s="4" t="n">
        <v>8</v>
      </c>
      <c r="F19" s="4" t="inlineStr">
        <is>
          <t>Maximize Disjoint Pair Sum</t>
        </is>
      </c>
      <c r="G19" s="4" t="inlineStr">
        <is>
          <t>SUMPAIR</t>
        </is>
      </c>
      <c r="H19" s="4" t="inlineStr">
        <is>
          <t>1643</t>
        </is>
      </c>
      <c r="I19" s="4" t="inlineStr">
        <is>
          <t>Medium</t>
        </is>
      </c>
      <c r="J19" s="5">
        <f>HYPERLINK("https://www.codechef.com/problems/SUMPAIR", "https://www.codechef.com/problems/SUMPAIR")</f>
        <v/>
      </c>
      <c r="K19" s="4" t="inlineStr"/>
      <c r="L19" s="4" t="inlineStr"/>
      <c r="M19" s="4" t="inlineStr"/>
      <c r="N19" s="4" t="inlineStr">
        <is>
          <t>No</t>
        </is>
      </c>
      <c r="O19" s="4" t="inlineStr">
        <is>
          <t>Unattempted</t>
        </is>
      </c>
    </row>
    <row r="20">
      <c r="A20" s="2" t="inlineStr">
        <is>
          <t>Algorithms</t>
        </is>
      </c>
      <c r="B20" s="2" t="inlineStr">
        <is>
          <t>Greedy Algorithms</t>
        </is>
      </c>
      <c r="C20" s="2" t="inlineStr">
        <is>
          <t xml:space="preserve">Understanding Greedy algorithms helps in solving many complex problems where choosing the best option at each step provides the best solution.
</t>
        </is>
      </c>
      <c r="D20" s="2" t="inlineStr">
        <is>
          <t>Greedy Algorithms - Pro Practice</t>
        </is>
      </c>
      <c r="E20" s="2" t="n">
        <v>9</v>
      </c>
      <c r="F20" s="2" t="inlineStr">
        <is>
          <t>Chef Combines Intervals</t>
        </is>
      </c>
      <c r="G20" s="2" t="inlineStr">
        <is>
          <t>GBHHA01</t>
        </is>
      </c>
      <c r="H20" s="2" t="inlineStr"/>
      <c r="I20" s="2" t="inlineStr">
        <is>
          <t>Medium</t>
        </is>
      </c>
      <c r="J20" s="3">
        <f>HYPERLINK("https://www.codechef.com/problems/GBHHA01", "https://www.codechef.com/problems/GBHHA01")</f>
        <v/>
      </c>
      <c r="K20" s="2" t="inlineStr"/>
      <c r="L20" s="2" t="inlineStr"/>
      <c r="M20" s="2" t="inlineStr"/>
      <c r="N20" s="2" t="inlineStr">
        <is>
          <t>No</t>
        </is>
      </c>
      <c r="O20" s="2" t="inlineStr">
        <is>
          <t>Unattempted</t>
        </is>
      </c>
    </row>
    <row r="21">
      <c r="A21" s="4" t="inlineStr">
        <is>
          <t>Algorithms</t>
        </is>
      </c>
      <c r="B21" s="4" t="inlineStr">
        <is>
          <t>Greedy Algorithms</t>
        </is>
      </c>
      <c r="C21" s="4" t="inlineStr">
        <is>
          <t xml:space="preserve">Understanding Greedy algorithms helps in solving many complex problems where choosing the best option at each step provides the best solution.
</t>
        </is>
      </c>
      <c r="D21" s="4" t="inlineStr">
        <is>
          <t>Greedy Algorithms - Pro Practice</t>
        </is>
      </c>
      <c r="E21" s="4" t="n">
        <v>10</v>
      </c>
      <c r="F21" s="4" t="inlineStr">
        <is>
          <t>Chef Inserts Insert Interval</t>
        </is>
      </c>
      <c r="G21" s="4" t="inlineStr">
        <is>
          <t>NSJNH01</t>
        </is>
      </c>
      <c r="H21" s="4" t="inlineStr"/>
      <c r="I21" s="4" t="inlineStr">
        <is>
          <t>Medium</t>
        </is>
      </c>
      <c r="J21" s="5">
        <f>HYPERLINK("https://www.codechef.com/problems/NSJNH01", "https://www.codechef.com/problems/NSJNH01")</f>
        <v/>
      </c>
      <c r="K21" s="4" t="inlineStr"/>
      <c r="L21" s="4" t="inlineStr"/>
      <c r="M21" s="4" t="inlineStr"/>
      <c r="N21" s="4" t="inlineStr">
        <is>
          <t>No</t>
        </is>
      </c>
      <c r="O21" s="4" t="inlineStr">
        <is>
          <t>Unattempted</t>
        </is>
      </c>
    </row>
    <row r="22">
      <c r="A22" s="2" t="inlineStr">
        <is>
          <t>Algorithms</t>
        </is>
      </c>
      <c r="B22" s="2" t="inlineStr">
        <is>
          <t>Greedy Algorithms</t>
        </is>
      </c>
      <c r="C22" s="2" t="inlineStr">
        <is>
          <t xml:space="preserve">Understanding Greedy algorithms helps in solving many complex problems where choosing the best option at each step provides the best solution.
</t>
        </is>
      </c>
      <c r="D22" s="2" t="inlineStr">
        <is>
          <t>Greedy Algorithms - Pro Practice</t>
        </is>
      </c>
      <c r="E22" s="2" t="n">
        <v>11</v>
      </c>
      <c r="F22" s="2" t="inlineStr">
        <is>
          <t>Chef Removes Overlapping Intervals</t>
        </is>
      </c>
      <c r="G22" s="2" t="inlineStr">
        <is>
          <t>COCRZ01</t>
        </is>
      </c>
      <c r="H22" s="2" t="inlineStr"/>
      <c r="I22" s="2" t="inlineStr">
        <is>
          <t>Medium</t>
        </is>
      </c>
      <c r="J22" s="3">
        <f>HYPERLINK("https://www.codechef.com/problems/COCRZ01", "https://www.codechef.com/problems/COCRZ01")</f>
        <v/>
      </c>
      <c r="K22" s="2" t="inlineStr"/>
      <c r="L22" s="2" t="inlineStr"/>
      <c r="M22" s="2" t="inlineStr"/>
      <c r="N22" s="2" t="inlineStr">
        <is>
          <t>No</t>
        </is>
      </c>
      <c r="O22" s="2" t="inlineStr">
        <is>
          <t>Unattempted</t>
        </is>
      </c>
    </row>
    <row r="23">
      <c r="A23" s="4" t="inlineStr">
        <is>
          <t>Algorithms</t>
        </is>
      </c>
      <c r="B23" s="4" t="inlineStr">
        <is>
          <t>Greedy Algorithms</t>
        </is>
      </c>
      <c r="C23" s="4" t="inlineStr">
        <is>
          <t xml:space="preserve">Understanding Greedy algorithms helps in solving many complex problems where choosing the best option at each step provides the best solution.
</t>
        </is>
      </c>
      <c r="D23" s="4" t="inlineStr">
        <is>
          <t>Greedy Algorithms - Pro Practice</t>
        </is>
      </c>
      <c r="E23" s="4" t="n">
        <v>12</v>
      </c>
      <c r="F23" s="4" t="inlineStr">
        <is>
          <t>Covering</t>
        </is>
      </c>
      <c r="G23" s="4" t="inlineStr">
        <is>
          <t>ZCO15003</t>
        </is>
      </c>
      <c r="H23" s="4" t="inlineStr">
        <is>
          <t>1700</t>
        </is>
      </c>
      <c r="I23" s="4" t="inlineStr">
        <is>
          <t>Medium</t>
        </is>
      </c>
      <c r="J23" s="5">
        <f>HYPERLINK("https://www.codechef.com/problems/ZCO15003", "https://www.codechef.com/problems/ZCO15003")</f>
        <v/>
      </c>
      <c r="K23" s="4" t="inlineStr"/>
      <c r="L23" s="4" t="inlineStr"/>
      <c r="M23" s="4" t="inlineStr"/>
      <c r="N23" s="4" t="inlineStr">
        <is>
          <t>No</t>
        </is>
      </c>
      <c r="O23" s="4" t="inlineStr">
        <is>
          <t>Unattempted</t>
        </is>
      </c>
    </row>
    <row r="24">
      <c r="A24" s="2" t="inlineStr">
        <is>
          <t>Algorithms</t>
        </is>
      </c>
      <c r="B24" s="2" t="inlineStr">
        <is>
          <t>Greedy Algorithms</t>
        </is>
      </c>
      <c r="C24" s="2" t="inlineStr">
        <is>
          <t xml:space="preserve">Understanding Greedy algorithms helps in solving many complex problems where choosing the best option at each step provides the best solution.
</t>
        </is>
      </c>
      <c r="D24" s="2" t="inlineStr">
        <is>
          <t>Greedy Algorithms - Pro Practice</t>
        </is>
      </c>
      <c r="E24" s="2" t="n">
        <v>13</v>
      </c>
      <c r="F24" s="2" t="inlineStr">
        <is>
          <t>Little Elephant and Music</t>
        </is>
      </c>
      <c r="G24" s="2" t="inlineStr">
        <is>
          <t>LEMUSIC</t>
        </is>
      </c>
      <c r="H24" s="2" t="inlineStr">
        <is>
          <t>1691</t>
        </is>
      </c>
      <c r="I24" s="2" t="inlineStr">
        <is>
          <t>Medium</t>
        </is>
      </c>
      <c r="J24" s="3">
        <f>HYPERLINK("https://www.codechef.com/problems/LEMUSIC", "https://www.codechef.com/problems/LEMUSIC")</f>
        <v/>
      </c>
      <c r="K24" s="2" t="inlineStr"/>
      <c r="L24" s="2" t="inlineStr"/>
      <c r="M24" s="2" t="inlineStr"/>
      <c r="N24" s="2" t="inlineStr">
        <is>
          <t>No</t>
        </is>
      </c>
      <c r="O24" s="2" t="inlineStr">
        <is>
          <t>Unattempted</t>
        </is>
      </c>
    </row>
    <row r="25">
      <c r="A25" s="4" t="inlineStr">
        <is>
          <t>Algorithms</t>
        </is>
      </c>
      <c r="B25" s="4" t="inlineStr">
        <is>
          <t>Greedy Algorithms</t>
        </is>
      </c>
      <c r="C25" s="4" t="inlineStr">
        <is>
          <t xml:space="preserve">Understanding Greedy algorithms helps in solving many complex problems where choosing the best option at each step provides the best solution.
</t>
        </is>
      </c>
      <c r="D25" s="4" t="inlineStr">
        <is>
          <t>Greedy Algorithms - Pro Practice</t>
        </is>
      </c>
      <c r="E25" s="4" t="n">
        <v>14</v>
      </c>
      <c r="F25" s="4" t="inlineStr">
        <is>
          <t>Maximum Score</t>
        </is>
      </c>
      <c r="G25" s="4" t="inlineStr">
        <is>
          <t>MAXSC</t>
        </is>
      </c>
      <c r="H25" s="4" t="inlineStr">
        <is>
          <t>1561</t>
        </is>
      </c>
      <c r="I25" s="4" t="inlineStr">
        <is>
          <t>Medium</t>
        </is>
      </c>
      <c r="J25" s="5">
        <f>HYPERLINK("https://www.codechef.com/problems/MAXSC", "https://www.codechef.com/problems/MAXSC")</f>
        <v/>
      </c>
      <c r="K25" s="4" t="inlineStr"/>
      <c r="L25" s="4" t="inlineStr"/>
      <c r="M25" s="4" t="inlineStr"/>
      <c r="N25" s="4" t="inlineStr">
        <is>
          <t>No</t>
        </is>
      </c>
      <c r="O25" s="4" t="inlineStr">
        <is>
          <t>Unattempted</t>
        </is>
      </c>
    </row>
    <row r="26">
      <c r="A26" s="2" t="inlineStr">
        <is>
          <t>Algorithms</t>
        </is>
      </c>
      <c r="B26" s="2" t="inlineStr">
        <is>
          <t>Greedy Algorithms</t>
        </is>
      </c>
      <c r="C26" s="2" t="inlineStr">
        <is>
          <t xml:space="preserve">Understanding Greedy algorithms helps in solving many complex problems where choosing the best option at each step provides the best solution.
</t>
        </is>
      </c>
      <c r="D26" s="2" t="inlineStr">
        <is>
          <t>Greedy Algorithms - Pro Practice</t>
        </is>
      </c>
      <c r="E26" s="2" t="n">
        <v>15</v>
      </c>
      <c r="F26" s="2" t="inlineStr">
        <is>
          <t>Snakes, Mongooses and the Ultimate Election</t>
        </is>
      </c>
      <c r="G26" s="2" t="inlineStr">
        <is>
          <t>SNELECT</t>
        </is>
      </c>
      <c r="H26" s="2" t="inlineStr">
        <is>
          <t>1500</t>
        </is>
      </c>
      <c r="I26" s="2" t="inlineStr">
        <is>
          <t>Medium</t>
        </is>
      </c>
      <c r="J26" s="3">
        <f>HYPERLINK("https://www.codechef.com/problems/SNELECT", "https://www.codechef.com/problems/SNELECT")</f>
        <v/>
      </c>
      <c r="K26" s="2" t="inlineStr"/>
      <c r="L26" s="2" t="inlineStr"/>
      <c r="M26" s="2" t="inlineStr"/>
      <c r="N26" s="2" t="inlineStr">
        <is>
          <t>No</t>
        </is>
      </c>
      <c r="O26" s="2" t="inlineStr">
        <is>
          <t>Unattempted</t>
        </is>
      </c>
    </row>
    <row r="27">
      <c r="A27" s="4" t="inlineStr">
        <is>
          <t>Algorithms</t>
        </is>
      </c>
      <c r="B27" s="4" t="inlineStr">
        <is>
          <t>Greedy Algorithms</t>
        </is>
      </c>
      <c r="C27" s="4" t="inlineStr">
        <is>
          <t xml:space="preserve">Understanding Greedy algorithms helps in solving many complex problems where choosing the best option at each step provides the best solution.
</t>
        </is>
      </c>
      <c r="D27" s="4" t="inlineStr">
        <is>
          <t>Greedy Algorithms - Pro Practice</t>
        </is>
      </c>
      <c r="E27" s="4" t="n">
        <v>16</v>
      </c>
      <c r="F27" s="4" t="inlineStr">
        <is>
          <t>Valid Parenthesis String Practice</t>
        </is>
      </c>
      <c r="G27" s="4" t="inlineStr">
        <is>
          <t>ADYOB01</t>
        </is>
      </c>
      <c r="H27" s="4" t="inlineStr"/>
      <c r="I27" s="4" t="inlineStr">
        <is>
          <t>Hard</t>
        </is>
      </c>
      <c r="J27" s="5">
        <f>HYPERLINK("https://www.codechef.com/problems/ADYOB01", "https://www.codechef.com/problems/ADYOB01")</f>
        <v/>
      </c>
      <c r="K27" s="4" t="inlineStr"/>
      <c r="L27" s="4" t="inlineStr"/>
      <c r="M27" s="4" t="inlineStr"/>
      <c r="N27" s="4" t="inlineStr">
        <is>
          <t>No</t>
        </is>
      </c>
      <c r="O27" s="4" t="inlineStr">
        <is>
          <t>Unattempted</t>
        </is>
      </c>
    </row>
    <row r="28">
      <c r="A28" s="2" t="inlineStr">
        <is>
          <t>Algorithms</t>
        </is>
      </c>
      <c r="B28" s="2" t="inlineStr">
        <is>
          <t>Greedy Algorithms</t>
        </is>
      </c>
      <c r="C28" s="2" t="inlineStr">
        <is>
          <t xml:space="preserve">Understanding Greedy algorithms helps in solving many complex problems where choosing the best option at each step provides the best solution.
</t>
        </is>
      </c>
      <c r="D28" s="2" t="inlineStr">
        <is>
          <t>Greedy Algorithms - Pro Practice</t>
        </is>
      </c>
      <c r="E28" s="2" t="n">
        <v>17</v>
      </c>
      <c r="F28" s="2" t="inlineStr">
        <is>
          <t>Chef Solves Meeting Rooms III</t>
        </is>
      </c>
      <c r="G28" s="2" t="inlineStr">
        <is>
          <t>AVEEC01</t>
        </is>
      </c>
      <c r="H28" s="2" t="inlineStr"/>
      <c r="I28" s="2" t="inlineStr">
        <is>
          <t>Hard</t>
        </is>
      </c>
      <c r="J28" s="3">
        <f>HYPERLINK("https://www.codechef.com/problems/AVEEC01", "https://www.codechef.com/problems/AVEEC01")</f>
        <v/>
      </c>
      <c r="K28" s="2" t="inlineStr"/>
      <c r="L28" s="2" t="inlineStr"/>
      <c r="M28" s="2" t="inlineStr"/>
      <c r="N28" s="2" t="inlineStr">
        <is>
          <t>No</t>
        </is>
      </c>
      <c r="O28" s="2" t="inlineStr">
        <is>
          <t>Unattempted</t>
        </is>
      </c>
    </row>
    <row r="29">
      <c r="A29" s="4" t="inlineStr">
        <is>
          <t>Algorithms</t>
        </is>
      </c>
      <c r="B29" s="4" t="inlineStr">
        <is>
          <t>Greedy Algorithms</t>
        </is>
      </c>
      <c r="C29" s="4" t="inlineStr">
        <is>
          <t xml:space="preserve">Understanding Greedy algorithms helps in solving many complex problems where choosing the best option at each step provides the best solution.
</t>
        </is>
      </c>
      <c r="D29" s="4" t="inlineStr">
        <is>
          <t>Greedy Algorithms - Pro Practice</t>
        </is>
      </c>
      <c r="E29" s="4" t="n">
        <v>18</v>
      </c>
      <c r="F29" s="4" t="inlineStr">
        <is>
          <t>K-Flip</t>
        </is>
      </c>
      <c r="G29" s="4" t="inlineStr">
        <is>
          <t>KLIP</t>
        </is>
      </c>
      <c r="H29" s="4" t="inlineStr">
        <is>
          <t>1757</t>
        </is>
      </c>
      <c r="I29" s="4" t="inlineStr">
        <is>
          <t>Medium</t>
        </is>
      </c>
      <c r="J29" s="5">
        <f>HYPERLINK("https://www.codechef.com/problems/KLIP", "https://www.codechef.com/problems/KLIP")</f>
        <v/>
      </c>
      <c r="K29" s="4" t="inlineStr"/>
      <c r="L29" s="4" t="inlineStr"/>
      <c r="M29" s="4" t="inlineStr"/>
      <c r="N29" s="4" t="inlineStr">
        <is>
          <t>No</t>
        </is>
      </c>
      <c r="O29" s="4" t="inlineStr">
        <is>
          <t>Unattempted</t>
        </is>
      </c>
    </row>
    <row r="30">
      <c r="A30" s="2" t="inlineStr">
        <is>
          <t>Algorithms</t>
        </is>
      </c>
      <c r="B30" s="2" t="inlineStr">
        <is>
          <t>Practice Binary Search</t>
        </is>
      </c>
      <c r="C30" s="2" t="inlineStr">
        <is>
          <t>Practice intermediate level Binary search with these curate problems</t>
        </is>
      </c>
      <c r="D30" s="2" t="inlineStr">
        <is>
          <t>Binary Search - Practice</t>
        </is>
      </c>
      <c r="E30" s="2" t="n">
        <v>1</v>
      </c>
      <c r="F30" s="2" t="inlineStr">
        <is>
          <t>Sheokand and Number</t>
        </is>
      </c>
      <c r="G30" s="2" t="inlineStr">
        <is>
          <t>SHKNUM</t>
        </is>
      </c>
      <c r="H30" s="2" t="inlineStr">
        <is>
          <t>1534</t>
        </is>
      </c>
      <c r="I30" s="2" t="inlineStr">
        <is>
          <t>Medium</t>
        </is>
      </c>
      <c r="J30" s="3">
        <f>HYPERLINK("https://www.codechef.com/problems/SHKNUM", "https://www.codechef.com/problems/SHKNUM")</f>
        <v/>
      </c>
      <c r="K30" s="2" t="inlineStr"/>
      <c r="L30" s="2" t="inlineStr"/>
      <c r="M30" s="2" t="inlineStr"/>
      <c r="N30" s="2" t="inlineStr">
        <is>
          <t>No</t>
        </is>
      </c>
      <c r="O30" s="2" t="inlineStr">
        <is>
          <t>Unattempted</t>
        </is>
      </c>
    </row>
    <row r="31">
      <c r="A31" s="4" t="inlineStr">
        <is>
          <t>Algorithms</t>
        </is>
      </c>
      <c r="B31" s="4" t="inlineStr">
        <is>
          <t>Practice Binary Search</t>
        </is>
      </c>
      <c r="C31" s="4" t="inlineStr">
        <is>
          <t>Practice intermediate level Binary search with these curate problems</t>
        </is>
      </c>
      <c r="D31" s="4" t="inlineStr">
        <is>
          <t>Binary Search - Practice</t>
        </is>
      </c>
      <c r="E31" s="4" t="n">
        <v>2</v>
      </c>
      <c r="F31" s="4" t="inlineStr">
        <is>
          <t>Minion Chef and Bananas</t>
        </is>
      </c>
      <c r="G31" s="4" t="inlineStr">
        <is>
          <t>MINEAT</t>
        </is>
      </c>
      <c r="H31" s="4" t="inlineStr">
        <is>
          <t>1781</t>
        </is>
      </c>
      <c r="I31" s="4" t="inlineStr">
        <is>
          <t>Medium</t>
        </is>
      </c>
      <c r="J31" s="5">
        <f>HYPERLINK("https://www.codechef.com/problems/MINEAT", "https://www.codechef.com/problems/MINEAT")</f>
        <v/>
      </c>
      <c r="K31" s="4" t="inlineStr"/>
      <c r="L31" s="4" t="inlineStr"/>
      <c r="M31" s="4" t="inlineStr"/>
      <c r="N31" s="4" t="inlineStr">
        <is>
          <t>No</t>
        </is>
      </c>
      <c r="O31" s="4" t="inlineStr">
        <is>
          <t>Unattempted</t>
        </is>
      </c>
    </row>
    <row r="32">
      <c r="A32" s="2" t="inlineStr">
        <is>
          <t>Algorithms</t>
        </is>
      </c>
      <c r="B32" s="2" t="inlineStr">
        <is>
          <t>Practice Binary Search</t>
        </is>
      </c>
      <c r="C32" s="2" t="inlineStr">
        <is>
          <t>Practice intermediate level Binary search with these curate problems</t>
        </is>
      </c>
      <c r="D32" s="2" t="inlineStr">
        <is>
          <t>Binary Search - Practice</t>
        </is>
      </c>
      <c r="E32" s="2" t="n">
        <v>3</v>
      </c>
      <c r="F32" s="2" t="inlineStr">
        <is>
          <t>Snake Eating</t>
        </is>
      </c>
      <c r="G32" s="2" t="inlineStr">
        <is>
          <t>SNAKEEAT</t>
        </is>
      </c>
      <c r="H32" s="2" t="inlineStr">
        <is>
          <t>1950</t>
        </is>
      </c>
      <c r="I32" s="2" t="inlineStr">
        <is>
          <t>Medium</t>
        </is>
      </c>
      <c r="J32" s="3">
        <f>HYPERLINK("https://www.codechef.com/problems/SNAKEEAT", "https://www.codechef.com/problems/SNAKEEAT")</f>
        <v/>
      </c>
      <c r="K32" s="2" t="inlineStr"/>
      <c r="L32" s="2" t="inlineStr"/>
      <c r="M32" s="2" t="inlineStr"/>
      <c r="N32" s="2" t="inlineStr">
        <is>
          <t>No</t>
        </is>
      </c>
      <c r="O32" s="2" t="inlineStr">
        <is>
          <t>Unattempted</t>
        </is>
      </c>
    </row>
    <row r="33">
      <c r="A33" s="4" t="inlineStr">
        <is>
          <t>Algorithms</t>
        </is>
      </c>
      <c r="B33" s="4" t="inlineStr">
        <is>
          <t>Practice Binary Search</t>
        </is>
      </c>
      <c r="C33" s="4" t="inlineStr">
        <is>
          <t>Practice intermediate level Binary search with these curate problems</t>
        </is>
      </c>
      <c r="D33" s="4" t="inlineStr">
        <is>
          <t>Binary Search - Practice</t>
        </is>
      </c>
      <c r="E33" s="4" t="n">
        <v>4</v>
      </c>
      <c r="F33" s="4" t="inlineStr">
        <is>
          <t>Search in a 2D Matrix</t>
        </is>
      </c>
      <c r="G33" s="4" t="inlineStr">
        <is>
          <t>BSEX01</t>
        </is>
      </c>
      <c r="H33" s="4" t="inlineStr"/>
      <c r="I33" s="4" t="inlineStr">
        <is>
          <t>Medium</t>
        </is>
      </c>
      <c r="J33" s="5">
        <f>HYPERLINK("https://www.codechef.com/problems/BSEX01", "https://www.codechef.com/problems/BSEX01")</f>
        <v/>
      </c>
      <c r="K33" s="4" t="inlineStr"/>
      <c r="L33" s="4" t="inlineStr"/>
      <c r="M33" s="4" t="inlineStr"/>
      <c r="N33" s="4" t="inlineStr">
        <is>
          <t>No</t>
        </is>
      </c>
      <c r="O33" s="4" t="inlineStr">
        <is>
          <t>Unattempted</t>
        </is>
      </c>
    </row>
    <row r="34">
      <c r="A34" s="2" t="inlineStr">
        <is>
          <t>Algorithms</t>
        </is>
      </c>
      <c r="B34" s="2" t="inlineStr">
        <is>
          <t>Practice Binary Search</t>
        </is>
      </c>
      <c r="C34" s="2" t="inlineStr">
        <is>
          <t>Practice intermediate level Binary search with these curate problems</t>
        </is>
      </c>
      <c r="D34" s="2" t="inlineStr">
        <is>
          <t>Binary Search - Practice</t>
        </is>
      </c>
      <c r="E34" s="2" t="n">
        <v>5</v>
      </c>
      <c r="F34" s="2" t="inlineStr">
        <is>
          <t>Painter Partition Problem</t>
        </is>
      </c>
      <c r="G34" s="2" t="inlineStr">
        <is>
          <t>BSEX03</t>
        </is>
      </c>
      <c r="H34" s="2" t="inlineStr"/>
      <c r="I34" s="2" t="inlineStr">
        <is>
          <t>Hard</t>
        </is>
      </c>
      <c r="J34" s="3">
        <f>HYPERLINK("https://www.codechef.com/problems/BSEX03", "https://www.codechef.com/problems/BSEX03")</f>
        <v/>
      </c>
      <c r="K34" s="2" t="inlineStr"/>
      <c r="L34" s="2" t="inlineStr"/>
      <c r="M34" s="2" t="inlineStr"/>
      <c r="N34" s="2" t="inlineStr">
        <is>
          <t>No</t>
        </is>
      </c>
      <c r="O34" s="2" t="inlineStr">
        <is>
          <t>Unattempted</t>
        </is>
      </c>
    </row>
    <row r="35">
      <c r="A35" s="4" t="inlineStr">
        <is>
          <t>Algorithms</t>
        </is>
      </c>
      <c r="B35" s="4" t="inlineStr">
        <is>
          <t>Practice Binary Search</t>
        </is>
      </c>
      <c r="C35" s="4" t="inlineStr">
        <is>
          <t>Practice intermediate level Binary search with these curate problems</t>
        </is>
      </c>
      <c r="D35" s="4" t="inlineStr">
        <is>
          <t>Binary Search - Practice</t>
        </is>
      </c>
      <c r="E35" s="4" t="n">
        <v>6</v>
      </c>
      <c r="F35" s="4" t="inlineStr">
        <is>
          <t>Find minimum in a rotated sorted array</t>
        </is>
      </c>
      <c r="G35" s="4" t="inlineStr">
        <is>
          <t>MINROTSORTED</t>
        </is>
      </c>
      <c r="H35" s="4" t="inlineStr"/>
      <c r="I35" s="4" t="inlineStr">
        <is>
          <t>Hard</t>
        </is>
      </c>
      <c r="J35" s="5">
        <f>HYPERLINK("https://www.codechef.com/problems/MINROTSORTED", "https://www.codechef.com/problems/MINROTSORTED")</f>
        <v/>
      </c>
      <c r="K35" s="4" t="inlineStr"/>
      <c r="L35" s="4" t="inlineStr"/>
      <c r="M35" s="4" t="inlineStr"/>
      <c r="N35" s="4" t="inlineStr">
        <is>
          <t>No</t>
        </is>
      </c>
      <c r="O35" s="4" t="inlineStr">
        <is>
          <t>Unattempted</t>
        </is>
      </c>
    </row>
    <row r="36">
      <c r="A36" s="2" t="inlineStr">
        <is>
          <t>Algorithms</t>
        </is>
      </c>
      <c r="B36" s="2" t="inlineStr">
        <is>
          <t>Practice Binary Search</t>
        </is>
      </c>
      <c r="C36" s="2" t="inlineStr">
        <is>
          <t>Practice intermediate level Binary search with these curate problems</t>
        </is>
      </c>
      <c r="D36" s="2" t="inlineStr">
        <is>
          <t>Binary Search - Practice</t>
        </is>
      </c>
      <c r="E36" s="2" t="n">
        <v>7</v>
      </c>
      <c r="F36" s="2" t="inlineStr">
        <is>
          <t>Next Possible Event</t>
        </is>
      </c>
      <c r="G36" s="2" t="inlineStr">
        <is>
          <t>BSEX04</t>
        </is>
      </c>
      <c r="H36" s="2" t="inlineStr"/>
      <c r="I36" s="2" t="inlineStr">
        <is>
          <t>Medium</t>
        </is>
      </c>
      <c r="J36" s="3">
        <f>HYPERLINK("https://www.codechef.com/problems/BSEX04", "https://www.codechef.com/problems/BSEX04")</f>
        <v/>
      </c>
      <c r="K36" s="2" t="inlineStr"/>
      <c r="L36" s="2" t="inlineStr"/>
      <c r="M36" s="2" t="inlineStr"/>
      <c r="N36" s="2" t="inlineStr">
        <is>
          <t>No</t>
        </is>
      </c>
      <c r="O36" s="2" t="inlineStr">
        <is>
          <t>Unattempted</t>
        </is>
      </c>
    </row>
    <row r="37">
      <c r="A37" s="4" t="inlineStr">
        <is>
          <t>Algorithms</t>
        </is>
      </c>
      <c r="B37" s="4" t="inlineStr">
        <is>
          <t>Practice Binary Search</t>
        </is>
      </c>
      <c r="C37" s="4" t="inlineStr">
        <is>
          <t>Practice intermediate level Binary search with these curate problems</t>
        </is>
      </c>
      <c r="D37" s="4" t="inlineStr">
        <is>
          <t>Binary Search - Practice</t>
        </is>
      </c>
      <c r="E37" s="4" t="n">
        <v>8</v>
      </c>
      <c r="F37" s="4" t="inlineStr">
        <is>
          <t>Wildfire</t>
        </is>
      </c>
      <c r="G37" s="4" t="inlineStr">
        <is>
          <t>BSEX05</t>
        </is>
      </c>
      <c r="H37" s="4" t="inlineStr"/>
      <c r="I37" s="4" t="inlineStr">
        <is>
          <t>Hard</t>
        </is>
      </c>
      <c r="J37" s="5">
        <f>HYPERLINK("https://www.codechef.com/problems/BSEX05", "https://www.codechef.com/problems/BSEX05")</f>
        <v/>
      </c>
      <c r="K37" s="4" t="inlineStr"/>
      <c r="L37" s="4" t="inlineStr"/>
      <c r="M37" s="4" t="inlineStr"/>
      <c r="N37" s="4" t="inlineStr">
        <is>
          <t>No</t>
        </is>
      </c>
      <c r="O37" s="4" t="inlineStr">
        <is>
          <t>Unattempted</t>
        </is>
      </c>
    </row>
    <row r="38">
      <c r="A38" s="2" t="inlineStr">
        <is>
          <t>Algorithms</t>
        </is>
      </c>
      <c r="B38" s="2" t="inlineStr">
        <is>
          <t>Practice Binary Search</t>
        </is>
      </c>
      <c r="C38" s="2" t="inlineStr">
        <is>
          <t>Practice intermediate level Binary search with these curate problems</t>
        </is>
      </c>
      <c r="D38" s="2" t="inlineStr">
        <is>
          <t>Binary Search - Practice</t>
        </is>
      </c>
      <c r="E38" s="2" t="n">
        <v>9</v>
      </c>
      <c r="F38" s="2" t="inlineStr">
        <is>
          <t>Find Peak Element</t>
        </is>
      </c>
      <c r="G38" s="2" t="inlineStr">
        <is>
          <t>FINDPEAK</t>
        </is>
      </c>
      <c r="H38" s="2" t="inlineStr"/>
      <c r="I38" s="2" t="inlineStr">
        <is>
          <t>Medium</t>
        </is>
      </c>
      <c r="J38" s="3">
        <f>HYPERLINK("https://www.codechef.com/problems/FINDPEAK", "https://www.codechef.com/problems/FINDPEAK")</f>
        <v/>
      </c>
      <c r="K38" s="2" t="inlineStr"/>
      <c r="L38" s="2" t="inlineStr">
        <is>
          <t>abhay_1006</t>
        </is>
      </c>
      <c r="M38" s="2" t="inlineStr"/>
      <c r="N38" s="2" t="inlineStr">
        <is>
          <t>No</t>
        </is>
      </c>
      <c r="O38" s="2" t="inlineStr">
        <is>
          <t>Unattempted</t>
        </is>
      </c>
    </row>
    <row r="39">
      <c r="A39" s="4" t="inlineStr">
        <is>
          <t>Algorithms</t>
        </is>
      </c>
      <c r="B39" s="4" t="inlineStr">
        <is>
          <t>Practice Binary Search</t>
        </is>
      </c>
      <c r="C39" s="4" t="inlineStr">
        <is>
          <t>Practice intermediate level Binary search with these curate problems</t>
        </is>
      </c>
      <c r="D39" s="4" t="inlineStr">
        <is>
          <t>Binary Search - Practice</t>
        </is>
      </c>
      <c r="E39" s="4" t="n">
        <v>10</v>
      </c>
      <c r="F39" s="4" t="inlineStr">
        <is>
          <t>Garden</t>
        </is>
      </c>
      <c r="G39" s="4" t="inlineStr">
        <is>
          <t>BSEX06</t>
        </is>
      </c>
      <c r="H39" s="4" t="inlineStr"/>
      <c r="I39" s="4" t="inlineStr">
        <is>
          <t>Hard</t>
        </is>
      </c>
      <c r="J39" s="5">
        <f>HYPERLINK("https://www.codechef.com/problems/BSEX06", "https://www.codechef.com/problems/BSEX06")</f>
        <v/>
      </c>
      <c r="K39" s="4" t="inlineStr"/>
      <c r="L39" s="4" t="inlineStr"/>
      <c r="M39" s="4" t="inlineStr"/>
      <c r="N39" s="4" t="inlineStr">
        <is>
          <t>No</t>
        </is>
      </c>
      <c r="O39" s="4" t="inlineStr">
        <is>
          <t>Unattempted</t>
        </is>
      </c>
    </row>
    <row r="40">
      <c r="A40" s="2" t="inlineStr">
        <is>
          <t>Algorithms</t>
        </is>
      </c>
      <c r="B40" s="2" t="inlineStr">
        <is>
          <t>Practice Binary Search</t>
        </is>
      </c>
      <c r="C40" s="2" t="inlineStr">
        <is>
          <t>Practice intermediate level Binary search with these curate problems</t>
        </is>
      </c>
      <c r="D40" s="2" t="inlineStr">
        <is>
          <t>Binary Search - Practice</t>
        </is>
      </c>
      <c r="E40" s="2" t="n">
        <v>11</v>
      </c>
      <c r="F40" s="2" t="inlineStr">
        <is>
          <t>Find how many times the array have been rotated</t>
        </is>
      </c>
      <c r="G40" s="2" t="inlineStr">
        <is>
          <t>ROTATIONARAY</t>
        </is>
      </c>
      <c r="H40" s="2" t="inlineStr"/>
      <c r="I40" s="2" t="inlineStr">
        <is>
          <t>Medium</t>
        </is>
      </c>
      <c r="J40" s="3">
        <f>HYPERLINK("https://www.codechef.com/problems/ROTATIONARAY", "https://www.codechef.com/problems/ROTATIONARAY")</f>
        <v/>
      </c>
      <c r="K40" s="2" t="inlineStr"/>
      <c r="L40" s="2" t="inlineStr"/>
      <c r="M40" s="2" t="inlineStr"/>
      <c r="N40" s="2" t="inlineStr">
        <is>
          <t>No</t>
        </is>
      </c>
      <c r="O40" s="2" t="inlineStr">
        <is>
          <t>Unattempted</t>
        </is>
      </c>
    </row>
    <row r="41">
      <c r="A41" s="4" t="inlineStr">
        <is>
          <t>Algorithms</t>
        </is>
      </c>
      <c r="B41" s="4" t="inlineStr">
        <is>
          <t>Practice Binary Search</t>
        </is>
      </c>
      <c r="C41" s="4" t="inlineStr">
        <is>
          <t>Practice intermediate level Binary search with these curate problems</t>
        </is>
      </c>
      <c r="D41" s="4" t="inlineStr">
        <is>
          <t>Binary Search - Practice</t>
        </is>
      </c>
      <c r="E41" s="4" t="n">
        <v>12</v>
      </c>
      <c r="F41" s="4" t="inlineStr">
        <is>
          <t>Minimum Eating Speed</t>
        </is>
      </c>
      <c r="G41" s="4" t="inlineStr">
        <is>
          <t>MINEATING</t>
        </is>
      </c>
      <c r="H41" s="4" t="inlineStr"/>
      <c r="I41" s="4" t="inlineStr">
        <is>
          <t>Hard</t>
        </is>
      </c>
      <c r="J41" s="5">
        <f>HYPERLINK("https://www.codechef.com/problems/MINEATING", "https://www.codechef.com/problems/MINEATING")</f>
        <v/>
      </c>
      <c r="K41" s="4" t="inlineStr"/>
      <c r="L41" s="4" t="inlineStr"/>
      <c r="M41" s="4" t="inlineStr"/>
      <c r="N41" s="4" t="inlineStr">
        <is>
          <t>No</t>
        </is>
      </c>
      <c r="O41" s="4" t="inlineStr">
        <is>
          <t>Unattempted</t>
        </is>
      </c>
    </row>
    <row r="42">
      <c r="A42" s="2" t="inlineStr">
        <is>
          <t>Algorithms</t>
        </is>
      </c>
      <c r="B42" s="2" t="inlineStr">
        <is>
          <t>Practice Binary Search</t>
        </is>
      </c>
      <c r="C42" s="2" t="inlineStr">
        <is>
          <t>Practice intermediate level Binary search with these curate problems</t>
        </is>
      </c>
      <c r="D42" s="2" t="inlineStr">
        <is>
          <t>Binary Search - Practice</t>
        </is>
      </c>
      <c r="E42" s="2" t="n">
        <v>13</v>
      </c>
      <c r="F42" s="2" t="inlineStr">
        <is>
          <t>Bouquet Garden</t>
        </is>
      </c>
      <c r="G42" s="2" t="inlineStr">
        <is>
          <t>BOUQUEGARDEN</t>
        </is>
      </c>
      <c r="H42" s="2" t="inlineStr"/>
      <c r="I42" s="2" t="inlineStr">
        <is>
          <t>Hard</t>
        </is>
      </c>
      <c r="J42" s="3">
        <f>HYPERLINK("https://www.codechef.com/problems/BOUQUEGARDEN", "https://www.codechef.com/problems/BOUQUEGARDEN")</f>
        <v/>
      </c>
      <c r="K42" s="2" t="inlineStr"/>
      <c r="L42" s="2" t="inlineStr"/>
      <c r="M42" s="2" t="inlineStr"/>
      <c r="N42" s="2" t="inlineStr">
        <is>
          <t>No</t>
        </is>
      </c>
      <c r="O42" s="2" t="inlineStr">
        <is>
          <t>Unattempted</t>
        </is>
      </c>
    </row>
    <row r="43">
      <c r="A43" s="4" t="inlineStr">
        <is>
          <t>Algorithms</t>
        </is>
      </c>
      <c r="B43" s="4" t="inlineStr">
        <is>
          <t>Practice Binary Search</t>
        </is>
      </c>
      <c r="C43" s="4" t="inlineStr">
        <is>
          <t>Practice intermediate level Binary search with these curate problems</t>
        </is>
      </c>
      <c r="D43" s="4" t="inlineStr">
        <is>
          <t>Binary Search - Practice</t>
        </is>
      </c>
      <c r="E43" s="4" t="n">
        <v>14</v>
      </c>
      <c r="F43" s="4" t="inlineStr">
        <is>
          <t>The Divisor Game</t>
        </is>
      </c>
      <c r="G43" s="4" t="inlineStr">
        <is>
          <t>SMALLESTDIVI</t>
        </is>
      </c>
      <c r="H43" s="4" t="inlineStr"/>
      <c r="I43" s="4" t="inlineStr">
        <is>
          <t>Medium</t>
        </is>
      </c>
      <c r="J43" s="5">
        <f>HYPERLINK("https://www.codechef.com/problems/SMALLESTDIVI", "https://www.codechef.com/problems/SMALLESTDIVI")</f>
        <v/>
      </c>
      <c r="K43" s="4" t="inlineStr"/>
      <c r="L43" s="4" t="inlineStr"/>
      <c r="M43" s="4" t="inlineStr"/>
      <c r="N43" s="4" t="inlineStr">
        <is>
          <t>No</t>
        </is>
      </c>
      <c r="O43" s="4" t="inlineStr">
        <is>
          <t>Unattempted</t>
        </is>
      </c>
    </row>
    <row r="44">
      <c r="A44" s="2" t="inlineStr">
        <is>
          <t>Algorithms</t>
        </is>
      </c>
      <c r="B44" s="2" t="inlineStr">
        <is>
          <t>Practice Binary Search</t>
        </is>
      </c>
      <c r="C44" s="2" t="inlineStr">
        <is>
          <t>Practice intermediate level Binary search with these curate problems</t>
        </is>
      </c>
      <c r="D44" s="2" t="inlineStr">
        <is>
          <t>Binary Search - Practice</t>
        </is>
      </c>
      <c r="E44" s="2" t="n">
        <v>15</v>
      </c>
      <c r="F44" s="2" t="inlineStr">
        <is>
          <t>Truck Driver Problem</t>
        </is>
      </c>
      <c r="G44" s="2" t="inlineStr">
        <is>
          <t>TRUCKDRIVER</t>
        </is>
      </c>
      <c r="H44" s="2" t="inlineStr"/>
      <c r="I44" s="2" t="inlineStr">
        <is>
          <t>Hard</t>
        </is>
      </c>
      <c r="J44" s="3">
        <f>HYPERLINK("https://www.codechef.com/problems/TRUCKDRIVER", "https://www.codechef.com/problems/TRUCKDRIVER")</f>
        <v/>
      </c>
      <c r="K44" s="2" t="inlineStr"/>
      <c r="L44" s="2" t="inlineStr"/>
      <c r="M44" s="2" t="inlineStr"/>
      <c r="N44" s="2" t="inlineStr">
        <is>
          <t>No</t>
        </is>
      </c>
      <c r="O44" s="2" t="inlineStr">
        <is>
          <t>Unattempted</t>
        </is>
      </c>
    </row>
    <row r="45">
      <c r="A45" s="4" t="inlineStr">
        <is>
          <t>Algorithms</t>
        </is>
      </c>
      <c r="B45" s="4" t="inlineStr">
        <is>
          <t>Practice Binary Search</t>
        </is>
      </c>
      <c r="C45" s="4" t="inlineStr">
        <is>
          <t>Practice intermediate level Binary search with these curate problems</t>
        </is>
      </c>
      <c r="D45" s="4" t="inlineStr">
        <is>
          <t>Binary Search - Practice</t>
        </is>
      </c>
      <c r="E45" s="4" t="n">
        <v>16</v>
      </c>
      <c r="F45" s="4" t="inlineStr">
        <is>
          <t>Kth missing positive</t>
        </is>
      </c>
      <c r="G45" s="4" t="inlineStr">
        <is>
          <t>KTHMISSING</t>
        </is>
      </c>
      <c r="H45" s="4" t="inlineStr"/>
      <c r="I45" s="4" t="inlineStr">
        <is>
          <t>Medium</t>
        </is>
      </c>
      <c r="J45" s="5">
        <f>HYPERLINK("https://www.codechef.com/problems/KTHMISSING", "https://www.codechef.com/problems/KTHMISSING")</f>
        <v/>
      </c>
      <c r="K45" s="4" t="inlineStr"/>
      <c r="L45" s="4" t="inlineStr"/>
      <c r="M45" s="4" t="inlineStr"/>
      <c r="N45" s="4" t="inlineStr">
        <is>
          <t>No</t>
        </is>
      </c>
      <c r="O45" s="4" t="inlineStr">
        <is>
          <t>Unattempted</t>
        </is>
      </c>
    </row>
    <row r="46">
      <c r="A46" s="2" t="inlineStr">
        <is>
          <t>Algorithms</t>
        </is>
      </c>
      <c r="B46" s="2" t="inlineStr">
        <is>
          <t>Practice Binary Search</t>
        </is>
      </c>
      <c r="C46" s="2" t="inlineStr">
        <is>
          <t>Practice intermediate level Binary search with these curate problems</t>
        </is>
      </c>
      <c r="D46" s="2" t="inlineStr">
        <is>
          <t>Binary Search - Practice</t>
        </is>
      </c>
      <c r="E46" s="2" t="n">
        <v>17</v>
      </c>
      <c r="F46" s="2" t="inlineStr">
        <is>
          <t>Split Array with Minimum Largest Sum</t>
        </is>
      </c>
      <c r="G46" s="2" t="inlineStr">
        <is>
          <t>SPLITARRAY</t>
        </is>
      </c>
      <c r="H46" s="2" t="inlineStr"/>
      <c r="I46" s="2" t="inlineStr">
        <is>
          <t>Hard</t>
        </is>
      </c>
      <c r="J46" s="3">
        <f>HYPERLINK("https://www.codechef.com/problems/SPLITARRAY", "https://www.codechef.com/problems/SPLITARRAY")</f>
        <v/>
      </c>
      <c r="K46" s="2" t="inlineStr"/>
      <c r="L46" s="2" t="inlineStr"/>
      <c r="M46" s="2" t="inlineStr"/>
      <c r="N46" s="2" t="inlineStr">
        <is>
          <t>No</t>
        </is>
      </c>
      <c r="O46" s="2" t="inlineStr">
        <is>
          <t>Unattempted</t>
        </is>
      </c>
    </row>
    <row r="47">
      <c r="A47" s="4" t="inlineStr">
        <is>
          <t>Algorithms</t>
        </is>
      </c>
      <c r="B47" s="4" t="inlineStr">
        <is>
          <t>Practice Binary Search</t>
        </is>
      </c>
      <c r="C47" s="4" t="inlineStr">
        <is>
          <t>Practice intermediate level Binary search with these curate problems</t>
        </is>
      </c>
      <c r="D47" s="4" t="inlineStr">
        <is>
          <t>Binary Search - Practice</t>
        </is>
      </c>
      <c r="E47" s="4" t="n">
        <v>18</v>
      </c>
      <c r="F47" s="4" t="inlineStr">
        <is>
          <t>Book Allocation</t>
        </is>
      </c>
      <c r="G47" s="4" t="inlineStr">
        <is>
          <t>BOOKALLOCATE</t>
        </is>
      </c>
      <c r="H47" s="4" t="inlineStr"/>
      <c r="I47" s="4" t="inlineStr">
        <is>
          <t>Hard</t>
        </is>
      </c>
      <c r="J47" s="5">
        <f>HYPERLINK("https://www.codechef.com/problems/BOOKALLOCATE", "https://www.codechef.com/problems/BOOKALLOCATE")</f>
        <v/>
      </c>
      <c r="K47" s="4" t="inlineStr"/>
      <c r="L47" s="4" t="inlineStr"/>
      <c r="M47" s="4" t="inlineStr"/>
      <c r="N47" s="4" t="inlineStr">
        <is>
          <t>No</t>
        </is>
      </c>
      <c r="O47" s="4" t="inlineStr">
        <is>
          <t>Unattempted</t>
        </is>
      </c>
    </row>
    <row r="48">
      <c r="A48" s="2" t="inlineStr">
        <is>
          <t>Algorithms</t>
        </is>
      </c>
      <c r="B48" s="2" t="inlineStr">
        <is>
          <t>Practice Binary Search</t>
        </is>
      </c>
      <c r="C48" s="2" t="inlineStr">
        <is>
          <t>Practice intermediate level Binary search with these curate problems</t>
        </is>
      </c>
      <c r="D48" s="2" t="inlineStr">
        <is>
          <t>Binary Search - Practice</t>
        </is>
      </c>
      <c r="E48" s="2" t="n">
        <v>19</v>
      </c>
      <c r="F48" s="2" t="inlineStr">
        <is>
          <t>Median of 2 sorted arrays</t>
        </is>
      </c>
      <c r="G48" s="2" t="inlineStr">
        <is>
          <t>MEDIANOFSORT</t>
        </is>
      </c>
      <c r="H48" s="2" t="inlineStr"/>
      <c r="I48" s="2" t="inlineStr">
        <is>
          <t>Hard</t>
        </is>
      </c>
      <c r="J48" s="3">
        <f>HYPERLINK("https://www.codechef.com/problems/MEDIANOFSORT", "https://www.codechef.com/problems/MEDIANOFSORT")</f>
        <v/>
      </c>
      <c r="K48" s="2" t="inlineStr"/>
      <c r="L48" s="2" t="inlineStr"/>
      <c r="M48" s="2" t="inlineStr"/>
      <c r="N48" s="2" t="inlineStr">
        <is>
          <t>No</t>
        </is>
      </c>
      <c r="O48" s="2" t="inlineStr">
        <is>
          <t>Unattempted</t>
        </is>
      </c>
    </row>
    <row r="49">
      <c r="A49" s="4" t="inlineStr">
        <is>
          <t>Algorithms</t>
        </is>
      </c>
      <c r="B49" s="4" t="inlineStr">
        <is>
          <t>Practice Binary Search</t>
        </is>
      </c>
      <c r="C49" s="4" t="inlineStr">
        <is>
          <t>Practice intermediate level Binary search with these curate problems</t>
        </is>
      </c>
      <c r="D49" s="4" t="inlineStr">
        <is>
          <t>Binary Search - Practice</t>
        </is>
      </c>
      <c r="E49" s="4" t="n">
        <v>20</v>
      </c>
      <c r="F49" s="4" t="inlineStr">
        <is>
          <t>The Great Painting Showdown</t>
        </is>
      </c>
      <c r="G49" s="4" t="inlineStr">
        <is>
          <t>PAINTSHODOWN</t>
        </is>
      </c>
      <c r="H49" s="4" t="inlineStr"/>
      <c r="I49" s="4" t="inlineStr">
        <is>
          <t>Hard</t>
        </is>
      </c>
      <c r="J49" s="5">
        <f>HYPERLINK("https://www.codechef.com/problems/PAINTSHODOWN", "https://www.codechef.com/problems/PAINTSHODOWN")</f>
        <v/>
      </c>
      <c r="K49" s="4" t="inlineStr"/>
      <c r="L49" s="4" t="inlineStr"/>
      <c r="M49" s="4" t="inlineStr"/>
      <c r="N49" s="4" t="inlineStr">
        <is>
          <t>No</t>
        </is>
      </c>
      <c r="O49" s="4" t="inlineStr">
        <is>
          <t>Unattempted</t>
        </is>
      </c>
    </row>
    <row r="50">
      <c r="A50" s="2" t="inlineStr">
        <is>
          <t>Algorithms</t>
        </is>
      </c>
      <c r="B50" s="2" t="inlineStr">
        <is>
          <t>Practice Binary Search</t>
        </is>
      </c>
      <c r="C50" s="2" t="inlineStr">
        <is>
          <t>Practice intermediate level Binary search with these curate problems</t>
        </is>
      </c>
      <c r="D50" s="2" t="inlineStr">
        <is>
          <t>Binary Search - Practice</t>
        </is>
      </c>
      <c r="E50" s="2" t="n">
        <v>21</v>
      </c>
      <c r="F50" s="2" t="inlineStr">
        <is>
          <t>Kth Element of Two Sorted Arrays</t>
        </is>
      </c>
      <c r="G50" s="2" t="inlineStr">
        <is>
          <t>KELMT2SORT</t>
        </is>
      </c>
      <c r="H50" s="2" t="inlineStr"/>
      <c r="I50" s="2" t="inlineStr">
        <is>
          <t>Medium</t>
        </is>
      </c>
      <c r="J50" s="3">
        <f>HYPERLINK("https://www.codechef.com/problems/KELMT2SORT", "https://www.codechef.com/problems/KELMT2SORT")</f>
        <v/>
      </c>
      <c r="K50" s="2" t="inlineStr"/>
      <c r="L50" s="2" t="inlineStr"/>
      <c r="M50" s="2" t="inlineStr"/>
      <c r="N50" s="2" t="inlineStr">
        <is>
          <t>No</t>
        </is>
      </c>
      <c r="O50" s="2" t="inlineStr">
        <is>
          <t>Unattempted</t>
        </is>
      </c>
    </row>
    <row r="51">
      <c r="A51" s="4" t="inlineStr">
        <is>
          <t>Algorithms</t>
        </is>
      </c>
      <c r="B51" s="4" t="inlineStr">
        <is>
          <t>Practice Binary Search</t>
        </is>
      </c>
      <c r="C51" s="4" t="inlineStr">
        <is>
          <t>Practice intermediate level Binary search with these curate problems</t>
        </is>
      </c>
      <c r="D51" s="4" t="inlineStr">
        <is>
          <t>Binary Search - Practice</t>
        </is>
      </c>
      <c r="E51" s="4" t="n">
        <v>22</v>
      </c>
      <c r="F51" s="4" t="inlineStr">
        <is>
          <t>Matrix Median</t>
        </is>
      </c>
      <c r="G51" s="4" t="inlineStr">
        <is>
          <t>MATRIXMEDIAN</t>
        </is>
      </c>
      <c r="H51" s="4" t="inlineStr"/>
      <c r="I51" s="4" t="inlineStr">
        <is>
          <t>Hard</t>
        </is>
      </c>
      <c r="J51" s="5">
        <f>HYPERLINK("https://www.codechef.com/problems/MATRIXMEDIAN", "https://www.codechef.com/problems/MATRIXMEDIAN")</f>
        <v/>
      </c>
      <c r="K51" s="4" t="inlineStr"/>
      <c r="L51" s="4" t="inlineStr">
        <is>
          <t>mayank_pardhi</t>
        </is>
      </c>
      <c r="M51" s="4" t="inlineStr"/>
      <c r="N51" s="4" t="inlineStr">
        <is>
          <t>No</t>
        </is>
      </c>
      <c r="O51" s="4" t="inlineStr">
        <is>
          <t>Unattempted</t>
        </is>
      </c>
    </row>
    <row r="52">
      <c r="A52" s="2" t="inlineStr">
        <is>
          <t>Algorithms</t>
        </is>
      </c>
      <c r="B52" s="2" t="inlineStr">
        <is>
          <t>Practice Binary Search</t>
        </is>
      </c>
      <c r="C52" s="2" t="inlineStr">
        <is>
          <t>Practice intermediate level Binary search with these curate problems</t>
        </is>
      </c>
      <c r="D52" s="2" t="inlineStr">
        <is>
          <t>Binary Search - Practice</t>
        </is>
      </c>
      <c r="E52" s="2" t="n">
        <v>23</v>
      </c>
      <c r="F52" s="2" t="inlineStr">
        <is>
          <t>Row with Maximum 1s</t>
        </is>
      </c>
      <c r="G52" s="2" t="inlineStr">
        <is>
          <t>ROWMAXONE</t>
        </is>
      </c>
      <c r="H52" s="2" t="inlineStr"/>
      <c r="I52" s="2" t="inlineStr">
        <is>
          <t>Medium</t>
        </is>
      </c>
      <c r="J52" s="3">
        <f>HYPERLINK("https://www.codechef.com/problems/ROWMAXONE", "https://www.codechef.com/problems/ROWMAXONE")</f>
        <v/>
      </c>
      <c r="K52" s="2" t="inlineStr"/>
      <c r="L52" s="2" t="inlineStr"/>
      <c r="M52" s="2" t="inlineStr"/>
      <c r="N52" s="2" t="inlineStr">
        <is>
          <t>No</t>
        </is>
      </c>
      <c r="O52" s="2" t="inlineStr">
        <is>
          <t>Unattempted</t>
        </is>
      </c>
    </row>
    <row r="53">
      <c r="A53" s="4" t="inlineStr">
        <is>
          <t>Algorithms</t>
        </is>
      </c>
      <c r="B53" s="4" t="inlineStr">
        <is>
          <t>Practice Binary Search</t>
        </is>
      </c>
      <c r="C53" s="4" t="inlineStr">
        <is>
          <t>Practice intermediate level Binary search with these curate problems</t>
        </is>
      </c>
      <c r="D53" s="4" t="inlineStr">
        <is>
          <t>Binary Search - Practice</t>
        </is>
      </c>
      <c r="E53" s="4" t="n">
        <v>24</v>
      </c>
      <c r="F53" s="4" t="inlineStr">
        <is>
          <t>Find a Peak Element II</t>
        </is>
      </c>
      <c r="G53" s="4" t="inlineStr">
        <is>
          <t>PEAKELEMENTS</t>
        </is>
      </c>
      <c r="H53" s="4" t="inlineStr"/>
      <c r="I53" s="4" t="inlineStr">
        <is>
          <t>Hard</t>
        </is>
      </c>
      <c r="J53" s="5">
        <f>HYPERLINK("https://www.codechef.com/problems/PEAKELEMENTS", "https://www.codechef.com/problems/PEAKELEMENTS")</f>
        <v/>
      </c>
      <c r="K53" s="4" t="inlineStr"/>
      <c r="L53" s="4" t="inlineStr"/>
      <c r="M53" s="4" t="inlineStr"/>
      <c r="N53" s="4" t="inlineStr">
        <is>
          <t>No</t>
        </is>
      </c>
      <c r="O53" s="4" t="inlineStr">
        <is>
          <t>Unattempted</t>
        </is>
      </c>
    </row>
    <row r="54">
      <c r="A54" s="2" t="inlineStr">
        <is>
          <t>Algorithms</t>
        </is>
      </c>
      <c r="B54" s="2" t="inlineStr">
        <is>
          <t>Practice Binary Search</t>
        </is>
      </c>
      <c r="C54" s="2" t="inlineStr">
        <is>
          <t>Practice intermediate level Binary search with these curate problems</t>
        </is>
      </c>
      <c r="D54" s="2" t="inlineStr">
        <is>
          <t>Binary Search - Pro Practice</t>
        </is>
      </c>
      <c r="E54" s="2" t="n">
        <v>25</v>
      </c>
      <c r="F54" s="2" t="inlineStr">
        <is>
          <t>Lonely Element in Array</t>
        </is>
      </c>
      <c r="G54" s="2" t="inlineStr">
        <is>
          <t>SINGLESORTED</t>
        </is>
      </c>
      <c r="H54" s="2" t="inlineStr"/>
      <c r="I54" s="2" t="inlineStr">
        <is>
          <t>Hard</t>
        </is>
      </c>
      <c r="J54" s="3">
        <f>HYPERLINK("https://www.codechef.com/problems/SINGLESORTED", "https://www.codechef.com/problems/SINGLESORTED")</f>
        <v/>
      </c>
      <c r="K54" s="2" t="inlineStr"/>
      <c r="L54" s="2" t="inlineStr"/>
      <c r="M54" s="2" t="inlineStr"/>
      <c r="N54" s="2" t="inlineStr">
        <is>
          <t>No</t>
        </is>
      </c>
      <c r="O54" s="2" t="inlineStr">
        <is>
          <t>Unattempted</t>
        </is>
      </c>
    </row>
    <row r="55">
      <c r="A55" s="4" t="inlineStr">
        <is>
          <t>Algorithms</t>
        </is>
      </c>
      <c r="B55" s="4" t="inlineStr">
        <is>
          <t>Practice Binary Search</t>
        </is>
      </c>
      <c r="C55" s="4" t="inlineStr">
        <is>
          <t>Practice intermediate level Binary search with these curate problems</t>
        </is>
      </c>
      <c r="D55" s="4" t="inlineStr">
        <is>
          <t>Binary Search - Pro Practice</t>
        </is>
      </c>
      <c r="E55" s="4" t="n">
        <v>26</v>
      </c>
      <c r="F55" s="4" t="inlineStr">
        <is>
          <t>Minimize the Maximum</t>
        </is>
      </c>
      <c r="G55" s="4" t="inlineStr">
        <is>
          <t>MINMAXARR</t>
        </is>
      </c>
      <c r="H55" s="4" t="inlineStr">
        <is>
          <t>1689</t>
        </is>
      </c>
      <c r="I55" s="4" t="inlineStr">
        <is>
          <t>Medium</t>
        </is>
      </c>
      <c r="J55" s="5">
        <f>HYPERLINK("https://www.codechef.com/problems/MINMAXARR", "https://www.codechef.com/problems/MINMAXARR")</f>
        <v/>
      </c>
      <c r="K55" s="4" t="inlineStr"/>
      <c r="L55" s="4" t="inlineStr"/>
      <c r="M55" s="4" t="inlineStr"/>
      <c r="N55" s="4" t="inlineStr">
        <is>
          <t>No</t>
        </is>
      </c>
      <c r="O55" s="4" t="inlineStr">
        <is>
          <t>Unattempted</t>
        </is>
      </c>
    </row>
    <row r="56">
      <c r="A56" s="2" t="inlineStr">
        <is>
          <t>Algorithms</t>
        </is>
      </c>
      <c r="B56" s="2" t="inlineStr">
        <is>
          <t>Practice Binary Search</t>
        </is>
      </c>
      <c r="C56" s="2" t="inlineStr">
        <is>
          <t>Practice intermediate level Binary search with these curate problems</t>
        </is>
      </c>
      <c r="D56" s="2" t="inlineStr">
        <is>
          <t>Binary Search - Pro Practice</t>
        </is>
      </c>
      <c r="E56" s="2" t="n">
        <v>27</v>
      </c>
      <c r="F56" s="2" t="inlineStr">
        <is>
          <t>Circular Intervals</t>
        </is>
      </c>
      <c r="G56" s="2" t="inlineStr">
        <is>
          <t>CIRCINTE</t>
        </is>
      </c>
      <c r="H56" s="2" t="inlineStr">
        <is>
          <t>1951</t>
        </is>
      </c>
      <c r="I56" s="2" t="inlineStr">
        <is>
          <t>Medium</t>
        </is>
      </c>
      <c r="J56" s="3">
        <f>HYPERLINK("https://www.codechef.com/problems/CIRCINTE", "https://www.codechef.com/problems/CIRCINTE")</f>
        <v/>
      </c>
      <c r="K56" s="2" t="inlineStr"/>
      <c r="L56" s="2" t="inlineStr"/>
      <c r="M56" s="2" t="inlineStr"/>
      <c r="N56" s="2" t="inlineStr">
        <is>
          <t>No</t>
        </is>
      </c>
      <c r="O56" s="2" t="inlineStr">
        <is>
          <t>Unattempted</t>
        </is>
      </c>
    </row>
    <row r="57">
      <c r="A57" s="4" t="inlineStr">
        <is>
          <t>Algorithms</t>
        </is>
      </c>
      <c r="B57" s="4" t="inlineStr">
        <is>
          <t>Practice Binary Search</t>
        </is>
      </c>
      <c r="C57" s="4" t="inlineStr">
        <is>
          <t>Practice intermediate level Binary search with these curate problems</t>
        </is>
      </c>
      <c r="D57" s="4" t="inlineStr">
        <is>
          <t>Binary Search - Pro Practice</t>
        </is>
      </c>
      <c r="E57" s="4" t="n">
        <v>28</v>
      </c>
      <c r="F57" s="4" t="inlineStr">
        <is>
          <t>Forest Gathering</t>
        </is>
      </c>
      <c r="G57" s="4" t="inlineStr">
        <is>
          <t>FORESTGA</t>
        </is>
      </c>
      <c r="H57" s="4" t="inlineStr">
        <is>
          <t>1829</t>
        </is>
      </c>
      <c r="I57" s="4" t="inlineStr">
        <is>
          <t>Medium</t>
        </is>
      </c>
      <c r="J57" s="5">
        <f>HYPERLINK("https://www.codechef.com/problems/FORESTGA", "https://www.codechef.com/problems/FORESTGA")</f>
        <v/>
      </c>
      <c r="K57" s="4" t="inlineStr"/>
      <c r="L57" s="4" t="inlineStr"/>
      <c r="M57" s="4" t="inlineStr"/>
      <c r="N57" s="4" t="inlineStr">
        <is>
          <t>No</t>
        </is>
      </c>
      <c r="O57" s="4" t="inlineStr">
        <is>
          <t>Unattempted</t>
        </is>
      </c>
    </row>
    <row r="58">
      <c r="A58" s="2" t="inlineStr">
        <is>
          <t>Algorithms</t>
        </is>
      </c>
      <c r="B58" s="2" t="inlineStr">
        <is>
          <t>Practice Binary Search</t>
        </is>
      </c>
      <c r="C58" s="2" t="inlineStr">
        <is>
          <t>Practice intermediate level Binary search with these curate problems</t>
        </is>
      </c>
      <c r="D58" s="2" t="inlineStr">
        <is>
          <t>Binary Search - Pro Practice</t>
        </is>
      </c>
      <c r="E58" s="2" t="n">
        <v>29</v>
      </c>
      <c r="F58" s="2" t="inlineStr">
        <is>
          <t>Squirrel and chestnut</t>
        </is>
      </c>
      <c r="G58" s="2" t="inlineStr">
        <is>
          <t>SQUIRREL</t>
        </is>
      </c>
      <c r="H58" s="2" t="inlineStr">
        <is>
          <t>1611</t>
        </is>
      </c>
      <c r="I58" s="2" t="inlineStr">
        <is>
          <t>Medium</t>
        </is>
      </c>
      <c r="J58" s="3">
        <f>HYPERLINK("https://www.codechef.com/problems/SQUIRREL", "https://www.codechef.com/problems/SQUIRREL")</f>
        <v/>
      </c>
      <c r="K58" s="2" t="inlineStr"/>
      <c r="L58" s="2" t="inlineStr"/>
      <c r="M58" s="2" t="inlineStr"/>
      <c r="N58" s="2" t="inlineStr">
        <is>
          <t>No</t>
        </is>
      </c>
      <c r="O58" s="2" t="inlineStr">
        <is>
          <t>Unattempted</t>
        </is>
      </c>
    </row>
    <row r="59">
      <c r="A59" s="4" t="inlineStr">
        <is>
          <t>Algorithms</t>
        </is>
      </c>
      <c r="B59" s="4" t="inlineStr">
        <is>
          <t>Practice Binary Search</t>
        </is>
      </c>
      <c r="C59" s="4" t="inlineStr">
        <is>
          <t>Practice intermediate level Binary search with these curate problems</t>
        </is>
      </c>
      <c r="D59" s="4" t="inlineStr">
        <is>
          <t>Binary Search - Pro Practice</t>
        </is>
      </c>
      <c r="E59" s="4" t="n">
        <v>30</v>
      </c>
      <c r="F59" s="4" t="inlineStr">
        <is>
          <t>Flu Shot Lineup</t>
        </is>
      </c>
      <c r="G59" s="4" t="inlineStr">
        <is>
          <t>FLUSHOT</t>
        </is>
      </c>
      <c r="H59" s="4" t="inlineStr">
        <is>
          <t>1692</t>
        </is>
      </c>
      <c r="I59" s="4" t="inlineStr">
        <is>
          <t>Medium</t>
        </is>
      </c>
      <c r="J59" s="5">
        <f>HYPERLINK("https://www.codechef.com/problems/FLUSHOT", "https://www.codechef.com/problems/FLUSHOT")</f>
        <v/>
      </c>
      <c r="K59" s="4" t="inlineStr"/>
      <c r="L59" s="4" t="inlineStr"/>
      <c r="M59" s="4" t="inlineStr"/>
      <c r="N59" s="4" t="inlineStr">
        <is>
          <t>No</t>
        </is>
      </c>
      <c r="O59" s="4" t="inlineStr">
        <is>
          <t>Unattempted</t>
        </is>
      </c>
    </row>
    <row r="60">
      <c r="A60" s="2" t="inlineStr">
        <is>
          <t>Algorithms</t>
        </is>
      </c>
      <c r="B60" s="2" t="inlineStr">
        <is>
          <t>Practice Binary Search</t>
        </is>
      </c>
      <c r="C60" s="2" t="inlineStr">
        <is>
          <t>Practice intermediate level Binary search with these curate problems</t>
        </is>
      </c>
      <c r="D60" s="2" t="inlineStr">
        <is>
          <t>Binary Search - Pro Practice</t>
        </is>
      </c>
      <c r="E60" s="2" t="n">
        <v>31</v>
      </c>
      <c r="F60" s="2" t="inlineStr">
        <is>
          <t>Kth missing positive</t>
        </is>
      </c>
      <c r="G60" s="2" t="inlineStr">
        <is>
          <t>KTHMISSING</t>
        </is>
      </c>
      <c r="H60" s="2" t="inlineStr"/>
      <c r="I60" s="2" t="inlineStr">
        <is>
          <t>Medium</t>
        </is>
      </c>
      <c r="J60" s="3">
        <f>HYPERLINK("https://www.codechef.com/problems/KTHMISSING", "https://www.codechef.com/problems/KTHMISSING")</f>
        <v/>
      </c>
      <c r="K60" s="2" t="inlineStr"/>
      <c r="L60" s="2" t="inlineStr"/>
      <c r="M60" s="2" t="inlineStr"/>
      <c r="N60" s="2" t="inlineStr">
        <is>
          <t>No</t>
        </is>
      </c>
      <c r="O60" s="2" t="inlineStr">
        <is>
          <t>Unattempted</t>
        </is>
      </c>
    </row>
    <row r="61">
      <c r="A61" s="4" t="inlineStr">
        <is>
          <t>Algorithms</t>
        </is>
      </c>
      <c r="B61" s="4" t="inlineStr">
        <is>
          <t>Dynamic programming</t>
        </is>
      </c>
      <c r="C61" s="4" t="inlineStr">
        <is>
          <t xml:space="preserve">Practice these 21 problems on Dynamic Programming to understand the pattern of questions and the different ways in which you can implement the solution. Practice concepts like Iterative DP, Recursive DP, 1D and 2D DP, Digit DP etc. </t>
        </is>
      </c>
      <c r="D61" s="4" t="inlineStr">
        <is>
          <t>Basic dynamic programming - Practice</t>
        </is>
      </c>
      <c r="E61" s="4" t="n">
        <v>1</v>
      </c>
      <c r="F61" s="4" t="inlineStr">
        <is>
          <t>Alternating subarray prefix</t>
        </is>
      </c>
      <c r="G61" s="4" t="inlineStr">
        <is>
          <t>ALTARAY</t>
        </is>
      </c>
      <c r="H61" s="4" t="inlineStr">
        <is>
          <t>1408</t>
        </is>
      </c>
      <c r="I61" s="4" t="inlineStr">
        <is>
          <t>Medium</t>
        </is>
      </c>
      <c r="J61" s="5">
        <f>HYPERLINK("https://www.codechef.com/problems/ALTARAY", "https://www.codechef.com/problems/ALTARAY")</f>
        <v/>
      </c>
      <c r="K61" s="4" t="inlineStr"/>
      <c r="L61" s="4" t="inlineStr">
        <is>
          <t>Algorithms, Basic Programming Concepts, Conditional Statements, Dynamic Programming, Observation, Patterns</t>
        </is>
      </c>
      <c r="M61" s="4" t="inlineStr"/>
      <c r="N61" s="4" t="inlineStr">
        <is>
          <t>No</t>
        </is>
      </c>
      <c r="O61" s="4" t="inlineStr">
        <is>
          <t>Unattempted</t>
        </is>
      </c>
    </row>
    <row r="62">
      <c r="A62" s="2" t="inlineStr">
        <is>
          <t>Algorithms</t>
        </is>
      </c>
      <c r="B62" s="2" t="inlineStr">
        <is>
          <t>Dynamic programming</t>
        </is>
      </c>
      <c r="C62" s="2" t="inlineStr">
        <is>
          <t xml:space="preserve">Practice these 21 problems on Dynamic Programming to understand the pattern of questions and the different ways in which you can implement the solution. Practice concepts like Iterative DP, Recursive DP, 1D and 2D DP, Digit DP etc. </t>
        </is>
      </c>
      <c r="D62" s="2" t="inlineStr">
        <is>
          <t>Basic dynamic programming - Practice</t>
        </is>
      </c>
      <c r="E62" s="2" t="n">
        <v>2</v>
      </c>
      <c r="F62" s="2" t="inlineStr">
        <is>
          <t>Count Subarrays</t>
        </is>
      </c>
      <c r="G62" s="2" t="inlineStr">
        <is>
          <t>SUBINC</t>
        </is>
      </c>
      <c r="H62" s="2" t="inlineStr">
        <is>
          <t>1478</t>
        </is>
      </c>
      <c r="I62" s="2" t="inlineStr">
        <is>
          <t>Medium</t>
        </is>
      </c>
      <c r="J62" s="3">
        <f>HYPERLINK("https://www.codechef.com/problems/SUBINC", "https://www.codechef.com/problems/SUBINC")</f>
        <v/>
      </c>
      <c r="K62" s="2" t="inlineStr"/>
      <c r="L62" s="2" t="inlineStr"/>
      <c r="M62" s="2" t="inlineStr"/>
      <c r="N62" s="2" t="inlineStr">
        <is>
          <t>No</t>
        </is>
      </c>
      <c r="O62" s="2" t="inlineStr">
        <is>
          <t>Unattempted</t>
        </is>
      </c>
    </row>
    <row r="63">
      <c r="A63" s="4" t="inlineStr">
        <is>
          <t>Algorithms</t>
        </is>
      </c>
      <c r="B63" s="4" t="inlineStr">
        <is>
          <t>Dynamic programming</t>
        </is>
      </c>
      <c r="C63" s="4" t="inlineStr">
        <is>
          <t xml:space="preserve">Practice these 21 problems on Dynamic Programming to understand the pattern of questions and the different ways in which you can implement the solution. Practice concepts like Iterative DP, Recursive DP, 1D and 2D DP, Digit DP etc. </t>
        </is>
      </c>
      <c r="D63" s="4" t="inlineStr">
        <is>
          <t>Basic dynamic programming - Practice</t>
        </is>
      </c>
      <c r="E63" s="4" t="n">
        <v>3</v>
      </c>
      <c r="F63" s="4" t="inlineStr">
        <is>
          <t>Sums in a Triangle</t>
        </is>
      </c>
      <c r="G63" s="4" t="inlineStr">
        <is>
          <t>SUMTRIAN</t>
        </is>
      </c>
      <c r="H63" s="4" t="inlineStr">
        <is>
          <t>869</t>
        </is>
      </c>
      <c r="I63" s="4" t="inlineStr">
        <is>
          <t>Easy</t>
        </is>
      </c>
      <c r="J63" s="5">
        <f>HYPERLINK("https://www.codechef.com/problems/SUMTRIAN", "https://www.codechef.com/problems/SUMTRIAN")</f>
        <v/>
      </c>
      <c r="K63" s="4" t="inlineStr"/>
      <c r="L63" s="4" t="inlineStr"/>
      <c r="M63" s="4" t="inlineStr"/>
      <c r="N63" s="4" t="inlineStr">
        <is>
          <t>No</t>
        </is>
      </c>
      <c r="O63" s="4" t="inlineStr">
        <is>
          <t>Unattempted</t>
        </is>
      </c>
    </row>
    <row r="64">
      <c r="A64" s="2" t="inlineStr">
        <is>
          <t>Algorithms</t>
        </is>
      </c>
      <c r="B64" s="2" t="inlineStr">
        <is>
          <t>Dynamic programming</t>
        </is>
      </c>
      <c r="C64" s="2" t="inlineStr">
        <is>
          <t xml:space="preserve">Practice these 21 problems on Dynamic Programming to understand the pattern of questions and the different ways in which you can implement the solution. Practice concepts like Iterative DP, Recursive DP, 1D and 2D DP, Digit DP etc. </t>
        </is>
      </c>
      <c r="D64" s="2" t="inlineStr">
        <is>
          <t>Basic dynamic programming - Practice</t>
        </is>
      </c>
      <c r="E64" s="2" t="n">
        <v>4</v>
      </c>
      <c r="F64" s="2" t="inlineStr">
        <is>
          <t>Fibonacci Series</t>
        </is>
      </c>
      <c r="G64" s="2" t="inlineStr">
        <is>
          <t>DPFIBONACCI</t>
        </is>
      </c>
      <c r="H64" s="2" t="inlineStr"/>
      <c r="I64" s="2" t="inlineStr">
        <is>
          <t>Medium</t>
        </is>
      </c>
      <c r="J64" s="3">
        <f>HYPERLINK("https://www.codechef.com/problems/DPFIBONACCI", "https://www.codechef.com/problems/DPFIBONACCI")</f>
        <v/>
      </c>
      <c r="K64" s="2" t="inlineStr"/>
      <c r="L64" s="2" t="inlineStr"/>
      <c r="M64" s="2" t="inlineStr"/>
      <c r="N64" s="2" t="inlineStr">
        <is>
          <t>No</t>
        </is>
      </c>
      <c r="O64" s="2" t="inlineStr">
        <is>
          <t>Unattempted</t>
        </is>
      </c>
    </row>
    <row r="65">
      <c r="A65" s="4" t="inlineStr">
        <is>
          <t>Algorithms</t>
        </is>
      </c>
      <c r="B65" s="4" t="inlineStr">
        <is>
          <t>Dynamic programming</t>
        </is>
      </c>
      <c r="C65" s="4" t="inlineStr">
        <is>
          <t xml:space="preserve">Practice these 21 problems on Dynamic Programming to understand the pattern of questions and the different ways in which you can implement the solution. Practice concepts like Iterative DP, Recursive DP, 1D and 2D DP, Digit DP etc. </t>
        </is>
      </c>
      <c r="D65" s="4" t="inlineStr">
        <is>
          <t>Basic dynamic programming - Practice</t>
        </is>
      </c>
      <c r="E65" s="4" t="n">
        <v>5</v>
      </c>
      <c r="F65" s="4" t="inlineStr">
        <is>
          <t>Event Organizer</t>
        </is>
      </c>
      <c r="G65" s="4" t="inlineStr">
        <is>
          <t>MAXCOMP</t>
        </is>
      </c>
      <c r="H65" s="4" t="inlineStr">
        <is>
          <t>1611</t>
        </is>
      </c>
      <c r="I65" s="4" t="inlineStr">
        <is>
          <t>Medium</t>
        </is>
      </c>
      <c r="J65" s="5">
        <f>HYPERLINK("https://www.codechef.com/problems/MAXCOMP", "https://www.codechef.com/problems/MAXCOMP")</f>
        <v/>
      </c>
      <c r="K65" s="4" t="inlineStr"/>
      <c r="L65" s="4" t="inlineStr">
        <is>
          <t>Algorithms, Dynamic Programming, Implementation, Sorting</t>
        </is>
      </c>
      <c r="M65" s="4" t="inlineStr"/>
      <c r="N65" s="4" t="inlineStr">
        <is>
          <t>No</t>
        </is>
      </c>
      <c r="O65" s="4" t="inlineStr">
        <is>
          <t>Unattempted</t>
        </is>
      </c>
    </row>
    <row r="66">
      <c r="A66" s="2" t="inlineStr">
        <is>
          <t>Algorithms</t>
        </is>
      </c>
      <c r="B66" s="2" t="inlineStr">
        <is>
          <t>Dynamic programming</t>
        </is>
      </c>
      <c r="C66" s="2" t="inlineStr">
        <is>
          <t xml:space="preserve">Practice these 21 problems on Dynamic Programming to understand the pattern of questions and the different ways in which you can implement the solution. Practice concepts like Iterative DP, Recursive DP, 1D and 2D DP, Digit DP etc. </t>
        </is>
      </c>
      <c r="D66" s="2" t="inlineStr">
        <is>
          <t>Basic dynamic programming - Practice</t>
        </is>
      </c>
      <c r="E66" s="2" t="n">
        <v>6</v>
      </c>
      <c r="F66" s="2" t="inlineStr">
        <is>
          <t>Binary Substituition</t>
        </is>
      </c>
      <c r="G66" s="2" t="inlineStr">
        <is>
          <t>BINARYSUB</t>
        </is>
      </c>
      <c r="H66" s="2" t="inlineStr">
        <is>
          <t>1630</t>
        </is>
      </c>
      <c r="I66" s="2" t="inlineStr">
        <is>
          <t>Medium</t>
        </is>
      </c>
      <c r="J66" s="3">
        <f>HYPERLINK("https://www.codechef.com/problems/BINARYSUB", "https://www.codechef.com/problems/BINARYSUB")</f>
        <v/>
      </c>
      <c r="K66" s="2" t="inlineStr"/>
      <c r="L66" s="2" t="inlineStr">
        <is>
          <t>Algorithms, Dynamic Programming</t>
        </is>
      </c>
      <c r="M66" s="2" t="inlineStr"/>
      <c r="N66" s="2" t="inlineStr">
        <is>
          <t>No</t>
        </is>
      </c>
      <c r="O66" s="2" t="inlineStr">
        <is>
          <t>Unattempted</t>
        </is>
      </c>
    </row>
    <row r="67">
      <c r="A67" s="4" t="inlineStr">
        <is>
          <t>Algorithms</t>
        </is>
      </c>
      <c r="B67" s="4" t="inlineStr">
        <is>
          <t>Dynamic programming</t>
        </is>
      </c>
      <c r="C67" s="4" t="inlineStr">
        <is>
          <t xml:space="preserve">Practice these 21 problems on Dynamic Programming to understand the pattern of questions and the different ways in which you can implement the solution. Practice concepts like Iterative DP, Recursive DP, 1D and 2D DP, Digit DP etc. </t>
        </is>
      </c>
      <c r="D67" s="4" t="inlineStr">
        <is>
          <t>Basic dynamic programming - Practice</t>
        </is>
      </c>
      <c r="E67" s="4" t="n">
        <v>7</v>
      </c>
      <c r="F67" s="4" t="inlineStr">
        <is>
          <t>Chef robs House II</t>
        </is>
      </c>
      <c r="G67" s="4" t="inlineStr">
        <is>
          <t>MTSQO01</t>
        </is>
      </c>
      <c r="H67" s="4" t="inlineStr"/>
      <c r="I67" s="4" t="inlineStr">
        <is>
          <t>Medium</t>
        </is>
      </c>
      <c r="J67" s="5">
        <f>HYPERLINK("https://www.codechef.com/problems/MTSQO01", "https://www.codechef.com/problems/MTSQO01")</f>
        <v/>
      </c>
      <c r="K67" s="4" t="inlineStr"/>
      <c r="L67" s="4" t="inlineStr"/>
      <c r="M67" s="4" t="inlineStr"/>
      <c r="N67" s="4" t="inlineStr">
        <is>
          <t>No</t>
        </is>
      </c>
      <c r="O67" s="4" t="inlineStr">
        <is>
          <t>Unattempted</t>
        </is>
      </c>
    </row>
    <row r="68">
      <c r="A68" s="2" t="inlineStr">
        <is>
          <t>Algorithms</t>
        </is>
      </c>
      <c r="B68" s="2" t="inlineStr">
        <is>
          <t>Dynamic programming</t>
        </is>
      </c>
      <c r="C68" s="2" t="inlineStr">
        <is>
          <t xml:space="preserve">Practice these 21 problems on Dynamic Programming to understand the pattern of questions and the different ways in which you can implement the solution. Practice concepts like Iterative DP, Recursive DP, 1D and 2D DP, Digit DP etc. </t>
        </is>
      </c>
      <c r="D68" s="2" t="inlineStr">
        <is>
          <t>Basic dynamic programming - Practice</t>
        </is>
      </c>
      <c r="E68" s="2" t="n">
        <v>8</v>
      </c>
      <c r="F68" s="2" t="inlineStr">
        <is>
          <t>Magic Rankings</t>
        </is>
      </c>
      <c r="G68" s="2" t="inlineStr">
        <is>
          <t>MGCRNK</t>
        </is>
      </c>
      <c r="H68" s="2" t="inlineStr">
        <is>
          <t>1540</t>
        </is>
      </c>
      <c r="I68" s="2" t="inlineStr">
        <is>
          <t>Medium</t>
        </is>
      </c>
      <c r="J68" s="3">
        <f>HYPERLINK("https://www.codechef.com/problems/MGCRNK", "https://www.codechef.com/problems/MGCRNK")</f>
        <v/>
      </c>
      <c r="K68" s="2" t="inlineStr"/>
      <c r="L68" s="2" t="inlineStr"/>
      <c r="M68" s="2" t="inlineStr"/>
      <c r="N68" s="2" t="inlineStr">
        <is>
          <t>No</t>
        </is>
      </c>
      <c r="O68" s="2" t="inlineStr">
        <is>
          <t>Unattempted</t>
        </is>
      </c>
    </row>
    <row r="69">
      <c r="A69" s="4" t="inlineStr">
        <is>
          <t>Algorithms</t>
        </is>
      </c>
      <c r="B69" s="4" t="inlineStr">
        <is>
          <t>Dynamic programming</t>
        </is>
      </c>
      <c r="C69" s="4" t="inlineStr">
        <is>
          <t xml:space="preserve">Practice these 21 problems on Dynamic Programming to understand the pattern of questions and the different ways in which you can implement the solution. Practice concepts like Iterative DP, Recursive DP, 1D and 2D DP, Digit DP etc. </t>
        </is>
      </c>
      <c r="D69" s="4" t="inlineStr">
        <is>
          <t>Basic dynamic programming - Practice</t>
        </is>
      </c>
      <c r="E69" s="4" t="n">
        <v>9</v>
      </c>
      <c r="F69" s="4" t="inlineStr">
        <is>
          <t>SUPW</t>
        </is>
      </c>
      <c r="G69" s="4" t="inlineStr">
        <is>
          <t>ZCO14002</t>
        </is>
      </c>
      <c r="H69" s="4" t="inlineStr"/>
      <c r="I69" s="4" t="inlineStr">
        <is>
          <t>Medium</t>
        </is>
      </c>
      <c r="J69" s="5">
        <f>HYPERLINK("https://www.codechef.com/problems/ZCO14002", "https://www.codechef.com/problems/ZCO14002")</f>
        <v/>
      </c>
      <c r="K69" s="4" t="inlineStr"/>
      <c r="L69" s="4" t="inlineStr"/>
      <c r="M69" s="4" t="inlineStr"/>
      <c r="N69" s="4" t="inlineStr">
        <is>
          <t>No</t>
        </is>
      </c>
      <c r="O69" s="4" t="inlineStr">
        <is>
          <t>Unattempted</t>
        </is>
      </c>
    </row>
    <row r="70">
      <c r="A70" s="2" t="inlineStr">
        <is>
          <t>Algorithms</t>
        </is>
      </c>
      <c r="B70" s="2" t="inlineStr">
        <is>
          <t>Dynamic programming</t>
        </is>
      </c>
      <c r="C70" s="2" t="inlineStr">
        <is>
          <t xml:space="preserve">Practice these 21 problems on Dynamic Programming to understand the pattern of questions and the different ways in which you can implement the solution. Practice concepts like Iterative DP, Recursive DP, 1D and 2D DP, Digit DP etc. </t>
        </is>
      </c>
      <c r="D70" s="2" t="inlineStr">
        <is>
          <t>Basic dynamic programming - Practice</t>
        </is>
      </c>
      <c r="E70" s="2" t="n">
        <v>10</v>
      </c>
      <c r="F70" s="2" t="inlineStr">
        <is>
          <t>Chef Counts Unique Paths</t>
        </is>
      </c>
      <c r="G70" s="2" t="inlineStr">
        <is>
          <t>EIHKO01</t>
        </is>
      </c>
      <c r="H70" s="2" t="inlineStr"/>
      <c r="I70" s="2" t="inlineStr">
        <is>
          <t>Medium</t>
        </is>
      </c>
      <c r="J70" s="3">
        <f>HYPERLINK("https://www.codechef.com/problems/EIHKO01", "https://www.codechef.com/problems/EIHKO01")</f>
        <v/>
      </c>
      <c r="K70" s="2" t="inlineStr"/>
      <c r="L70" s="2" t="inlineStr"/>
      <c r="M70" s="2" t="inlineStr"/>
      <c r="N70" s="2" t="inlineStr">
        <is>
          <t>No</t>
        </is>
      </c>
      <c r="O70" s="2" t="inlineStr">
        <is>
          <t>Unattempted</t>
        </is>
      </c>
    </row>
    <row r="71">
      <c r="A71" s="4" t="inlineStr">
        <is>
          <t>Algorithms</t>
        </is>
      </c>
      <c r="B71" s="4" t="inlineStr">
        <is>
          <t>Dynamic programming</t>
        </is>
      </c>
      <c r="C71" s="4" t="inlineStr">
        <is>
          <t xml:space="preserve">Practice these 21 problems on Dynamic Programming to understand the pattern of questions and the different ways in which you can implement the solution. Practice concepts like Iterative DP, Recursive DP, 1D and 2D DP, Digit DP etc. </t>
        </is>
      </c>
      <c r="D71" s="4" t="inlineStr">
        <is>
          <t>Basic dynamic programming - Practice</t>
        </is>
      </c>
      <c r="E71" s="4" t="n">
        <v>11</v>
      </c>
      <c r="F71" s="4" t="inlineStr">
        <is>
          <t>IPL</t>
        </is>
      </c>
      <c r="G71" s="4" t="inlineStr">
        <is>
          <t>ZCO14004</t>
        </is>
      </c>
      <c r="H71" s="4" t="inlineStr"/>
      <c r="I71" s="4" t="inlineStr">
        <is>
          <t>Hard</t>
        </is>
      </c>
      <c r="J71" s="5">
        <f>HYPERLINK("https://www.codechef.com/problems/ZCO14004", "https://www.codechef.com/problems/ZCO14004")</f>
        <v/>
      </c>
      <c r="K71" s="4" t="inlineStr"/>
      <c r="L71" s="4" t="inlineStr"/>
      <c r="M71" s="4" t="inlineStr"/>
      <c r="N71" s="4" t="inlineStr">
        <is>
          <t>No</t>
        </is>
      </c>
      <c r="O71" s="4" t="inlineStr">
        <is>
          <t>Unattempted</t>
        </is>
      </c>
    </row>
    <row r="72">
      <c r="A72" s="2" t="inlineStr">
        <is>
          <t>Algorithms</t>
        </is>
      </c>
      <c r="B72" s="2" t="inlineStr">
        <is>
          <t>Dynamic programming</t>
        </is>
      </c>
      <c r="C72" s="2" t="inlineStr">
        <is>
          <t xml:space="preserve">Practice these 21 problems on Dynamic Programming to understand the pattern of questions and the different ways in which you can implement the solution. Practice concepts like Iterative DP, Recursive DP, 1D and 2D DP, Digit DP etc. </t>
        </is>
      </c>
      <c r="D72" s="2" t="inlineStr">
        <is>
          <t>Basic dynamic programming - Practice</t>
        </is>
      </c>
      <c r="E72" s="2" t="n">
        <v>12</v>
      </c>
      <c r="F72" s="2" t="inlineStr">
        <is>
          <t>Chef Finds Minimum Path</t>
        </is>
      </c>
      <c r="G72" s="2" t="inlineStr">
        <is>
          <t>BGJOM01</t>
        </is>
      </c>
      <c r="H72" s="2" t="inlineStr"/>
      <c r="I72" s="2" t="inlineStr">
        <is>
          <t>Medium</t>
        </is>
      </c>
      <c r="J72" s="3">
        <f>HYPERLINK("https://www.codechef.com/problems/BGJOM01", "https://www.codechef.com/problems/BGJOM01")</f>
        <v/>
      </c>
      <c r="K72" s="2" t="inlineStr"/>
      <c r="L72" s="2" t="inlineStr"/>
      <c r="M72" s="2" t="inlineStr"/>
      <c r="N72" s="2" t="inlineStr">
        <is>
          <t>No</t>
        </is>
      </c>
      <c r="O72" s="2" t="inlineStr">
        <is>
          <t>Unattempted</t>
        </is>
      </c>
    </row>
    <row r="73">
      <c r="A73" s="4" t="inlineStr">
        <is>
          <t>Algorithms</t>
        </is>
      </c>
      <c r="B73" s="4" t="inlineStr">
        <is>
          <t>Dynamic programming</t>
        </is>
      </c>
      <c r="C73" s="4" t="inlineStr">
        <is>
          <t xml:space="preserve">Practice these 21 problems on Dynamic Programming to understand the pattern of questions and the different ways in which you can implement the solution. Practice concepts like Iterative DP, Recursive DP, 1D and 2D DP, Digit DP etc. </t>
        </is>
      </c>
      <c r="D73" s="4" t="inlineStr">
        <is>
          <t>Basic dynamic programming - Practice</t>
        </is>
      </c>
      <c r="E73" s="4" t="n">
        <v>13</v>
      </c>
      <c r="F73" s="4" t="inlineStr">
        <is>
          <t>Break Up</t>
        </is>
      </c>
      <c r="G73" s="4" t="inlineStr">
        <is>
          <t>ZCO15001</t>
        </is>
      </c>
      <c r="H73" s="4" t="inlineStr"/>
      <c r="I73" s="4" t="inlineStr">
        <is>
          <t>Hard</t>
        </is>
      </c>
      <c r="J73" s="5">
        <f>HYPERLINK("https://www.codechef.com/problems/ZCO15001", "https://www.codechef.com/problems/ZCO15001")</f>
        <v/>
      </c>
      <c r="K73" s="4" t="inlineStr"/>
      <c r="L73" s="4" t="inlineStr"/>
      <c r="M73" s="4" t="inlineStr"/>
      <c r="N73" s="4" t="inlineStr">
        <is>
          <t>No</t>
        </is>
      </c>
      <c r="O73" s="4" t="inlineStr">
        <is>
          <t>Unattempted</t>
        </is>
      </c>
    </row>
    <row r="74">
      <c r="A74" s="2" t="inlineStr">
        <is>
          <t>Algorithms</t>
        </is>
      </c>
      <c r="B74" s="2" t="inlineStr">
        <is>
          <t>Dynamic programming</t>
        </is>
      </c>
      <c r="C74" s="2" t="inlineStr">
        <is>
          <t xml:space="preserve">Practice these 21 problems on Dynamic Programming to understand the pattern of questions and the different ways in which you can implement the solution. Practice concepts like Iterative DP, Recursive DP, 1D and 2D DP, Digit DP etc. </t>
        </is>
      </c>
      <c r="D74" s="2" t="inlineStr">
        <is>
          <t>Basic dynamic programming - Practice</t>
        </is>
      </c>
      <c r="E74" s="2" t="n">
        <v>14</v>
      </c>
      <c r="F74" s="2" t="inlineStr">
        <is>
          <t>Chef Solves Climbing Stairs</t>
        </is>
      </c>
      <c r="G74" s="2" t="inlineStr">
        <is>
          <t>YMISN01</t>
        </is>
      </c>
      <c r="H74" s="2" t="inlineStr"/>
      <c r="I74" s="2" t="inlineStr">
        <is>
          <t>Medium</t>
        </is>
      </c>
      <c r="J74" s="3">
        <f>HYPERLINK("https://www.codechef.com/problems/YMISN01", "https://www.codechef.com/problems/YMISN01")</f>
        <v/>
      </c>
      <c r="K74" s="2" t="inlineStr"/>
      <c r="L74" s="2" t="inlineStr"/>
      <c r="M74" s="2" t="inlineStr"/>
      <c r="N74" s="2" t="inlineStr">
        <is>
          <t>No</t>
        </is>
      </c>
      <c r="O74" s="2" t="inlineStr">
        <is>
          <t>Unattempted</t>
        </is>
      </c>
    </row>
    <row r="75">
      <c r="A75" s="4" t="inlineStr">
        <is>
          <t>Algorithms</t>
        </is>
      </c>
      <c r="B75" s="4" t="inlineStr">
        <is>
          <t>Dynamic programming</t>
        </is>
      </c>
      <c r="C75" s="4" t="inlineStr">
        <is>
          <t xml:space="preserve">Practice these 21 problems on Dynamic Programming to understand the pattern of questions and the different ways in which you can implement the solution. Practice concepts like Iterative DP, Recursive DP, 1D and 2D DP, Digit DP etc. </t>
        </is>
      </c>
      <c r="D75" s="4" t="inlineStr">
        <is>
          <t>Basic dynamic programming - Practice</t>
        </is>
      </c>
      <c r="E75" s="4" t="n">
        <v>15</v>
      </c>
      <c r="F75" s="4" t="inlineStr">
        <is>
          <t>Chef Counts Unique Paths</t>
        </is>
      </c>
      <c r="G75" s="4" t="inlineStr">
        <is>
          <t>ZJIHK01</t>
        </is>
      </c>
      <c r="H75" s="4" t="inlineStr"/>
      <c r="I75" s="4" t="inlineStr">
        <is>
          <t>Medium</t>
        </is>
      </c>
      <c r="J75" s="5">
        <f>HYPERLINK("https://www.codechef.com/problems/ZJIHK01", "https://www.codechef.com/problems/ZJIHK01")</f>
        <v/>
      </c>
      <c r="K75" s="4" t="inlineStr"/>
      <c r="L75" s="4" t="inlineStr"/>
      <c r="M75" s="4" t="inlineStr"/>
      <c r="N75" s="4" t="inlineStr">
        <is>
          <t>No</t>
        </is>
      </c>
      <c r="O75" s="4" t="inlineStr">
        <is>
          <t>Unattempted</t>
        </is>
      </c>
    </row>
    <row r="76">
      <c r="A76" s="2" t="inlineStr">
        <is>
          <t>Algorithms</t>
        </is>
      </c>
      <c r="B76" s="2" t="inlineStr">
        <is>
          <t>Dynamic programming</t>
        </is>
      </c>
      <c r="C76" s="2" t="inlineStr">
        <is>
          <t xml:space="preserve">Practice these 21 problems on Dynamic Programming to understand the pattern of questions and the different ways in which you can implement the solution. Practice concepts like Iterative DP, Recursive DP, 1D and 2D DP, Digit DP etc. </t>
        </is>
      </c>
      <c r="D76" s="2" t="inlineStr">
        <is>
          <t>Basic dynamic programming - Practice</t>
        </is>
      </c>
      <c r="E76" s="2" t="n">
        <v>16</v>
      </c>
      <c r="F76" s="2" t="inlineStr">
        <is>
          <t>Chef Finds Falling Path</t>
        </is>
      </c>
      <c r="G76" s="2" t="inlineStr">
        <is>
          <t>NPTAS01</t>
        </is>
      </c>
      <c r="H76" s="2" t="inlineStr"/>
      <c r="I76" s="2" t="inlineStr">
        <is>
          <t>Medium</t>
        </is>
      </c>
      <c r="J76" s="3">
        <f>HYPERLINK("https://www.codechef.com/problems/NPTAS01", "https://www.codechef.com/problems/NPTAS01")</f>
        <v/>
      </c>
      <c r="K76" s="2" t="inlineStr"/>
      <c r="L76" s="2" t="inlineStr"/>
      <c r="M76" s="2" t="inlineStr"/>
      <c r="N76" s="2" t="inlineStr">
        <is>
          <t>No</t>
        </is>
      </c>
      <c r="O76" s="2" t="inlineStr">
        <is>
          <t>Unattempted</t>
        </is>
      </c>
    </row>
    <row r="77">
      <c r="A77" s="4" t="inlineStr">
        <is>
          <t>Algorithms</t>
        </is>
      </c>
      <c r="B77" s="4" t="inlineStr">
        <is>
          <t>Dynamic programming</t>
        </is>
      </c>
      <c r="C77" s="4" t="inlineStr">
        <is>
          <t xml:space="preserve">Practice these 21 problems on Dynamic Programming to understand the pattern of questions and the different ways in which you can implement the solution. Practice concepts like Iterative DP, Recursive DP, 1D and 2D DP, Digit DP etc. </t>
        </is>
      </c>
      <c r="D77" s="4" t="inlineStr">
        <is>
          <t>Basic dynamic programming - Practice</t>
        </is>
      </c>
      <c r="E77" s="4" t="n">
        <v>17</v>
      </c>
      <c r="F77" s="4" t="inlineStr">
        <is>
          <t>Chef Assign Cookies</t>
        </is>
      </c>
      <c r="G77" s="4" t="inlineStr">
        <is>
          <t>HBSBE01</t>
        </is>
      </c>
      <c r="H77" s="4" t="inlineStr"/>
      <c r="I77" s="4" t="inlineStr">
        <is>
          <t>Easy</t>
        </is>
      </c>
      <c r="J77" s="5">
        <f>HYPERLINK("https://www.codechef.com/problems/HBSBE01", "https://www.codechef.com/problems/HBSBE01")</f>
        <v/>
      </c>
      <c r="K77" s="4" t="inlineStr"/>
      <c r="L77" s="4" t="inlineStr"/>
      <c r="M77" s="4" t="inlineStr"/>
      <c r="N77" s="4" t="inlineStr">
        <is>
          <t>No</t>
        </is>
      </c>
      <c r="O77" s="4" t="inlineStr">
        <is>
          <t>Unattempted</t>
        </is>
      </c>
    </row>
    <row r="78">
      <c r="A78" s="2" t="inlineStr">
        <is>
          <t>Algorithms</t>
        </is>
      </c>
      <c r="B78" s="2" t="inlineStr">
        <is>
          <t>Dynamic programming</t>
        </is>
      </c>
      <c r="C78" s="2" t="inlineStr">
        <is>
          <t xml:space="preserve">Practice these 21 problems on Dynamic Programming to understand the pattern of questions and the different ways in which you can implement the solution. Practice concepts like Iterative DP, Recursive DP, 1D and 2D DP, Digit DP etc. </t>
        </is>
      </c>
      <c r="D78" s="2" t="inlineStr">
        <is>
          <t>Basic dynamic programming - Practice</t>
        </is>
      </c>
      <c r="E78" s="2" t="n">
        <v>18</v>
      </c>
      <c r="F78" s="2" t="inlineStr">
        <is>
          <t>Chef Finds Stock Profit - 1</t>
        </is>
      </c>
      <c r="G78" s="2" t="inlineStr">
        <is>
          <t>WGBUW01</t>
        </is>
      </c>
      <c r="H78" s="2" t="inlineStr"/>
      <c r="I78" s="2" t="inlineStr">
        <is>
          <t>Medium</t>
        </is>
      </c>
      <c r="J78" s="3">
        <f>HYPERLINK("https://www.codechef.com/problems/WGBUW01", "https://www.codechef.com/problems/WGBUW01")</f>
        <v/>
      </c>
      <c r="K78" s="2" t="inlineStr"/>
      <c r="L78" s="2" t="inlineStr"/>
      <c r="M78" s="2" t="inlineStr"/>
      <c r="N78" s="2" t="inlineStr">
        <is>
          <t>No</t>
        </is>
      </c>
      <c r="O78" s="2" t="inlineStr">
        <is>
          <t>Unattempted</t>
        </is>
      </c>
    </row>
    <row r="79">
      <c r="A79" s="4" t="inlineStr">
        <is>
          <t>Algorithms</t>
        </is>
      </c>
      <c r="B79" s="4" t="inlineStr">
        <is>
          <t>Dynamic programming</t>
        </is>
      </c>
      <c r="C79" s="4" t="inlineStr">
        <is>
          <t xml:space="preserve">Practice these 21 problems on Dynamic Programming to understand the pattern of questions and the different ways in which you can implement the solution. Practice concepts like Iterative DP, Recursive DP, 1D and 2D DP, Digit DP etc. </t>
        </is>
      </c>
      <c r="D79" s="4" t="inlineStr">
        <is>
          <t>Basic dynamic programming - Pro Practice</t>
        </is>
      </c>
      <c r="E79" s="4" t="n">
        <v>19</v>
      </c>
      <c r="F79" s="4" t="inlineStr">
        <is>
          <t>Subset with target sum</t>
        </is>
      </c>
      <c r="G79" s="4" t="inlineStr">
        <is>
          <t>SUBSETTARGET</t>
        </is>
      </c>
      <c r="H79" s="4" t="inlineStr"/>
      <c r="I79" s="4" t="inlineStr">
        <is>
          <t>Medium</t>
        </is>
      </c>
      <c r="J79" s="5">
        <f>HYPERLINK("https://www.codechef.com/problems/SUBSETTARGET", "https://www.codechef.com/problems/SUBSETTARGET")</f>
        <v/>
      </c>
      <c r="K79" s="4" t="inlineStr"/>
      <c r="L79" s="4" t="inlineStr"/>
      <c r="M79" s="4" t="inlineStr"/>
      <c r="N79" s="4" t="inlineStr">
        <is>
          <t>No</t>
        </is>
      </c>
      <c r="O79" s="4" t="inlineStr">
        <is>
          <t>Unattempted</t>
        </is>
      </c>
    </row>
    <row r="80">
      <c r="A80" s="2" t="inlineStr">
        <is>
          <t>Algorithms</t>
        </is>
      </c>
      <c r="B80" s="2" t="inlineStr">
        <is>
          <t>Dynamic programming</t>
        </is>
      </c>
      <c r="C80" s="2" t="inlineStr">
        <is>
          <t xml:space="preserve">Practice these 21 problems on Dynamic Programming to understand the pattern of questions and the different ways in which you can implement the solution. Practice concepts like Iterative DP, Recursive DP, 1D and 2D DP, Digit DP etc. </t>
        </is>
      </c>
      <c r="D80" s="2" t="inlineStr">
        <is>
          <t>Basic dynamic programming - Pro Practice</t>
        </is>
      </c>
      <c r="E80" s="2" t="n">
        <v>20</v>
      </c>
      <c r="F80" s="2" t="inlineStr">
        <is>
          <t>Maximal crosses</t>
        </is>
      </c>
      <c r="G80" s="2" t="inlineStr">
        <is>
          <t>MAXCROSS</t>
        </is>
      </c>
      <c r="H80" s="2" t="inlineStr">
        <is>
          <t>1570</t>
        </is>
      </c>
      <c r="I80" s="2" t="inlineStr">
        <is>
          <t>Medium</t>
        </is>
      </c>
      <c r="J80" s="3">
        <f>HYPERLINK("https://www.codechef.com/problems/MAXCROSS", "https://www.codechef.com/problems/MAXCROSS")</f>
        <v/>
      </c>
      <c r="K80" s="2" t="inlineStr"/>
      <c r="L80" s="2" t="inlineStr"/>
      <c r="M80" s="2" t="inlineStr"/>
      <c r="N80" s="2" t="inlineStr">
        <is>
          <t>No</t>
        </is>
      </c>
      <c r="O80" s="2" t="inlineStr">
        <is>
          <t>Unattempted</t>
        </is>
      </c>
    </row>
    <row r="81">
      <c r="A81" s="4" t="inlineStr">
        <is>
          <t>Algorithms</t>
        </is>
      </c>
      <c r="B81" s="4" t="inlineStr">
        <is>
          <t>Dynamic programming</t>
        </is>
      </c>
      <c r="C81" s="4" t="inlineStr">
        <is>
          <t xml:space="preserve">Practice these 21 problems on Dynamic Programming to understand the pattern of questions and the different ways in which you can implement the solution. Practice concepts like Iterative DP, Recursive DP, 1D and 2D DP, Digit DP etc. </t>
        </is>
      </c>
      <c r="D81" s="4" t="inlineStr">
        <is>
          <t>Basic dynamic programming - Pro Practice</t>
        </is>
      </c>
      <c r="E81" s="4" t="n">
        <v>21</v>
      </c>
      <c r="F81" s="4" t="inlineStr">
        <is>
          <t>Count subsets with sum K</t>
        </is>
      </c>
      <c r="G81" s="4" t="inlineStr">
        <is>
          <t>COUNTSUBSETS</t>
        </is>
      </c>
      <c r="H81" s="4" t="inlineStr"/>
      <c r="I81" s="4" t="inlineStr">
        <is>
          <t>Medium</t>
        </is>
      </c>
      <c r="J81" s="5">
        <f>HYPERLINK("https://www.codechef.com/problems/COUNTSUBSETS", "https://www.codechef.com/problems/COUNTSUBSETS")</f>
        <v/>
      </c>
      <c r="K81" s="4" t="inlineStr"/>
      <c r="L81" s="4" t="inlineStr"/>
      <c r="M81" s="4" t="inlineStr"/>
      <c r="N81" s="4" t="inlineStr">
        <is>
          <t>No</t>
        </is>
      </c>
      <c r="O81" s="4" t="inlineStr">
        <is>
          <t>Unattempted</t>
        </is>
      </c>
    </row>
    <row r="82">
      <c r="A82" s="2" t="inlineStr">
        <is>
          <t>Algorithms</t>
        </is>
      </c>
      <c r="B82" s="2" t="inlineStr">
        <is>
          <t>Dynamic programming</t>
        </is>
      </c>
      <c r="C82" s="2" t="inlineStr">
        <is>
          <t xml:space="preserve">Practice these 21 problems on Dynamic Programming to understand the pattern of questions and the different ways in which you can implement the solution. Practice concepts like Iterative DP, Recursive DP, 1D and 2D DP, Digit DP etc. </t>
        </is>
      </c>
      <c r="D82" s="2" t="inlineStr">
        <is>
          <t>Basic dynamic programming - Pro Practice</t>
        </is>
      </c>
      <c r="E82" s="2" t="n">
        <v>22</v>
      </c>
      <c r="F82" s="2" t="inlineStr">
        <is>
          <t>The White Knight</t>
        </is>
      </c>
      <c r="G82" s="2" t="inlineStr">
        <is>
          <t>E1</t>
        </is>
      </c>
      <c r="H82" s="2" t="inlineStr">
        <is>
          <t>1530</t>
        </is>
      </c>
      <c r="I82" s="2" t="inlineStr">
        <is>
          <t>Medium</t>
        </is>
      </c>
      <c r="J82" s="3">
        <f>HYPERLINK("https://www.codechef.com/problems/E1", "https://www.codechef.com/problems/E1")</f>
        <v/>
      </c>
      <c r="K82" s="2" t="inlineStr"/>
      <c r="L82" s="2" t="inlineStr"/>
      <c r="M82" s="2" t="inlineStr"/>
      <c r="N82" s="2" t="inlineStr">
        <is>
          <t>No</t>
        </is>
      </c>
      <c r="O82" s="2" t="inlineStr">
        <is>
          <t>Unattempted</t>
        </is>
      </c>
    </row>
    <row r="83">
      <c r="A83" s="4" t="inlineStr">
        <is>
          <t>Algorithms</t>
        </is>
      </c>
      <c r="B83" s="4" t="inlineStr">
        <is>
          <t>Dynamic programming</t>
        </is>
      </c>
      <c r="C83" s="4" t="inlineStr">
        <is>
          <t xml:space="preserve">Practice these 21 problems on Dynamic Programming to understand the pattern of questions and the different ways in which you can implement the solution. Practice concepts like Iterative DP, Recursive DP, 1D and 2D DP, Digit DP etc. </t>
        </is>
      </c>
      <c r="D83" s="4" t="inlineStr">
        <is>
          <t>Basic dynamic programming - Pro Practice</t>
        </is>
      </c>
      <c r="E83" s="4" t="n">
        <v>23</v>
      </c>
      <c r="F83" s="4" t="inlineStr">
        <is>
          <t>Chef Verifies Equal Subset Sum</t>
        </is>
      </c>
      <c r="G83" s="4" t="inlineStr">
        <is>
          <t>VYISQ01</t>
        </is>
      </c>
      <c r="H83" s="4" t="inlineStr"/>
      <c r="I83" s="4" t="inlineStr">
        <is>
          <t>Hard</t>
        </is>
      </c>
      <c r="J83" s="5">
        <f>HYPERLINK("https://www.codechef.com/problems/VYISQ01", "https://www.codechef.com/problems/VYISQ01")</f>
        <v/>
      </c>
      <c r="K83" s="4" t="inlineStr"/>
      <c r="L83" s="4" t="inlineStr"/>
      <c r="M83" s="4" t="inlineStr"/>
      <c r="N83" s="4" t="inlineStr">
        <is>
          <t>No</t>
        </is>
      </c>
      <c r="O83" s="4" t="inlineStr">
        <is>
          <t>Unattempted</t>
        </is>
      </c>
    </row>
    <row r="84">
      <c r="A84" s="2" t="inlineStr">
        <is>
          <t>Algorithms</t>
        </is>
      </c>
      <c r="B84" s="2" t="inlineStr">
        <is>
          <t>Dynamic programming</t>
        </is>
      </c>
      <c r="C84" s="2" t="inlineStr">
        <is>
          <t xml:space="preserve">Practice these 21 problems on Dynamic Programming to understand the pattern of questions and the different ways in which you can implement the solution. Practice concepts like Iterative DP, Recursive DP, 1D and 2D DP, Digit DP etc. </t>
        </is>
      </c>
      <c r="D84" s="2" t="inlineStr">
        <is>
          <t>Basic dynamic programming - Pro Practice</t>
        </is>
      </c>
      <c r="E84" s="2" t="n">
        <v>24</v>
      </c>
      <c r="F84" s="2" t="inlineStr">
        <is>
          <t>Maximizing LCS</t>
        </is>
      </c>
      <c r="G84" s="2" t="inlineStr">
        <is>
          <t>MAXLCS</t>
        </is>
      </c>
      <c r="H84" s="2" t="inlineStr">
        <is>
          <t>1567</t>
        </is>
      </c>
      <c r="I84" s="2" t="inlineStr">
        <is>
          <t>Medium</t>
        </is>
      </c>
      <c r="J84" s="3">
        <f>HYPERLINK("https://www.codechef.com/problems/MAXLCS", "https://www.codechef.com/problems/MAXLCS")</f>
        <v/>
      </c>
      <c r="K84" s="2" t="inlineStr"/>
      <c r="L84" s="2" t="inlineStr"/>
      <c r="M84" s="2" t="inlineStr"/>
      <c r="N84" s="2" t="inlineStr">
        <is>
          <t>No</t>
        </is>
      </c>
      <c r="O84" s="2" t="inlineStr">
        <is>
          <t>Unattempted</t>
        </is>
      </c>
    </row>
    <row r="85">
      <c r="A85" s="4" t="inlineStr">
        <is>
          <t>Algorithms</t>
        </is>
      </c>
      <c r="B85" s="4" t="inlineStr">
        <is>
          <t>Dynamic programming</t>
        </is>
      </c>
      <c r="C85" s="4" t="inlineStr">
        <is>
          <t xml:space="preserve">Practice these 21 problems on Dynamic Programming to understand the pattern of questions and the different ways in which you can implement the solution. Practice concepts like Iterative DP, Recursive DP, 1D and 2D DP, Digit DP etc. </t>
        </is>
      </c>
      <c r="D85" s="4" t="inlineStr">
        <is>
          <t>Basic dynamic programming - Pro Practice</t>
        </is>
      </c>
      <c r="E85" s="4" t="n">
        <v>25</v>
      </c>
      <c r="F85" s="4" t="inlineStr">
        <is>
          <t>Chef Solves Coin Change II</t>
        </is>
      </c>
      <c r="G85" s="4" t="inlineStr">
        <is>
          <t>DORKL01</t>
        </is>
      </c>
      <c r="H85" s="4" t="inlineStr"/>
      <c r="I85" s="4" t="inlineStr">
        <is>
          <t>Hard</t>
        </is>
      </c>
      <c r="J85" s="5">
        <f>HYPERLINK("https://www.codechef.com/problems/DORKL01", "https://www.codechef.com/problems/DORKL01")</f>
        <v/>
      </c>
      <c r="K85" s="4" t="inlineStr"/>
      <c r="L85" s="4" t="inlineStr"/>
      <c r="M85" s="4" t="inlineStr"/>
      <c r="N85" s="4" t="inlineStr">
        <is>
          <t>No</t>
        </is>
      </c>
      <c r="O85" s="4" t="inlineStr">
        <is>
          <t>Unattempted</t>
        </is>
      </c>
    </row>
    <row r="86">
      <c r="A86" s="2" t="inlineStr">
        <is>
          <t>Algorithms</t>
        </is>
      </c>
      <c r="B86" s="2" t="inlineStr">
        <is>
          <t>Dynamic programming</t>
        </is>
      </c>
      <c r="C86" s="2" t="inlineStr">
        <is>
          <t xml:space="preserve">Practice these 21 problems on Dynamic Programming to understand the pattern of questions and the different ways in which you can implement the solution. Practice concepts like Iterative DP, Recursive DP, 1D and 2D DP, Digit DP etc. </t>
        </is>
      </c>
      <c r="D86" s="2" t="inlineStr">
        <is>
          <t>Basic dynamic programming - Pro Practice</t>
        </is>
      </c>
      <c r="E86" s="2" t="n">
        <v>26</v>
      </c>
      <c r="F86" s="2" t="inlineStr">
        <is>
          <t>Chef Solves Word Break</t>
        </is>
      </c>
      <c r="G86" s="2" t="inlineStr">
        <is>
          <t>TXBCN01</t>
        </is>
      </c>
      <c r="H86" s="2" t="inlineStr"/>
      <c r="I86" s="2" t="inlineStr">
        <is>
          <t>Medium</t>
        </is>
      </c>
      <c r="J86" s="3">
        <f>HYPERLINK("https://www.codechef.com/problems/TXBCN01", "https://www.codechef.com/problems/TXBCN01")</f>
        <v/>
      </c>
      <c r="K86" s="2" t="inlineStr"/>
      <c r="L86" s="2" t="inlineStr"/>
      <c r="M86" s="2" t="inlineStr"/>
      <c r="N86" s="2" t="inlineStr">
        <is>
          <t>No</t>
        </is>
      </c>
      <c r="O86" s="2" t="inlineStr">
        <is>
          <t>Unattempted</t>
        </is>
      </c>
    </row>
    <row r="87">
      <c r="A87" s="4" t="inlineStr">
        <is>
          <t>Algorithms</t>
        </is>
      </c>
      <c r="B87" s="4" t="inlineStr">
        <is>
          <t>Dynamic programming</t>
        </is>
      </c>
      <c r="C87" s="4" t="inlineStr">
        <is>
          <t xml:space="preserve">Practice these 21 problems on Dynamic Programming to understand the pattern of questions and the different ways in which you can implement the solution. Practice concepts like Iterative DP, Recursive DP, 1D and 2D DP, Digit DP etc. </t>
        </is>
      </c>
      <c r="D87" s="4" t="inlineStr">
        <is>
          <t>Basic dynamic programming - Pro Practice</t>
        </is>
      </c>
      <c r="E87" s="4" t="n">
        <v>27</v>
      </c>
      <c r="F87" s="4" t="inlineStr">
        <is>
          <t>CAO Stage-2</t>
        </is>
      </c>
      <c r="G87" s="4" t="inlineStr">
        <is>
          <t>CAOS2</t>
        </is>
      </c>
      <c r="H87" s="4" t="inlineStr">
        <is>
          <t>1676</t>
        </is>
      </c>
      <c r="I87" s="4" t="inlineStr">
        <is>
          <t>Medium</t>
        </is>
      </c>
      <c r="J87" s="5">
        <f>HYPERLINK("https://www.codechef.com/problems/CAOS2", "https://www.codechef.com/problems/CAOS2")</f>
        <v/>
      </c>
      <c r="K87" s="4" t="inlineStr"/>
      <c r="L87" s="4" t="inlineStr"/>
      <c r="M87" s="4" t="inlineStr"/>
      <c r="N87" s="4" t="inlineStr">
        <is>
          <t>No</t>
        </is>
      </c>
      <c r="O87" s="4" t="inlineStr">
        <is>
          <t>Unattempted</t>
        </is>
      </c>
    </row>
    <row r="88">
      <c r="A88" s="2" t="inlineStr">
        <is>
          <t>Algorithms</t>
        </is>
      </c>
      <c r="B88" s="2" t="inlineStr">
        <is>
          <t>Dynamic programming</t>
        </is>
      </c>
      <c r="C88" s="2" t="inlineStr">
        <is>
          <t xml:space="preserve">Practice these 21 problems on Dynamic Programming to understand the pattern of questions and the different ways in which you can implement the solution. Practice concepts like Iterative DP, Recursive DP, 1D and 2D DP, Digit DP etc. </t>
        </is>
      </c>
      <c r="D88" s="2" t="inlineStr">
        <is>
          <t>Basic dynamic programming - Pro Practice</t>
        </is>
      </c>
      <c r="E88" s="2" t="n">
        <v>28</v>
      </c>
      <c r="F88" s="2" t="inlineStr">
        <is>
          <t>Ninja Training</t>
        </is>
      </c>
      <c r="G88" s="2" t="inlineStr">
        <is>
          <t>NINJATRAIN</t>
        </is>
      </c>
      <c r="H88" s="2" t="inlineStr"/>
      <c r="I88" s="2" t="inlineStr">
        <is>
          <t>Medium</t>
        </is>
      </c>
      <c r="J88" s="3">
        <f>HYPERLINK("https://www.codechef.com/problems/NINJATRAIN", "https://www.codechef.com/problems/NINJATRAIN")</f>
        <v/>
      </c>
      <c r="K88" s="2" t="inlineStr"/>
      <c r="L88" s="2" t="inlineStr"/>
      <c r="M88" s="2" t="inlineStr"/>
      <c r="N88" s="2" t="inlineStr">
        <is>
          <t>No</t>
        </is>
      </c>
      <c r="O88" s="2" t="inlineStr">
        <is>
          <t>Unattempted</t>
        </is>
      </c>
    </row>
    <row r="89">
      <c r="A89" s="4" t="inlineStr">
        <is>
          <t>Algorithms</t>
        </is>
      </c>
      <c r="B89" s="4" t="inlineStr">
        <is>
          <t>Dynamic programming</t>
        </is>
      </c>
      <c r="C89" s="4" t="inlineStr">
        <is>
          <t xml:space="preserve">Practice these 21 problems on Dynamic Programming to understand the pattern of questions and the different ways in which you can implement the solution. Practice concepts like Iterative DP, Recursive DP, 1D and 2D DP, Digit DP etc. </t>
        </is>
      </c>
      <c r="D89" s="4" t="inlineStr">
        <is>
          <t>Basic dynamic programming - Pro Practice</t>
        </is>
      </c>
      <c r="E89" s="4" t="n">
        <v>29</v>
      </c>
      <c r="F89" s="4" t="inlineStr">
        <is>
          <t>Dish Distribution</t>
        </is>
      </c>
      <c r="G89" s="4" t="inlineStr">
        <is>
          <t>DISHDIS</t>
        </is>
      </c>
      <c r="H89" s="4" t="inlineStr">
        <is>
          <t>1596</t>
        </is>
      </c>
      <c r="I89" s="4" t="inlineStr">
        <is>
          <t>Medium</t>
        </is>
      </c>
      <c r="J89" s="5">
        <f>HYPERLINK("https://www.codechef.com/problems/DISHDIS", "https://www.codechef.com/problems/DISHDIS")</f>
        <v/>
      </c>
      <c r="K89" s="4" t="inlineStr"/>
      <c r="L89" s="4" t="inlineStr"/>
      <c r="M89" s="4" t="inlineStr"/>
      <c r="N89" s="4" t="inlineStr">
        <is>
          <t>No</t>
        </is>
      </c>
      <c r="O89" s="4" t="inlineStr">
        <is>
          <t>Unattempted</t>
        </is>
      </c>
    </row>
    <row r="90">
      <c r="A90" s="2" t="inlineStr">
        <is>
          <t>Algorithms</t>
        </is>
      </c>
      <c r="B90" s="2" t="inlineStr">
        <is>
          <t>Dynamic programming</t>
        </is>
      </c>
      <c r="C90" s="2" t="inlineStr">
        <is>
          <t xml:space="preserve">Practice these 21 problems on Dynamic Programming to understand the pattern of questions and the different ways in which you can implement the solution. Practice concepts like Iterative DP, Recursive DP, 1D and 2D DP, Digit DP etc. </t>
        </is>
      </c>
      <c r="D90" s="2" t="inlineStr">
        <is>
          <t>Basic dynamic programming - Pro Practice</t>
        </is>
      </c>
      <c r="E90" s="2" t="n">
        <v>30</v>
      </c>
      <c r="F90" s="2" t="inlineStr">
        <is>
          <t>Chef Counts Subsequences</t>
        </is>
      </c>
      <c r="G90" s="2" t="inlineStr">
        <is>
          <t>TNGUI01</t>
        </is>
      </c>
      <c r="H90" s="2" t="inlineStr"/>
      <c r="I90" s="2" t="inlineStr">
        <is>
          <t>Medium</t>
        </is>
      </c>
      <c r="J90" s="3">
        <f>HYPERLINK("https://www.codechef.com/problems/TNGUI01", "https://www.codechef.com/problems/TNGUI01")</f>
        <v/>
      </c>
      <c r="K90" s="2" t="inlineStr"/>
      <c r="L90" s="2" t="inlineStr"/>
      <c r="M90" s="2" t="inlineStr"/>
      <c r="N90" s="2" t="inlineStr">
        <is>
          <t>No</t>
        </is>
      </c>
      <c r="O90" s="2" t="inlineStr">
        <is>
          <t>Unattempted</t>
        </is>
      </c>
    </row>
    <row r="91">
      <c r="A91" s="4" t="inlineStr">
        <is>
          <t>Algorithms</t>
        </is>
      </c>
      <c r="B91" s="4" t="inlineStr">
        <is>
          <t>Dynamic programming</t>
        </is>
      </c>
      <c r="C91" s="4" t="inlineStr">
        <is>
          <t xml:space="preserve">Practice these 21 problems on Dynamic Programming to understand the pattern of questions and the different ways in which you can implement the solution. Practice concepts like Iterative DP, Recursive DP, 1D and 2D DP, Digit DP etc. </t>
        </is>
      </c>
      <c r="D91" s="4" t="inlineStr">
        <is>
          <t>Basic dynamic programming - Pro Practice</t>
        </is>
      </c>
      <c r="E91" s="4" t="n">
        <v>31</v>
      </c>
      <c r="F91" s="4" t="inlineStr">
        <is>
          <t>Count palindromes</t>
        </is>
      </c>
      <c r="G91" s="4" t="inlineStr">
        <is>
          <t>COUNTPAL</t>
        </is>
      </c>
      <c r="H91" s="4" t="inlineStr">
        <is>
          <t>1631</t>
        </is>
      </c>
      <c r="I91" s="4" t="inlineStr">
        <is>
          <t>Medium</t>
        </is>
      </c>
      <c r="J91" s="5">
        <f>HYPERLINK("https://www.codechef.com/problems/COUNTPAL", "https://www.codechef.com/problems/COUNTPAL")</f>
        <v/>
      </c>
      <c r="K91" s="4" t="inlineStr"/>
      <c r="L91" s="4" t="inlineStr"/>
      <c r="M91" s="4" t="inlineStr"/>
      <c r="N91" s="4" t="inlineStr">
        <is>
          <t>No</t>
        </is>
      </c>
      <c r="O91" s="4" t="inlineStr">
        <is>
          <t>Unattempted</t>
        </is>
      </c>
    </row>
    <row r="92">
      <c r="A92" s="2" t="inlineStr">
        <is>
          <t>Algorithms</t>
        </is>
      </c>
      <c r="B92" s="2" t="inlineStr">
        <is>
          <t>Dynamic programming</t>
        </is>
      </c>
      <c r="C92" s="2" t="inlineStr">
        <is>
          <t xml:space="preserve">Practice these 21 problems on Dynamic Programming to understand the pattern of questions and the different ways in which you can implement the solution. Practice concepts like Iterative DP, Recursive DP, 1D and 2D DP, Digit DP etc. </t>
        </is>
      </c>
      <c r="D92" s="2" t="inlineStr">
        <is>
          <t>Basic dynamic programming - Pro Practice</t>
        </is>
      </c>
      <c r="E92" s="2" t="n">
        <v>32</v>
      </c>
      <c r="F92" s="2" t="inlineStr">
        <is>
          <t>Chef Maximizes Stock Profit - 2</t>
        </is>
      </c>
      <c r="G92" s="2" t="inlineStr">
        <is>
          <t>NASTA01</t>
        </is>
      </c>
      <c r="H92" s="2" t="inlineStr"/>
      <c r="I92" s="2" t="inlineStr">
        <is>
          <t>Easy</t>
        </is>
      </c>
      <c r="J92" s="3">
        <f>HYPERLINK("https://www.codechef.com/problems/NASTA01", "https://www.codechef.com/problems/NASTA01")</f>
        <v/>
      </c>
      <c r="K92" s="2" t="inlineStr"/>
      <c r="L92" s="2" t="inlineStr"/>
      <c r="M92" s="2" t="inlineStr"/>
      <c r="N92" s="2" t="inlineStr">
        <is>
          <t>No</t>
        </is>
      </c>
      <c r="O92" s="2" t="inlineStr">
        <is>
          <t>Unattempted</t>
        </is>
      </c>
    </row>
    <row r="93">
      <c r="A93" s="4" t="inlineStr">
        <is>
          <t>Algorithms</t>
        </is>
      </c>
      <c r="B93" s="4" t="inlineStr">
        <is>
          <t>Dynamic programming</t>
        </is>
      </c>
      <c r="C93" s="4" t="inlineStr">
        <is>
          <t xml:space="preserve">Practice these 21 problems on Dynamic Programming to understand the pattern of questions and the different ways in which you can implement the solution. Practice concepts like Iterative DP, Recursive DP, 1D and 2D DP, Digit DP etc. </t>
        </is>
      </c>
      <c r="D93" s="4" t="inlineStr">
        <is>
          <t>Basic dynamic programming - Pro Practice</t>
        </is>
      </c>
      <c r="E93" s="4" t="n">
        <v>33</v>
      </c>
      <c r="F93" s="4" t="inlineStr">
        <is>
          <t>Barcelona Gameplay Tactics</t>
        </is>
      </c>
      <c r="G93" s="4" t="inlineStr">
        <is>
          <t>FCBARCA</t>
        </is>
      </c>
      <c r="H93" s="4" t="inlineStr">
        <is>
          <t>1658</t>
        </is>
      </c>
      <c r="I93" s="4" t="inlineStr">
        <is>
          <t>Medium</t>
        </is>
      </c>
      <c r="J93" s="5">
        <f>HYPERLINK("https://www.codechef.com/problems/FCBARCA", "https://www.codechef.com/problems/FCBARCA")</f>
        <v/>
      </c>
      <c r="K93" s="4" t="inlineStr"/>
      <c r="L93" s="4" t="inlineStr"/>
      <c r="M93" s="4" t="inlineStr"/>
      <c r="N93" s="4" t="inlineStr">
        <is>
          <t>No</t>
        </is>
      </c>
      <c r="O93" s="4" t="inlineStr">
        <is>
          <t>Unattempted</t>
        </is>
      </c>
    </row>
    <row r="94">
      <c r="A94" s="2" t="inlineStr">
        <is>
          <t>Algorithms</t>
        </is>
      </c>
      <c r="B94" s="2" t="inlineStr">
        <is>
          <t>Dynamic programming</t>
        </is>
      </c>
      <c r="C94" s="2" t="inlineStr">
        <is>
          <t xml:space="preserve">Practice these 21 problems on Dynamic Programming to understand the pattern of questions and the different ways in which you can implement the solution. Practice concepts like Iterative DP, Recursive DP, 1D and 2D DP, Digit DP etc. </t>
        </is>
      </c>
      <c r="D94" s="2" t="inlineStr">
        <is>
          <t>Basic dynamic programming - Pro Practice</t>
        </is>
      </c>
      <c r="E94" s="2" t="n">
        <v>34</v>
      </c>
      <c r="F94" s="2" t="inlineStr">
        <is>
          <t>Bamboo Art</t>
        </is>
      </c>
      <c r="G94" s="2" t="inlineStr">
        <is>
          <t>ZCO16002</t>
        </is>
      </c>
      <c r="H94" s="2" t="inlineStr"/>
      <c r="I94" s="2" t="inlineStr">
        <is>
          <t>Hard</t>
        </is>
      </c>
      <c r="J94" s="3">
        <f>HYPERLINK("https://www.codechef.com/problems/ZCO16002", "https://www.codechef.com/problems/ZCO16002")</f>
        <v/>
      </c>
      <c r="K94" s="2" t="inlineStr"/>
      <c r="L94" s="2" t="inlineStr"/>
      <c r="M94" s="2" t="inlineStr"/>
      <c r="N94" s="2" t="inlineStr">
        <is>
          <t>No</t>
        </is>
      </c>
      <c r="O94" s="2" t="inlineStr">
        <is>
          <t>Unattempted</t>
        </is>
      </c>
    </row>
    <row r="95">
      <c r="A95" s="4" t="inlineStr">
        <is>
          <t>Algorithms</t>
        </is>
      </c>
      <c r="B95" s="4" t="inlineStr">
        <is>
          <t>Dynamic programming</t>
        </is>
      </c>
      <c r="C95" s="4" t="inlineStr">
        <is>
          <t xml:space="preserve">Practice these 21 problems on Dynamic Programming to understand the pattern of questions and the different ways in which you can implement the solution. Practice concepts like Iterative DP, Recursive DP, 1D and 2D DP, Digit DP etc. </t>
        </is>
      </c>
      <c r="D95" s="4" t="inlineStr">
        <is>
          <t>Basic dynamic programming - Pro Practice</t>
        </is>
      </c>
      <c r="E95" s="4" t="n">
        <v>35</v>
      </c>
      <c r="F95" s="4" t="inlineStr">
        <is>
          <t>Calvins Game</t>
        </is>
      </c>
      <c r="G95" s="4" t="inlineStr">
        <is>
          <t>INOI1301</t>
        </is>
      </c>
      <c r="H95" s="4" t="inlineStr"/>
      <c r="I95" s="4" t="inlineStr">
        <is>
          <t>Hard</t>
        </is>
      </c>
      <c r="J95" s="5">
        <f>HYPERLINK("https://www.codechef.com/problems/INOI1301", "https://www.codechef.com/problems/INOI1301")</f>
        <v/>
      </c>
      <c r="K95" s="4" t="inlineStr"/>
      <c r="L95" s="4" t="inlineStr"/>
      <c r="M95" s="4" t="inlineStr"/>
      <c r="N95" s="4" t="inlineStr">
        <is>
          <t>No</t>
        </is>
      </c>
      <c r="O95" s="4" t="inlineStr">
        <is>
          <t>Unattempted</t>
        </is>
      </c>
    </row>
    <row r="96">
      <c r="A96" s="2" t="inlineStr">
        <is>
          <t>Algorithms</t>
        </is>
      </c>
      <c r="B96" s="2" t="inlineStr">
        <is>
          <t>Dynamic programming</t>
        </is>
      </c>
      <c r="C96" s="2" t="inlineStr">
        <is>
          <t xml:space="preserve">Practice these 21 problems on Dynamic Programming to understand the pattern of questions and the different ways in which you can implement the solution. Practice concepts like Iterative DP, Recursive DP, 1D and 2D DP, Digit DP etc. </t>
        </is>
      </c>
      <c r="D96" s="2" t="inlineStr">
        <is>
          <t>Basic dynamic programming - Pro Practice</t>
        </is>
      </c>
      <c r="E96" s="2" t="n">
        <v>36</v>
      </c>
      <c r="F96" s="2" t="inlineStr">
        <is>
          <t>Longest Increasing Subsequence</t>
        </is>
      </c>
      <c r="G96" s="2" t="inlineStr">
        <is>
          <t>PEC005</t>
        </is>
      </c>
      <c r="H96" s="2" t="inlineStr"/>
      <c r="I96" s="2" t="inlineStr">
        <is>
          <t>Hard</t>
        </is>
      </c>
      <c r="J96" s="3">
        <f>HYPERLINK("https://www.codechef.com/problems/PEC005", "https://www.codechef.com/problems/PEC005")</f>
        <v/>
      </c>
      <c r="K96" s="2" t="inlineStr"/>
      <c r="L96" s="2" t="inlineStr"/>
      <c r="M96" s="2" t="inlineStr"/>
      <c r="N96" s="2" t="inlineStr">
        <is>
          <t>No</t>
        </is>
      </c>
      <c r="O96" s="2" t="inlineStr">
        <is>
          <t>Unattempted</t>
        </is>
      </c>
    </row>
    <row r="97">
      <c r="A97" s="4" t="inlineStr">
        <is>
          <t>Algorithms</t>
        </is>
      </c>
      <c r="B97" s="4" t="inlineStr">
        <is>
          <t>Dynamic programming</t>
        </is>
      </c>
      <c r="C97" s="4" t="inlineStr">
        <is>
          <t xml:space="preserve">Practice these 21 problems on Dynamic Programming to understand the pattern of questions and the different ways in which you can implement the solution. Practice concepts like Iterative DP, Recursive DP, 1D and 2D DP, Digit DP etc. </t>
        </is>
      </c>
      <c r="D97" s="4" t="inlineStr">
        <is>
          <t>Basic dynamic programming - Pro Practice</t>
        </is>
      </c>
      <c r="E97" s="4" t="n">
        <v>37</v>
      </c>
      <c r="F97" s="4" t="inlineStr">
        <is>
          <t>Easy Tiling</t>
        </is>
      </c>
      <c r="G97" s="4" t="inlineStr">
        <is>
          <t>TILE</t>
        </is>
      </c>
      <c r="H97" s="4" t="inlineStr"/>
      <c r="I97" s="4" t="inlineStr">
        <is>
          <t>Hard</t>
        </is>
      </c>
      <c r="J97" s="5">
        <f>HYPERLINK("https://www.codechef.com/problems/TILE", "https://www.codechef.com/problems/TILE")</f>
        <v/>
      </c>
      <c r="K97" s="4" t="inlineStr"/>
      <c r="L97" s="4" t="inlineStr"/>
      <c r="M97" s="4" t="inlineStr"/>
      <c r="N97" s="4" t="inlineStr">
        <is>
          <t>No</t>
        </is>
      </c>
      <c r="O97" s="4" t="inlineStr">
        <is>
          <t>Unattempted</t>
        </is>
      </c>
    </row>
    <row r="98">
      <c r="A98" s="2" t="inlineStr">
        <is>
          <t>Algorithms</t>
        </is>
      </c>
      <c r="B98" s="2" t="inlineStr">
        <is>
          <t>Dynamic programming</t>
        </is>
      </c>
      <c r="C98" s="2" t="inlineStr">
        <is>
          <t xml:space="preserve">Practice these 21 problems on Dynamic Programming to understand the pattern of questions and the different ways in which you can implement the solution. Practice concepts like Iterative DP, Recursive DP, 1D and 2D DP, Digit DP etc. </t>
        </is>
      </c>
      <c r="D98" s="2" t="inlineStr">
        <is>
          <t>Basic dynamic programming - Pro Practice</t>
        </is>
      </c>
      <c r="E98" s="2" t="n">
        <v>38</v>
      </c>
      <c r="F98" s="2" t="inlineStr">
        <is>
          <t>Little Red Riding Hood</t>
        </is>
      </c>
      <c r="G98" s="2" t="inlineStr">
        <is>
          <t>ZCO13002</t>
        </is>
      </c>
      <c r="H98" s="2" t="inlineStr"/>
      <c r="I98" s="2" t="inlineStr">
        <is>
          <t>Hard</t>
        </is>
      </c>
      <c r="J98" s="3">
        <f>HYPERLINK("https://www.codechef.com/problems/ZCO13002", "https://www.codechef.com/problems/ZCO13002")</f>
        <v/>
      </c>
      <c r="K98" s="2" t="inlineStr"/>
      <c r="L98" s="2" t="inlineStr"/>
      <c r="M98" s="2" t="inlineStr"/>
      <c r="N98" s="2" t="inlineStr">
        <is>
          <t>No</t>
        </is>
      </c>
      <c r="O98" s="2" t="inlineStr">
        <is>
          <t>Unattempted</t>
        </is>
      </c>
    </row>
    <row r="99">
      <c r="A99" s="4" t="inlineStr">
        <is>
          <t>Algorithms</t>
        </is>
      </c>
      <c r="B99" s="4" t="inlineStr">
        <is>
          <t>Dynamic programming</t>
        </is>
      </c>
      <c r="C99" s="4" t="inlineStr">
        <is>
          <t xml:space="preserve">Practice these 21 problems on Dynamic Programming to understand the pattern of questions and the different ways in which you can implement the solution. Practice concepts like Iterative DP, Recursive DP, 1D and 2D DP, Digit DP etc. </t>
        </is>
      </c>
      <c r="D99" s="4" t="inlineStr">
        <is>
          <t>Basic dynamic programming - Pro Practice</t>
        </is>
      </c>
      <c r="E99" s="4" t="n">
        <v>39</v>
      </c>
      <c r="F99" s="4" t="inlineStr">
        <is>
          <t>Chef Calculates Edit Distance</t>
        </is>
      </c>
      <c r="G99" s="4" t="inlineStr">
        <is>
          <t>VUUDN01</t>
        </is>
      </c>
      <c r="H99" s="4" t="inlineStr"/>
      <c r="I99" s="4" t="inlineStr">
        <is>
          <t>Hard</t>
        </is>
      </c>
      <c r="J99" s="5">
        <f>HYPERLINK("https://www.codechef.com/problems/VUUDN01", "https://www.codechef.com/problems/VUUDN01")</f>
        <v/>
      </c>
      <c r="K99" s="4" t="inlineStr"/>
      <c r="L99" s="4" t="inlineStr"/>
      <c r="M99" s="4" t="inlineStr"/>
      <c r="N99" s="4" t="inlineStr">
        <is>
          <t>No</t>
        </is>
      </c>
      <c r="O99" s="4" t="inlineStr">
        <is>
          <t>Unattempted</t>
        </is>
      </c>
    </row>
    <row r="100">
      <c r="A100" s="2" t="inlineStr">
        <is>
          <t>Algorithms</t>
        </is>
      </c>
      <c r="B100" s="2" t="inlineStr">
        <is>
          <t>Dynamic programming</t>
        </is>
      </c>
      <c r="C100" s="2" t="inlineStr">
        <is>
          <t xml:space="preserve">Practice these 21 problems on Dynamic Programming to understand the pattern of questions and the different ways in which you can implement the solution. Practice concepts like Iterative DP, Recursive DP, 1D and 2D DP, Digit DP etc. </t>
        </is>
      </c>
      <c r="D100" s="2" t="inlineStr">
        <is>
          <t>Basic dynamic programming - Pro Practice</t>
        </is>
      </c>
      <c r="E100" s="2" t="n">
        <v>40</v>
      </c>
      <c r="F100" s="2" t="inlineStr">
        <is>
          <t>Chef Validates Wildcard</t>
        </is>
      </c>
      <c r="G100" s="2" t="inlineStr">
        <is>
          <t>ZGXXI01</t>
        </is>
      </c>
      <c r="H100" s="2" t="inlineStr"/>
      <c r="I100" s="2" t="inlineStr">
        <is>
          <t>Hard</t>
        </is>
      </c>
      <c r="J100" s="3">
        <f>HYPERLINK("https://www.codechef.com/problems/ZGXXI01", "https://www.codechef.com/problems/ZGXXI01")</f>
        <v/>
      </c>
      <c r="K100" s="2" t="inlineStr"/>
      <c r="L100" s="2" t="inlineStr"/>
      <c r="M100" s="2" t="inlineStr"/>
      <c r="N100" s="2" t="inlineStr">
        <is>
          <t>No</t>
        </is>
      </c>
      <c r="O100" s="2" t="inlineStr">
        <is>
          <t>Unattempted</t>
        </is>
      </c>
    </row>
    <row r="101">
      <c r="A101" s="4" t="inlineStr">
        <is>
          <t>Algorithms</t>
        </is>
      </c>
      <c r="B101" s="4" t="inlineStr">
        <is>
          <t>Dynamic programming</t>
        </is>
      </c>
      <c r="C101" s="4" t="inlineStr">
        <is>
          <t xml:space="preserve">Practice these 21 problems on Dynamic Programming to understand the pattern of questions and the different ways in which you can implement the solution. Practice concepts like Iterative DP, Recursive DP, 1D and 2D DP, Digit DP etc. </t>
        </is>
      </c>
      <c r="D101" s="4" t="inlineStr">
        <is>
          <t>Basic dynamic programming - Pro Practice</t>
        </is>
      </c>
      <c r="E101" s="4" t="n">
        <v>41</v>
      </c>
      <c r="F101" s="4" t="inlineStr">
        <is>
          <t>Chef Counts Increasing Subsequences</t>
        </is>
      </c>
      <c r="G101" s="4" t="inlineStr">
        <is>
          <t>URERF01</t>
        </is>
      </c>
      <c r="H101" s="4" t="inlineStr"/>
      <c r="I101" s="4" t="inlineStr">
        <is>
          <t>Hard</t>
        </is>
      </c>
      <c r="J101" s="5">
        <f>HYPERLINK("https://www.codechef.com/problems/URERF01", "https://www.codechef.com/problems/URERF01")</f>
        <v/>
      </c>
      <c r="K101" s="4" t="inlineStr"/>
      <c r="L101" s="4" t="inlineStr"/>
      <c r="M101" s="4" t="inlineStr"/>
      <c r="N101" s="4" t="inlineStr">
        <is>
          <t>No</t>
        </is>
      </c>
      <c r="O101" s="4" t="inlineStr">
        <is>
          <t>Unattempted</t>
        </is>
      </c>
    </row>
    <row r="102">
      <c r="A102" s="2" t="inlineStr">
        <is>
          <t>Algorithms</t>
        </is>
      </c>
      <c r="B102" s="2" t="inlineStr">
        <is>
          <t>Dynamic programming</t>
        </is>
      </c>
      <c r="C102" s="2" t="inlineStr">
        <is>
          <t xml:space="preserve">Practice these 21 problems on Dynamic Programming to understand the pattern of questions and the different ways in which you can implement the solution. Practice concepts like Iterative DP, Recursive DP, 1D and 2D DP, Digit DP etc. </t>
        </is>
      </c>
      <c r="D102" s="2" t="inlineStr">
        <is>
          <t>Basic dynamic programming - Pro Practice</t>
        </is>
      </c>
      <c r="E102" s="2" t="n">
        <v>42</v>
      </c>
      <c r="F102" s="2" t="inlineStr">
        <is>
          <t>Chef Finds Divisible Subset</t>
        </is>
      </c>
      <c r="G102" s="2" t="inlineStr">
        <is>
          <t>UAAIW01</t>
        </is>
      </c>
      <c r="H102" s="2" t="inlineStr"/>
      <c r="I102" s="2" t="inlineStr">
        <is>
          <t>Hard</t>
        </is>
      </c>
      <c r="J102" s="3">
        <f>HYPERLINK("https://www.codechef.com/problems/UAAIW01", "https://www.codechef.com/problems/UAAIW01")</f>
        <v/>
      </c>
      <c r="K102" s="2" t="inlineStr"/>
      <c r="L102" s="2" t="inlineStr"/>
      <c r="M102" s="2" t="inlineStr"/>
      <c r="N102" s="2" t="inlineStr">
        <is>
          <t>No</t>
        </is>
      </c>
      <c r="O102" s="2" t="inlineStr">
        <is>
          <t>Unattempted</t>
        </is>
      </c>
    </row>
    <row r="103">
      <c r="A103" s="4" t="inlineStr">
        <is>
          <t>Algorithms</t>
        </is>
      </c>
      <c r="B103" s="4" t="inlineStr">
        <is>
          <t>Dynamic programming</t>
        </is>
      </c>
      <c r="C103" s="4" t="inlineStr">
        <is>
          <t xml:space="preserve">Practice these 21 problems on Dynamic Programming to understand the pattern of questions and the different ways in which you can implement the solution. Practice concepts like Iterative DP, Recursive DP, 1D and 2D DP, Digit DP etc. </t>
        </is>
      </c>
      <c r="D103" s="4" t="inlineStr">
        <is>
          <t>Basic dynamic programming - Pro Practice</t>
        </is>
      </c>
      <c r="E103" s="4" t="n">
        <v>43</v>
      </c>
      <c r="F103" s="4" t="inlineStr">
        <is>
          <t>Chef Builds String Chain</t>
        </is>
      </c>
      <c r="G103" s="4" t="inlineStr">
        <is>
          <t>ZGXNF01</t>
        </is>
      </c>
      <c r="H103" s="4" t="inlineStr"/>
      <c r="I103" s="4" t="inlineStr">
        <is>
          <t>Hard</t>
        </is>
      </c>
      <c r="J103" s="5">
        <f>HYPERLINK("https://www.codechef.com/problems/ZGXNF01", "https://www.codechef.com/problems/ZGXNF01")</f>
        <v/>
      </c>
      <c r="K103" s="4" t="inlineStr"/>
      <c r="L103" s="4" t="inlineStr"/>
      <c r="M103" s="4" t="inlineStr"/>
      <c r="N103" s="4" t="inlineStr">
        <is>
          <t>No</t>
        </is>
      </c>
      <c r="O103" s="4" t="inlineStr">
        <is>
          <t>Unattempted</t>
        </is>
      </c>
    </row>
    <row r="104">
      <c r="A104" s="2" t="inlineStr">
        <is>
          <t>Algorithms</t>
        </is>
      </c>
      <c r="B104" s="2" t="inlineStr">
        <is>
          <t>Dynamic programming</t>
        </is>
      </c>
      <c r="C104" s="2" t="inlineStr">
        <is>
          <t xml:space="preserve">Practice these 21 problems on Dynamic Programming to understand the pattern of questions and the different ways in which you can implement the solution. Practice concepts like Iterative DP, Recursive DP, 1D and 2D DP, Digit DP etc. </t>
        </is>
      </c>
      <c r="D104" s="2" t="inlineStr">
        <is>
          <t>Basic dynamic programming - Pro Practice</t>
        </is>
      </c>
      <c r="E104" s="2" t="n">
        <v>44</v>
      </c>
      <c r="F104" s="2" t="inlineStr">
        <is>
          <t>Chef Finds Stock Profit - 3</t>
        </is>
      </c>
      <c r="G104" s="2" t="inlineStr">
        <is>
          <t>NZRYT01</t>
        </is>
      </c>
      <c r="H104" s="2" t="inlineStr"/>
      <c r="I104" s="2" t="inlineStr">
        <is>
          <t>Hard</t>
        </is>
      </c>
      <c r="J104" s="3">
        <f>HYPERLINK("https://www.codechef.com/problems/NZRYT01", "https://www.codechef.com/problems/NZRYT01")</f>
        <v/>
      </c>
      <c r="K104" s="2" t="inlineStr"/>
      <c r="L104" s="2" t="inlineStr"/>
      <c r="M104" s="2" t="inlineStr"/>
      <c r="N104" s="2" t="inlineStr">
        <is>
          <t>No</t>
        </is>
      </c>
      <c r="O104" s="2" t="inlineStr">
        <is>
          <t>Unattempted</t>
        </is>
      </c>
    </row>
    <row r="105">
      <c r="A105" s="4" t="inlineStr">
        <is>
          <t>Algorithms</t>
        </is>
      </c>
      <c r="B105" s="4" t="inlineStr">
        <is>
          <t>Dynamic programming</t>
        </is>
      </c>
      <c r="C105" s="4" t="inlineStr">
        <is>
          <t xml:space="preserve">Practice these 21 problems on Dynamic Programming to understand the pattern of questions and the different ways in which you can implement the solution. Practice concepts like Iterative DP, Recursive DP, 1D and 2D DP, Digit DP etc. </t>
        </is>
      </c>
      <c r="D105" s="4" t="inlineStr">
        <is>
          <t>Basic dynamic programming - Pro Practice</t>
        </is>
      </c>
      <c r="E105" s="4" t="n">
        <v>45</v>
      </c>
      <c r="F105" s="4" t="inlineStr">
        <is>
          <t>Chef Maximizes Stock Profit - 4</t>
        </is>
      </c>
      <c r="G105" s="4" t="inlineStr">
        <is>
          <t>YHPHV01</t>
        </is>
      </c>
      <c r="H105" s="4" t="inlineStr"/>
      <c r="I105" s="4" t="inlineStr">
        <is>
          <t>Hard</t>
        </is>
      </c>
      <c r="J105" s="5">
        <f>HYPERLINK("https://www.codechef.com/problems/YHPHV01", "https://www.codechef.com/problems/YHPHV01")</f>
        <v/>
      </c>
      <c r="K105" s="4" t="inlineStr"/>
      <c r="L105" s="4" t="inlineStr"/>
      <c r="M105" s="4" t="inlineStr"/>
      <c r="N105" s="4" t="inlineStr">
        <is>
          <t>No</t>
        </is>
      </c>
      <c r="O105" s="4" t="inlineStr">
        <is>
          <t>Unattempted</t>
        </is>
      </c>
    </row>
    <row r="106">
      <c r="A106" s="2" t="inlineStr">
        <is>
          <t>Algorithms</t>
        </is>
      </c>
      <c r="B106" s="2" t="inlineStr">
        <is>
          <t>Dynamic programming</t>
        </is>
      </c>
      <c r="C106" s="2" t="inlineStr">
        <is>
          <t xml:space="preserve">Practice these 21 problems on Dynamic Programming to understand the pattern of questions and the different ways in which you can implement the solution. Practice concepts like Iterative DP, Recursive DP, 1D and 2D DP, Digit DP etc. </t>
        </is>
      </c>
      <c r="D106" s="2" t="inlineStr">
        <is>
          <t>Basic dynamic programming - Pro Practice</t>
        </is>
      </c>
      <c r="E106" s="2" t="n">
        <v>46</v>
      </c>
      <c r="F106" s="2" t="inlineStr">
        <is>
          <t>Chef Calculates Stock Profit - 5</t>
        </is>
      </c>
      <c r="G106" s="2" t="inlineStr">
        <is>
          <t>MLONT01</t>
        </is>
      </c>
      <c r="H106" s="2" t="inlineStr"/>
      <c r="I106" s="2" t="inlineStr">
        <is>
          <t>Hard</t>
        </is>
      </c>
      <c r="J106" s="3">
        <f>HYPERLINK("https://www.codechef.com/problems/MLONT01", "https://www.codechef.com/problems/MLONT01")</f>
        <v/>
      </c>
      <c r="K106" s="2" t="inlineStr"/>
      <c r="L106" s="2" t="inlineStr"/>
      <c r="M106" s="2" t="inlineStr"/>
      <c r="N106" s="2" t="inlineStr">
        <is>
          <t>No</t>
        </is>
      </c>
      <c r="O106" s="2" t="inlineStr">
        <is>
          <t>Unattempted</t>
        </is>
      </c>
    </row>
    <row r="107">
      <c r="A107" s="4" t="inlineStr">
        <is>
          <t>Algorithms</t>
        </is>
      </c>
      <c r="B107" s="4" t="inlineStr">
        <is>
          <t>Dynamic programming</t>
        </is>
      </c>
      <c r="C107" s="4" t="inlineStr">
        <is>
          <t xml:space="preserve">Practice these 21 problems on Dynamic Programming to understand the pattern of questions and the different ways in which you can implement the solution. Practice concepts like Iterative DP, Recursive DP, 1D and 2D DP, Digit DP etc. </t>
        </is>
      </c>
      <c r="D107" s="4" t="inlineStr">
        <is>
          <t>Basic dynamic programming - Pro Practice</t>
        </is>
      </c>
      <c r="E107" s="4" t="n">
        <v>47</v>
      </c>
      <c r="F107" s="4" t="inlineStr">
        <is>
          <t>Chef Calculates Stock Profit - 6</t>
        </is>
      </c>
      <c r="G107" s="4" t="inlineStr">
        <is>
          <t>JKPLU01</t>
        </is>
      </c>
      <c r="H107" s="4" t="inlineStr"/>
      <c r="I107" s="4" t="inlineStr">
        <is>
          <t>Hard</t>
        </is>
      </c>
      <c r="J107" s="5">
        <f>HYPERLINK("https://www.codechef.com/problems/JKPLU01", "https://www.codechef.com/problems/JKPLU01")</f>
        <v/>
      </c>
      <c r="K107" s="4" t="inlineStr"/>
      <c r="L107" s="4" t="inlineStr"/>
      <c r="M107" s="4" t="inlineStr"/>
      <c r="N107" s="4" t="inlineStr">
        <is>
          <t>No</t>
        </is>
      </c>
      <c r="O107" s="4" t="inlineStr">
        <is>
          <t>Unattempted</t>
        </is>
      </c>
    </row>
    <row r="108">
      <c r="A108" s="2" t="inlineStr">
        <is>
          <t>Algorithms</t>
        </is>
      </c>
      <c r="B108" s="2" t="inlineStr">
        <is>
          <t>Dynamic programming</t>
        </is>
      </c>
      <c r="C108" s="2" t="inlineStr">
        <is>
          <t xml:space="preserve">Practice these 21 problems on Dynamic Programming to understand the pattern of questions and the different ways in which you can implement the solution. Practice concepts like Iterative DP, Recursive DP, 1D and 2D DP, Digit DP etc. </t>
        </is>
      </c>
      <c r="D108" s="2" t="inlineStr">
        <is>
          <t>Basic dynamic programming - Pro Practice</t>
        </is>
      </c>
      <c r="E108" s="2" t="n">
        <v>48</v>
      </c>
      <c r="F108" s="2" t="inlineStr">
        <is>
          <t>Chef Finds Common Subsequence</t>
        </is>
      </c>
      <c r="G108" s="2" t="inlineStr">
        <is>
          <t>OIWPE01</t>
        </is>
      </c>
      <c r="H108" s="2" t="inlineStr"/>
      <c r="I108" s="2" t="inlineStr">
        <is>
          <t>Medium</t>
        </is>
      </c>
      <c r="J108" s="3">
        <f>HYPERLINK("https://www.codechef.com/problems/OIWPE01", "https://www.codechef.com/problems/OIWPE01")</f>
        <v/>
      </c>
      <c r="K108" s="2" t="inlineStr"/>
      <c r="L108" s="2" t="inlineStr"/>
      <c r="M108" s="2" t="inlineStr"/>
      <c r="N108" s="2" t="inlineStr">
        <is>
          <t>No</t>
        </is>
      </c>
      <c r="O108" s="2" t="inlineStr">
        <is>
          <t>Unattempted</t>
        </is>
      </c>
    </row>
    <row r="109">
      <c r="A109" s="4" t="inlineStr">
        <is>
          <t>Algorithms</t>
        </is>
      </c>
      <c r="B109" s="4" t="inlineStr">
        <is>
          <t>Dynamic programming</t>
        </is>
      </c>
      <c r="C109" s="4" t="inlineStr">
        <is>
          <t xml:space="preserve">Practice these 21 problems on Dynamic Programming to understand the pattern of questions and the different ways in which you can implement the solution. Practice concepts like Iterative DP, Recursive DP, 1D and 2D DP, Digit DP etc. </t>
        </is>
      </c>
      <c r="D109" s="4" t="inlineStr">
        <is>
          <t>Basic dynamic programming - Pro Practice</t>
        </is>
      </c>
      <c r="E109" s="4" t="n">
        <v>49</v>
      </c>
      <c r="F109" s="4" t="inlineStr">
        <is>
          <t>Chef Finds Palindromic Subsequence</t>
        </is>
      </c>
      <c r="G109" s="4" t="inlineStr">
        <is>
          <t>RXYOO01</t>
        </is>
      </c>
      <c r="H109" s="4" t="inlineStr"/>
      <c r="I109" s="4" t="inlineStr">
        <is>
          <t>Hard</t>
        </is>
      </c>
      <c r="J109" s="5">
        <f>HYPERLINK("https://www.codechef.com/problems/RXYOO01", "https://www.codechef.com/problems/RXYOO01")</f>
        <v/>
      </c>
      <c r="K109" s="4" t="inlineStr"/>
      <c r="L109" s="4" t="inlineStr"/>
      <c r="M109" s="4" t="inlineStr"/>
      <c r="N109" s="4" t="inlineStr">
        <is>
          <t>No</t>
        </is>
      </c>
      <c r="O109" s="4" t="inlineStr">
        <is>
          <t>Unattempted</t>
        </is>
      </c>
    </row>
    <row r="110">
      <c r="A110" s="2" t="inlineStr">
        <is>
          <t>Algorithms</t>
        </is>
      </c>
      <c r="B110" s="2" t="inlineStr">
        <is>
          <t>Dynamic programming</t>
        </is>
      </c>
      <c r="C110" s="2" t="inlineStr">
        <is>
          <t xml:space="preserve">Practice these 21 problems on Dynamic Programming to understand the pattern of questions and the different ways in which you can implement the solution. Practice concepts like Iterative DP, Recursive DP, 1D and 2D DP, Digit DP etc. </t>
        </is>
      </c>
      <c r="D110" s="2" t="inlineStr">
        <is>
          <t>Basic dynamic programming - Pro Practice</t>
        </is>
      </c>
      <c r="E110" s="2" t="n">
        <v>50</v>
      </c>
      <c r="F110" s="2" t="inlineStr">
        <is>
          <t>Chef Calculates Palindrome Insertions</t>
        </is>
      </c>
      <c r="G110" s="2" t="inlineStr">
        <is>
          <t>NGEXK01</t>
        </is>
      </c>
      <c r="H110" s="2" t="inlineStr"/>
      <c r="I110" s="2" t="inlineStr">
        <is>
          <t>Hard</t>
        </is>
      </c>
      <c r="J110" s="3">
        <f>HYPERLINK("https://www.codechef.com/problems/NGEXK01", "https://www.codechef.com/problems/NGEXK01")</f>
        <v/>
      </c>
      <c r="K110" s="2" t="inlineStr"/>
      <c r="L110" s="2" t="inlineStr"/>
      <c r="M110" s="2" t="inlineStr"/>
      <c r="N110" s="2" t="inlineStr">
        <is>
          <t>No</t>
        </is>
      </c>
      <c r="O110" s="2" t="inlineStr">
        <is>
          <t>Unattempted</t>
        </is>
      </c>
    </row>
    <row r="111">
      <c r="A111" s="4" t="inlineStr">
        <is>
          <t>Algorithms</t>
        </is>
      </c>
      <c r="B111" s="4" t="inlineStr">
        <is>
          <t>Dynamic programming</t>
        </is>
      </c>
      <c r="C111" s="4" t="inlineStr">
        <is>
          <t xml:space="preserve">Practice these 21 problems on Dynamic Programming to understand the pattern of questions and the different ways in which you can implement the solution. Practice concepts like Iterative DP, Recursive DP, 1D and 2D DP, Digit DP etc. </t>
        </is>
      </c>
      <c r="D111" s="4" t="inlineStr">
        <is>
          <t>Basic dynamic programming - Pro Practice</t>
        </is>
      </c>
      <c r="E111" s="4" t="n">
        <v>51</v>
      </c>
      <c r="F111" s="4" t="inlineStr">
        <is>
          <t>Chef and His Two Friends</t>
        </is>
      </c>
      <c r="G111" s="4" t="inlineStr">
        <is>
          <t>CHEFANDTWOFR</t>
        </is>
      </c>
      <c r="H111" s="4" t="inlineStr"/>
      <c r="I111" s="4" t="inlineStr">
        <is>
          <t>Hard</t>
        </is>
      </c>
      <c r="J111" s="5">
        <f>HYPERLINK("https://www.codechef.com/problems/CHEFANDTWOFR", "https://www.codechef.com/problems/CHEFANDTWOFR")</f>
        <v/>
      </c>
      <c r="K111" s="4" t="inlineStr"/>
      <c r="L111" s="4" t="inlineStr"/>
      <c r="M111" s="4" t="inlineStr"/>
      <c r="N111" s="4" t="inlineStr">
        <is>
          <t>No</t>
        </is>
      </c>
      <c r="O111" s="4" t="inlineStr">
        <is>
          <t>Unattempted</t>
        </is>
      </c>
    </row>
    <row r="112">
      <c r="A112" s="2" t="inlineStr">
        <is>
          <t>Algorithms</t>
        </is>
      </c>
      <c r="B112" s="2" t="inlineStr">
        <is>
          <t>Number theory</t>
        </is>
      </c>
      <c r="C112" s="2" t="inlineStr">
        <is>
          <t xml:space="preserve">Practice problems on number theory concepts like Euclid’s algorithm for GCD, LCM, prime factorization etc
</t>
        </is>
      </c>
      <c r="D112" s="2" t="inlineStr">
        <is>
          <t>Basic number theory - Practice</t>
        </is>
      </c>
      <c r="E112" s="2" t="n">
        <v>1</v>
      </c>
      <c r="F112" s="2" t="inlineStr">
        <is>
          <t>Budget of Technex</t>
        </is>
      </c>
      <c r="G112" s="2" t="inlineStr">
        <is>
          <t>BUDTECH</t>
        </is>
      </c>
      <c r="H112" s="2" t="inlineStr">
        <is>
          <t>449</t>
        </is>
      </c>
      <c r="I112" s="2" t="inlineStr">
        <is>
          <t>Easy</t>
        </is>
      </c>
      <c r="J112" s="3">
        <f>HYPERLINK("https://www.codechef.com/problems/BUDTECH", "https://www.codechef.com/problems/BUDTECH")</f>
        <v/>
      </c>
      <c r="K112" s="2" t="inlineStr"/>
      <c r="L112" s="2" t="inlineStr"/>
      <c r="M112" s="2" t="inlineStr"/>
      <c r="N112" s="2" t="inlineStr">
        <is>
          <t>No</t>
        </is>
      </c>
      <c r="O112" s="2" t="inlineStr">
        <is>
          <t>Unattempted</t>
        </is>
      </c>
    </row>
    <row r="113">
      <c r="A113" s="4" t="inlineStr">
        <is>
          <t>Algorithms</t>
        </is>
      </c>
      <c r="B113" s="4" t="inlineStr">
        <is>
          <t>Number theory</t>
        </is>
      </c>
      <c r="C113" s="4" t="inlineStr">
        <is>
          <t xml:space="preserve">Practice problems on number theory concepts like Euclid’s algorithm for GCD, LCM, prime factorization etc
</t>
        </is>
      </c>
      <c r="D113" s="4" t="inlineStr">
        <is>
          <t>Basic number theory - Practice</t>
        </is>
      </c>
      <c r="E113" s="4" t="n">
        <v>2</v>
      </c>
      <c r="F113" s="4" t="inlineStr">
        <is>
          <t>Ranklist Pages</t>
        </is>
      </c>
      <c r="G113" s="4" t="inlineStr">
        <is>
          <t>RANKLISTPAGE</t>
        </is>
      </c>
      <c r="H113" s="4" t="inlineStr">
        <is>
          <t>590</t>
        </is>
      </c>
      <c r="I113" s="4" t="inlineStr">
        <is>
          <t>Easy</t>
        </is>
      </c>
      <c r="J113" s="5">
        <f>HYPERLINK("https://www.codechef.com/problems/RANKLISTPAGE", "https://www.codechef.com/problems/RANKLISTPAGE")</f>
        <v/>
      </c>
      <c r="K113" s="4" t="inlineStr"/>
      <c r="L113" s="4" t="inlineStr"/>
      <c r="M113" s="4" t="inlineStr"/>
      <c r="N113" s="4" t="inlineStr">
        <is>
          <t>No</t>
        </is>
      </c>
      <c r="O113" s="4" t="inlineStr">
        <is>
          <t>Unattempted</t>
        </is>
      </c>
    </row>
    <row r="114">
      <c r="A114" s="2" t="inlineStr">
        <is>
          <t>Algorithms</t>
        </is>
      </c>
      <c r="B114" s="2" t="inlineStr">
        <is>
          <t>Number theory</t>
        </is>
      </c>
      <c r="C114" s="2" t="inlineStr">
        <is>
          <t xml:space="preserve">Practice problems on number theory concepts like Euclid’s algorithm for GCD, LCM, prime factorization etc
</t>
        </is>
      </c>
      <c r="D114" s="2" t="inlineStr">
        <is>
          <t>Basic number theory - Practice</t>
        </is>
      </c>
      <c r="E114" s="2" t="n">
        <v>3</v>
      </c>
      <c r="F114" s="2" t="inlineStr">
        <is>
          <t>Better Deal</t>
        </is>
      </c>
      <c r="G114" s="2" t="inlineStr">
        <is>
          <t>BETDEAL</t>
        </is>
      </c>
      <c r="H114" s="2" t="inlineStr">
        <is>
          <t>584</t>
        </is>
      </c>
      <c r="I114" s="2" t="inlineStr">
        <is>
          <t>Easy</t>
        </is>
      </c>
      <c r="J114" s="3">
        <f>HYPERLINK("https://www.codechef.com/problems/BETDEAL", "https://www.codechef.com/problems/BETDEAL")</f>
        <v/>
      </c>
      <c r="K114" s="2" t="inlineStr"/>
      <c r="L114" s="2" t="inlineStr">
        <is>
          <t>Basic Math, Basic Programming Concepts, Conditional Statements, Mathematics</t>
        </is>
      </c>
      <c r="M114" s="2" t="inlineStr"/>
      <c r="N114" s="2" t="inlineStr">
        <is>
          <t>No</t>
        </is>
      </c>
      <c r="O114" s="2" t="inlineStr">
        <is>
          <t>Unattempted</t>
        </is>
      </c>
    </row>
    <row r="115">
      <c r="A115" s="4" t="inlineStr">
        <is>
          <t>Algorithms</t>
        </is>
      </c>
      <c r="B115" s="4" t="inlineStr">
        <is>
          <t>Number theory</t>
        </is>
      </c>
      <c r="C115" s="4" t="inlineStr">
        <is>
          <t xml:space="preserve">Practice problems on number theory concepts like Euclid’s algorithm for GCD, LCM, prime factorization etc
</t>
        </is>
      </c>
      <c r="D115" s="4" t="inlineStr">
        <is>
          <t>Basic number theory - Practice</t>
        </is>
      </c>
      <c r="E115" s="4" t="n">
        <v>4</v>
      </c>
      <c r="F115" s="4" t="inlineStr">
        <is>
          <t>Online or Offline</t>
        </is>
      </c>
      <c r="G115" s="4" t="inlineStr">
        <is>
          <t>FOODPLAN</t>
        </is>
      </c>
      <c r="H115" s="4" t="inlineStr">
        <is>
          <t>713</t>
        </is>
      </c>
      <c r="I115" s="4" t="inlineStr">
        <is>
          <t>Easy</t>
        </is>
      </c>
      <c r="J115" s="5">
        <f>HYPERLINK("https://www.codechef.com/problems/FOODPLAN", "https://www.codechef.com/problems/FOODPLAN")</f>
        <v/>
      </c>
      <c r="K115" s="4" t="inlineStr"/>
      <c r="L115" s="4" t="inlineStr">
        <is>
          <t>Basic Math, Basic Programming Concepts, Conditional Statements, Mathematics</t>
        </is>
      </c>
      <c r="M115" s="4" t="inlineStr"/>
      <c r="N115" s="4" t="inlineStr">
        <is>
          <t>No</t>
        </is>
      </c>
      <c r="O115" s="4" t="inlineStr">
        <is>
          <t>Unattempted</t>
        </is>
      </c>
    </row>
    <row r="116">
      <c r="A116" s="2" t="inlineStr">
        <is>
          <t>Algorithms</t>
        </is>
      </c>
      <c r="B116" s="2" t="inlineStr">
        <is>
          <t>Number theory</t>
        </is>
      </c>
      <c r="C116" s="2" t="inlineStr">
        <is>
          <t xml:space="preserve">Practice problems on number theory concepts like Euclid’s algorithm for GCD, LCM, prime factorization etc
</t>
        </is>
      </c>
      <c r="D116" s="2" t="inlineStr">
        <is>
          <t>Basic number theory - Practice</t>
        </is>
      </c>
      <c r="E116" s="2" t="n">
        <v>5</v>
      </c>
      <c r="F116" s="2" t="inlineStr">
        <is>
          <t>Odd Sum Pair</t>
        </is>
      </c>
      <c r="G116" s="2" t="inlineStr">
        <is>
          <t>ODDSUMPAIR</t>
        </is>
      </c>
      <c r="H116" s="2" t="inlineStr">
        <is>
          <t>506</t>
        </is>
      </c>
      <c r="I116" s="2" t="inlineStr">
        <is>
          <t>Easy</t>
        </is>
      </c>
      <c r="J116" s="3">
        <f>HYPERLINK("https://www.codechef.com/problems/ODDSUMPAIR", "https://www.codechef.com/problems/ODDSUMPAIR")</f>
        <v/>
      </c>
      <c r="K116" s="2" t="inlineStr"/>
      <c r="L116" s="2" t="inlineStr">
        <is>
          <t>Basic Math, Mathematics</t>
        </is>
      </c>
      <c r="M116" s="2" t="inlineStr"/>
      <c r="N116" s="2" t="inlineStr">
        <is>
          <t>No</t>
        </is>
      </c>
      <c r="O116" s="2" t="inlineStr">
        <is>
          <t>Unattempted</t>
        </is>
      </c>
    </row>
    <row r="117">
      <c r="A117" s="4" t="inlineStr">
        <is>
          <t>Algorithms</t>
        </is>
      </c>
      <c r="B117" s="4" t="inlineStr">
        <is>
          <t>Number theory</t>
        </is>
      </c>
      <c r="C117" s="4" t="inlineStr">
        <is>
          <t xml:space="preserve">Practice problems on number theory concepts like Euclid’s algorithm for GCD, LCM, prime factorization etc
</t>
        </is>
      </c>
      <c r="D117" s="4" t="inlineStr">
        <is>
          <t>Basic number theory - Practice</t>
        </is>
      </c>
      <c r="E117" s="4" t="n">
        <v>6</v>
      </c>
      <c r="F117" s="4" t="inlineStr">
        <is>
          <t>Divide Pages</t>
        </is>
      </c>
      <c r="G117" s="4" t="inlineStr">
        <is>
          <t>BOOKPAGES</t>
        </is>
      </c>
      <c r="H117" s="4" t="inlineStr">
        <is>
          <t>500</t>
        </is>
      </c>
      <c r="I117" s="4" t="inlineStr">
        <is>
          <t>Easy</t>
        </is>
      </c>
      <c r="J117" s="5">
        <f>HYPERLINK("https://www.codechef.com/problems/BOOKPAGES", "https://www.codechef.com/problems/BOOKPAGES")</f>
        <v/>
      </c>
      <c r="K117" s="4" t="inlineStr"/>
      <c r="L117" s="4" t="inlineStr"/>
      <c r="M117" s="4" t="inlineStr"/>
      <c r="N117" s="4" t="inlineStr">
        <is>
          <t>No</t>
        </is>
      </c>
      <c r="O117" s="4" t="inlineStr">
        <is>
          <t>Unattempted</t>
        </is>
      </c>
    </row>
    <row r="118">
      <c r="A118" s="2" t="inlineStr">
        <is>
          <t>Algorithms</t>
        </is>
      </c>
      <c r="B118" s="2" t="inlineStr">
        <is>
          <t>Number theory</t>
        </is>
      </c>
      <c r="C118" s="2" t="inlineStr">
        <is>
          <t xml:space="preserve">Practice problems on number theory concepts like Euclid’s algorithm for GCD, LCM, prime factorization etc
</t>
        </is>
      </c>
      <c r="D118" s="2" t="inlineStr">
        <is>
          <t>Basic number theory - Practice</t>
        </is>
      </c>
      <c r="E118" s="2" t="n">
        <v>7</v>
      </c>
      <c r="F118" s="2" t="inlineStr">
        <is>
          <t>Redistributing Chocolates</t>
        </is>
      </c>
      <c r="G118" s="2" t="inlineStr">
        <is>
          <t>REDSTRBTN</t>
        </is>
      </c>
      <c r="H118" s="2" t="inlineStr">
        <is>
          <t>842</t>
        </is>
      </c>
      <c r="I118" s="2" t="inlineStr">
        <is>
          <t>Easy</t>
        </is>
      </c>
      <c r="J118" s="3">
        <f>HYPERLINK("https://www.codechef.com/problems/REDSTRBTN", "https://www.codechef.com/problems/REDSTRBTN")</f>
        <v/>
      </c>
      <c r="K118" s="2" t="inlineStr"/>
      <c r="L118" s="2" t="inlineStr"/>
      <c r="M118" s="2" t="inlineStr"/>
      <c r="N118" s="2" t="inlineStr">
        <is>
          <t>No</t>
        </is>
      </c>
      <c r="O118" s="2" t="inlineStr">
        <is>
          <t>Unattempted</t>
        </is>
      </c>
    </row>
    <row r="119">
      <c r="A119" s="4" t="inlineStr">
        <is>
          <t>Algorithms</t>
        </is>
      </c>
      <c r="B119" s="4" t="inlineStr">
        <is>
          <t>Number theory</t>
        </is>
      </c>
      <c r="C119" s="4" t="inlineStr">
        <is>
          <t xml:space="preserve">Practice problems on number theory concepts like Euclid’s algorithm for GCD, LCM, prime factorization etc
</t>
        </is>
      </c>
      <c r="D119" s="4" t="inlineStr">
        <is>
          <t>Basic number theory - Practice</t>
        </is>
      </c>
      <c r="E119" s="4" t="n">
        <v>8</v>
      </c>
      <c r="F119" s="4" t="inlineStr">
        <is>
          <t>Lucky Numbers</t>
        </is>
      </c>
      <c r="G119" s="4" t="inlineStr">
        <is>
          <t>LUCKYN</t>
        </is>
      </c>
      <c r="H119" s="4" t="inlineStr">
        <is>
          <t>655</t>
        </is>
      </c>
      <c r="I119" s="4" t="inlineStr">
        <is>
          <t>Easy</t>
        </is>
      </c>
      <c r="J119" s="5">
        <f>HYPERLINK("https://www.codechef.com/problems/LUCKYN", "https://www.codechef.com/problems/LUCKYN")</f>
        <v/>
      </c>
      <c r="K119" s="4" t="inlineStr"/>
      <c r="L119" s="4" t="inlineStr"/>
      <c r="M119" s="4" t="inlineStr"/>
      <c r="N119" s="4" t="inlineStr">
        <is>
          <t>No</t>
        </is>
      </c>
      <c r="O119" s="4" t="inlineStr">
        <is>
          <t>Unattempted</t>
        </is>
      </c>
    </row>
    <row r="120">
      <c r="A120" s="2" t="inlineStr">
        <is>
          <t>Algorithms</t>
        </is>
      </c>
      <c r="B120" s="2" t="inlineStr">
        <is>
          <t>Number theory</t>
        </is>
      </c>
      <c r="C120" s="2" t="inlineStr">
        <is>
          <t xml:space="preserve">Practice problems on number theory concepts like Euclid’s algorithm for GCD, LCM, prime factorization etc
</t>
        </is>
      </c>
      <c r="D120" s="2" t="inlineStr">
        <is>
          <t>Basic number theory - Practice</t>
        </is>
      </c>
      <c r="E120" s="2" t="n">
        <v>9</v>
      </c>
      <c r="F120" s="2" t="inlineStr">
        <is>
          <t>Return the Change</t>
        </is>
      </c>
      <c r="G120" s="2" t="inlineStr">
        <is>
          <t>RETURNCHANGE</t>
        </is>
      </c>
      <c r="H120" s="2" t="inlineStr">
        <is>
          <t>763</t>
        </is>
      </c>
      <c r="I120" s="2" t="inlineStr">
        <is>
          <t>Easy</t>
        </is>
      </c>
      <c r="J120" s="3">
        <f>HYPERLINK("https://www.codechef.com/problems/RETURNCHANGE", "https://www.codechef.com/problems/RETURNCHANGE")</f>
        <v/>
      </c>
      <c r="K120" s="2" t="inlineStr"/>
      <c r="L120" s="2" t="inlineStr"/>
      <c r="M120" s="2" t="inlineStr"/>
      <c r="N120" s="2" t="inlineStr">
        <is>
          <t>No</t>
        </is>
      </c>
      <c r="O120" s="2" t="inlineStr">
        <is>
          <t>Unattempted</t>
        </is>
      </c>
    </row>
    <row r="121">
      <c r="A121" s="4" t="inlineStr">
        <is>
          <t>Algorithms</t>
        </is>
      </c>
      <c r="B121" s="4" t="inlineStr">
        <is>
          <t>Number theory</t>
        </is>
      </c>
      <c r="C121" s="4" t="inlineStr">
        <is>
          <t xml:space="preserve">Practice problems on number theory concepts like Euclid’s algorithm for GCD, LCM, prime factorization etc
</t>
        </is>
      </c>
      <c r="D121" s="4" t="inlineStr">
        <is>
          <t>Basic number theory - Practice</t>
        </is>
      </c>
      <c r="E121" s="4" t="n">
        <v>10</v>
      </c>
      <c r="F121" s="4" t="inlineStr">
        <is>
          <t>Paper Cutting</t>
        </is>
      </c>
      <c r="G121" s="4" t="inlineStr">
        <is>
          <t>CUTPAPER</t>
        </is>
      </c>
      <c r="H121" s="4" t="inlineStr">
        <is>
          <t>800</t>
        </is>
      </c>
      <c r="I121" s="4" t="inlineStr">
        <is>
          <t>Easy</t>
        </is>
      </c>
      <c r="J121" s="5">
        <f>HYPERLINK("https://www.codechef.com/problems/CUTPAPER", "https://www.codechef.com/problems/CUTPAPER")</f>
        <v/>
      </c>
      <c r="K121" s="4" t="inlineStr"/>
      <c r="L121" s="4" t="inlineStr">
        <is>
          <t>Basic Math, Mathematics</t>
        </is>
      </c>
      <c r="M121" s="4" t="inlineStr"/>
      <c r="N121" s="4" t="inlineStr">
        <is>
          <t>No</t>
        </is>
      </c>
      <c r="O121" s="4" t="inlineStr">
        <is>
          <t>Unattempted</t>
        </is>
      </c>
    </row>
    <row r="122">
      <c r="A122" s="2" t="inlineStr">
        <is>
          <t>Algorithms</t>
        </is>
      </c>
      <c r="B122" s="2" t="inlineStr">
        <is>
          <t>Number theory</t>
        </is>
      </c>
      <c r="C122" s="2" t="inlineStr">
        <is>
          <t xml:space="preserve">Practice problems on number theory concepts like Euclid’s algorithm for GCD, LCM, prime factorization etc
</t>
        </is>
      </c>
      <c r="D122" s="2" t="inlineStr">
        <is>
          <t>Basic number theory - Practice</t>
        </is>
      </c>
      <c r="E122" s="2" t="n">
        <v>11</v>
      </c>
      <c r="F122" s="2" t="inlineStr">
        <is>
          <t>Apples and oranges</t>
        </is>
      </c>
      <c r="G122" s="2" t="inlineStr">
        <is>
          <t>APPLEORANGE</t>
        </is>
      </c>
      <c r="H122" s="2" t="inlineStr">
        <is>
          <t>1040</t>
        </is>
      </c>
      <c r="I122" s="2" t="inlineStr">
        <is>
          <t>Easy</t>
        </is>
      </c>
      <c r="J122" s="3">
        <f>HYPERLINK("https://www.codechef.com/problems/APPLEORANGE", "https://www.codechef.com/problems/APPLEORANGE")</f>
        <v/>
      </c>
      <c r="K122" s="2" t="inlineStr"/>
      <c r="L122" s="2" t="inlineStr">
        <is>
          <t>GCD, Mathematics, Number Theory</t>
        </is>
      </c>
      <c r="M122" s="2" t="inlineStr"/>
      <c r="N122" s="2" t="inlineStr">
        <is>
          <t>No</t>
        </is>
      </c>
      <c r="O122" s="2" t="inlineStr">
        <is>
          <t>Unattempted</t>
        </is>
      </c>
    </row>
    <row r="123">
      <c r="A123" s="4" t="inlineStr">
        <is>
          <t>Algorithms</t>
        </is>
      </c>
      <c r="B123" s="4" t="inlineStr">
        <is>
          <t>Number theory</t>
        </is>
      </c>
      <c r="C123" s="4" t="inlineStr">
        <is>
          <t xml:space="preserve">Practice problems on number theory concepts like Euclid’s algorithm for GCD, LCM, prime factorization etc
</t>
        </is>
      </c>
      <c r="D123" s="4" t="inlineStr">
        <is>
          <t>Basic number theory - Practice</t>
        </is>
      </c>
      <c r="E123" s="4" t="n">
        <v>12</v>
      </c>
      <c r="F123" s="4" t="inlineStr">
        <is>
          <t>Hackerman</t>
        </is>
      </c>
      <c r="G123" s="4" t="inlineStr">
        <is>
          <t>PRIMEDICE</t>
        </is>
      </c>
      <c r="H123" s="4" t="inlineStr">
        <is>
          <t>643</t>
        </is>
      </c>
      <c r="I123" s="4" t="inlineStr">
        <is>
          <t>Easy</t>
        </is>
      </c>
      <c r="J123" s="5">
        <f>HYPERLINK("https://www.codechef.com/problems/PRIMEDICE", "https://www.codechef.com/problems/PRIMEDICE")</f>
        <v/>
      </c>
      <c r="K123" s="4" t="inlineStr"/>
      <c r="L123" s="4" t="inlineStr">
        <is>
          <t>Basic Math, Mathematics</t>
        </is>
      </c>
      <c r="M123" s="4" t="inlineStr"/>
      <c r="N123" s="4" t="inlineStr">
        <is>
          <t>No</t>
        </is>
      </c>
      <c r="O123" s="4" t="inlineStr">
        <is>
          <t>Unattempted</t>
        </is>
      </c>
    </row>
    <row r="124">
      <c r="A124" s="2" t="inlineStr">
        <is>
          <t>Algorithms</t>
        </is>
      </c>
      <c r="B124" s="2" t="inlineStr">
        <is>
          <t>Number theory</t>
        </is>
      </c>
      <c r="C124" s="2" t="inlineStr">
        <is>
          <t xml:space="preserve">Practice problems on number theory concepts like Euclid’s algorithm for GCD, LCM, prime factorization etc
</t>
        </is>
      </c>
      <c r="D124" s="2" t="inlineStr">
        <is>
          <t>Basic number theory - Pro Practice</t>
        </is>
      </c>
      <c r="E124" s="2" t="n">
        <v>13</v>
      </c>
      <c r="F124" s="2" t="inlineStr">
        <is>
          <t>Cutting Recipes</t>
        </is>
      </c>
      <c r="G124" s="2" t="inlineStr">
        <is>
          <t>RECIPE</t>
        </is>
      </c>
      <c r="H124" s="2" t="inlineStr">
        <is>
          <t>1047</t>
        </is>
      </c>
      <c r="I124" s="2" t="inlineStr">
        <is>
          <t>Easy</t>
        </is>
      </c>
      <c r="J124" s="3">
        <f>HYPERLINK("https://www.codechef.com/problems/RECIPE", "https://www.codechef.com/problems/RECIPE")</f>
        <v/>
      </c>
      <c r="K124" s="2" t="inlineStr"/>
      <c r="L124" s="2" t="inlineStr"/>
      <c r="M124" s="2" t="inlineStr"/>
      <c r="N124" s="2" t="inlineStr">
        <is>
          <t>No</t>
        </is>
      </c>
      <c r="O124" s="2" t="inlineStr">
        <is>
          <t>Unattempted</t>
        </is>
      </c>
    </row>
    <row r="125">
      <c r="A125" s="4" t="inlineStr">
        <is>
          <t>Algorithms</t>
        </is>
      </c>
      <c r="B125" s="4" t="inlineStr">
        <is>
          <t>Number theory</t>
        </is>
      </c>
      <c r="C125" s="4" t="inlineStr">
        <is>
          <t xml:space="preserve">Practice problems on number theory concepts like Euclid’s algorithm for GCD, LCM, prime factorization etc
</t>
        </is>
      </c>
      <c r="D125" s="4" t="inlineStr">
        <is>
          <t>Basic number theory - Pro Practice</t>
        </is>
      </c>
      <c r="E125" s="4" t="n">
        <v>14</v>
      </c>
      <c r="F125" s="4" t="inlineStr">
        <is>
          <t>Existence</t>
        </is>
      </c>
      <c r="G125" s="4" t="inlineStr">
        <is>
          <t>EXISTENCE</t>
        </is>
      </c>
      <c r="H125" s="4" t="inlineStr">
        <is>
          <t>928</t>
        </is>
      </c>
      <c r="I125" s="4" t="inlineStr">
        <is>
          <t>Easy</t>
        </is>
      </c>
      <c r="J125" s="5">
        <f>HYPERLINK("https://www.codechef.com/problems/EXISTENCE", "https://www.codechef.com/problems/EXISTENCE")</f>
        <v/>
      </c>
      <c r="K125" s="4" t="inlineStr"/>
      <c r="L125" s="4" t="inlineStr">
        <is>
          <t>Basic Programming Concepts, Data Types, Mathematics</t>
        </is>
      </c>
      <c r="M125" s="4" t="inlineStr"/>
      <c r="N125" s="4" t="inlineStr">
        <is>
          <t>No</t>
        </is>
      </c>
      <c r="O125" s="4" t="inlineStr">
        <is>
          <t>Unattempted</t>
        </is>
      </c>
    </row>
    <row r="126">
      <c r="A126" s="2" t="inlineStr">
        <is>
          <t>Algorithms</t>
        </is>
      </c>
      <c r="B126" s="2" t="inlineStr">
        <is>
          <t>Number theory</t>
        </is>
      </c>
      <c r="C126" s="2" t="inlineStr">
        <is>
          <t xml:space="preserve">Practice problems on number theory concepts like Euclid’s algorithm for GCD, LCM, prime factorization etc
</t>
        </is>
      </c>
      <c r="D126" s="2" t="inlineStr">
        <is>
          <t>Basic number theory - Pro Practice</t>
        </is>
      </c>
      <c r="E126" s="2" t="n">
        <v>15</v>
      </c>
      <c r="F126" s="2" t="inlineStr">
        <is>
          <t>Walk on the Axis</t>
        </is>
      </c>
      <c r="G126" s="2" t="inlineStr">
        <is>
          <t>ANUWTA</t>
        </is>
      </c>
      <c r="H126" s="2" t="inlineStr">
        <is>
          <t>1374</t>
        </is>
      </c>
      <c r="I126" s="2" t="inlineStr">
        <is>
          <t>Easy</t>
        </is>
      </c>
      <c r="J126" s="3">
        <f>HYPERLINK("https://www.codechef.com/problems/ANUWTA", "https://www.codechef.com/problems/ANUWTA")</f>
        <v/>
      </c>
      <c r="K126" s="2" t="inlineStr"/>
      <c r="L126" s="2" t="inlineStr"/>
      <c r="M126" s="2" t="inlineStr"/>
      <c r="N126" s="2" t="inlineStr">
        <is>
          <t>No</t>
        </is>
      </c>
      <c r="O126" s="2" t="inlineStr">
        <is>
          <t>Unattempted</t>
        </is>
      </c>
    </row>
    <row r="127">
      <c r="A127" s="4" t="inlineStr">
        <is>
          <t>Algorithms</t>
        </is>
      </c>
      <c r="B127" s="4" t="inlineStr">
        <is>
          <t>Number theory</t>
        </is>
      </c>
      <c r="C127" s="4" t="inlineStr">
        <is>
          <t xml:space="preserve">Practice problems on number theory concepts like Euclid’s algorithm for GCD, LCM, prime factorization etc
</t>
        </is>
      </c>
      <c r="D127" s="4" t="inlineStr">
        <is>
          <t>Basic number theory - Pro Practice</t>
        </is>
      </c>
      <c r="E127" s="4" t="n">
        <v>16</v>
      </c>
      <c r="F127" s="4" t="inlineStr">
        <is>
          <t>Musical Chairs</t>
        </is>
      </c>
      <c r="G127" s="4" t="inlineStr">
        <is>
          <t>MUSICHAIR</t>
        </is>
      </c>
      <c r="H127" s="4" t="inlineStr">
        <is>
          <t>1494</t>
        </is>
      </c>
      <c r="I127" s="4" t="inlineStr">
        <is>
          <t>Medium</t>
        </is>
      </c>
      <c r="J127" s="5">
        <f>HYPERLINK("https://www.codechef.com/problems/MUSICHAIR", "https://www.codechef.com/problems/MUSICHAIR")</f>
        <v/>
      </c>
      <c r="K127" s="4" t="inlineStr"/>
      <c r="L127" s="4" t="inlineStr"/>
      <c r="M127" s="4" t="inlineStr"/>
      <c r="N127" s="4" t="inlineStr">
        <is>
          <t>No</t>
        </is>
      </c>
      <c r="O127" s="4" t="inlineStr">
        <is>
          <t>Unattempted</t>
        </is>
      </c>
    </row>
    <row r="128">
      <c r="A128" s="2" t="inlineStr">
        <is>
          <t>Algorithms</t>
        </is>
      </c>
      <c r="B128" s="2" t="inlineStr">
        <is>
          <t>Number theory</t>
        </is>
      </c>
      <c r="C128" s="2" t="inlineStr">
        <is>
          <t xml:space="preserve">Practice problems on number theory concepts like Euclid’s algorithm for GCD, LCM, prime factorization etc
</t>
        </is>
      </c>
      <c r="D128" s="2" t="inlineStr">
        <is>
          <t>Basic number theory - Pro Practice</t>
        </is>
      </c>
      <c r="E128" s="2" t="n">
        <v>17</v>
      </c>
      <c r="F128" s="2" t="inlineStr">
        <is>
          <t>Chef and Interview</t>
        </is>
      </c>
      <c r="G128" s="2" t="inlineStr">
        <is>
          <t>CHEFLCM</t>
        </is>
      </c>
      <c r="H128" s="2" t="inlineStr">
        <is>
          <t>1447</t>
        </is>
      </c>
      <c r="I128" s="2" t="inlineStr">
        <is>
          <t>Medium</t>
        </is>
      </c>
      <c r="J128" s="3">
        <f>HYPERLINK("https://www.codechef.com/problems/CHEFLCM", "https://www.codechef.com/problems/CHEFLCM")</f>
        <v/>
      </c>
      <c r="K128" s="2" t="inlineStr"/>
      <c r="L128" s="2" t="inlineStr"/>
      <c r="M128" s="2" t="inlineStr"/>
      <c r="N128" s="2" t="inlineStr">
        <is>
          <t>No</t>
        </is>
      </c>
      <c r="O128" s="2" t="inlineStr">
        <is>
          <t>Unattempted</t>
        </is>
      </c>
    </row>
    <row r="129">
      <c r="A129" s="4" t="inlineStr">
        <is>
          <t>Algorithms</t>
        </is>
      </c>
      <c r="B129" s="4" t="inlineStr">
        <is>
          <t>Number theory</t>
        </is>
      </c>
      <c r="C129" s="4" t="inlineStr">
        <is>
          <t xml:space="preserve">Practice problems on number theory concepts like Euclid’s algorithm for GCD, LCM, prime factorization etc
</t>
        </is>
      </c>
      <c r="D129" s="4" t="inlineStr">
        <is>
          <t>Basic number theory - Pro Practice</t>
        </is>
      </c>
      <c r="E129" s="4" t="n">
        <v>18</v>
      </c>
      <c r="F129" s="4" t="inlineStr">
        <is>
          <t>Add smallest prime factor</t>
        </is>
      </c>
      <c r="G129" s="4" t="inlineStr">
        <is>
          <t>PRIMEFACT</t>
        </is>
      </c>
      <c r="H129" s="4" t="inlineStr">
        <is>
          <t>1272</t>
        </is>
      </c>
      <c r="I129" s="4" t="inlineStr">
        <is>
          <t>Easy</t>
        </is>
      </c>
      <c r="J129" s="5">
        <f>HYPERLINK("https://www.codechef.com/problems/PRIMEFACT", "https://www.codechef.com/problems/PRIMEFACT")</f>
        <v/>
      </c>
      <c r="K129" s="4" t="inlineStr"/>
      <c r="L129" s="4" t="inlineStr"/>
      <c r="M129" s="4" t="inlineStr"/>
      <c r="N129" s="4" t="inlineStr">
        <is>
          <t>No</t>
        </is>
      </c>
      <c r="O129" s="4" t="inlineStr">
        <is>
          <t>Unattempted</t>
        </is>
      </c>
    </row>
    <row r="130">
      <c r="A130" s="2" t="inlineStr">
        <is>
          <t>Algorithms</t>
        </is>
      </c>
      <c r="B130" s="2" t="inlineStr">
        <is>
          <t>Number theory</t>
        </is>
      </c>
      <c r="C130" s="2" t="inlineStr">
        <is>
          <t xml:space="preserve">Practice problems on number theory concepts like Euclid’s algorithm for GCD, LCM, prime factorization etc
</t>
        </is>
      </c>
      <c r="D130" s="2" t="inlineStr">
        <is>
          <t>Basic number theory - Pro Practice</t>
        </is>
      </c>
      <c r="E130" s="2" t="n">
        <v>19</v>
      </c>
      <c r="F130" s="2" t="inlineStr">
        <is>
          <t>Dazzling GCD Pair</t>
        </is>
      </c>
      <c r="G130" s="2" t="inlineStr">
        <is>
          <t>NOTUNIT</t>
        </is>
      </c>
      <c r="H130" s="2" t="inlineStr">
        <is>
          <t>1177</t>
        </is>
      </c>
      <c r="I130" s="2" t="inlineStr">
        <is>
          <t>Easy</t>
        </is>
      </c>
      <c r="J130" s="3">
        <f>HYPERLINK("https://www.codechef.com/problems/NOTUNIT", "https://www.codechef.com/problems/NOTUNIT")</f>
        <v/>
      </c>
      <c r="K130" s="2" t="inlineStr"/>
      <c r="L130" s="2" t="inlineStr"/>
      <c r="M130" s="2" t="inlineStr"/>
      <c r="N130" s="2" t="inlineStr">
        <is>
          <t>No</t>
        </is>
      </c>
      <c r="O130" s="2" t="inlineStr">
        <is>
          <t>Unattempted</t>
        </is>
      </c>
    </row>
    <row r="131">
      <c r="A131" s="4" t="inlineStr">
        <is>
          <t>Algorithms</t>
        </is>
      </c>
      <c r="B131" s="4" t="inlineStr">
        <is>
          <t>Number theory</t>
        </is>
      </c>
      <c r="C131" s="4" t="inlineStr">
        <is>
          <t xml:space="preserve">Practice problems on number theory concepts like Euclid’s algorithm for GCD, LCM, prime factorization etc
</t>
        </is>
      </c>
      <c r="D131" s="4" t="inlineStr">
        <is>
          <t>Basic number theory - Pro Practice</t>
        </is>
      </c>
      <c r="E131" s="4" t="n">
        <v>20</v>
      </c>
      <c r="F131" s="4" t="inlineStr">
        <is>
          <t>Number of Factors</t>
        </is>
      </c>
      <c r="G131" s="4" t="inlineStr">
        <is>
          <t>NUMFACT</t>
        </is>
      </c>
      <c r="H131" s="4" t="inlineStr">
        <is>
          <t>1710</t>
        </is>
      </c>
      <c r="I131" s="4" t="inlineStr">
        <is>
          <t>Medium</t>
        </is>
      </c>
      <c r="J131" s="5">
        <f>HYPERLINK("https://www.codechef.com/problems/NUMFACT", "https://www.codechef.com/problems/NUMFACT")</f>
        <v/>
      </c>
      <c r="K131" s="4" t="inlineStr"/>
      <c r="L131" s="4" t="inlineStr"/>
      <c r="M131" s="4" t="inlineStr"/>
      <c r="N131" s="4" t="inlineStr">
        <is>
          <t>No</t>
        </is>
      </c>
      <c r="O131" s="4" t="inlineStr">
        <is>
          <t>Unattempted</t>
        </is>
      </c>
    </row>
    <row r="132">
      <c r="A132" s="2" t="inlineStr">
        <is>
          <t>Algorithms</t>
        </is>
      </c>
      <c r="B132" s="2" t="inlineStr">
        <is>
          <t>Number theory</t>
        </is>
      </c>
      <c r="C132" s="2" t="inlineStr">
        <is>
          <t xml:space="preserve">Practice problems on number theory concepts like Euclid’s algorithm for GCD, LCM, prime factorization etc
</t>
        </is>
      </c>
      <c r="D132" s="2" t="inlineStr">
        <is>
          <t>Basic number theory - Pro Practice</t>
        </is>
      </c>
      <c r="E132" s="2" t="n">
        <v>21</v>
      </c>
      <c r="F132" s="2" t="inlineStr">
        <is>
          <t>Luigi and Uniformity</t>
        </is>
      </c>
      <c r="G132" s="2" t="inlineStr">
        <is>
          <t>DIVIDEMAKEEQ</t>
        </is>
      </c>
      <c r="H132" s="2" t="inlineStr">
        <is>
          <t>1185</t>
        </is>
      </c>
      <c r="I132" s="2" t="inlineStr">
        <is>
          <t>Easy</t>
        </is>
      </c>
      <c r="J132" s="3">
        <f>HYPERLINK("https://www.codechef.com/problems/DIVIDEMAKEEQ", "https://www.codechef.com/problems/DIVIDEMAKEEQ")</f>
        <v/>
      </c>
      <c r="K132" s="2" t="inlineStr"/>
      <c r="L132" s="2" t="inlineStr">
        <is>
          <t>GCD, Mathematics, Number Theory</t>
        </is>
      </c>
      <c r="M132" s="2" t="inlineStr"/>
      <c r="N132" s="2" t="inlineStr">
        <is>
          <t>No</t>
        </is>
      </c>
      <c r="O132" s="2" t="inlineStr">
        <is>
          <t>Unattempted</t>
        </is>
      </c>
    </row>
    <row r="133">
      <c r="A133" s="4" t="inlineStr">
        <is>
          <t>Algorithms</t>
        </is>
      </c>
      <c r="B133" s="4" t="inlineStr">
        <is>
          <t>Number theory</t>
        </is>
      </c>
      <c r="C133" s="4" t="inlineStr">
        <is>
          <t xml:space="preserve">Practice problems on number theory concepts like Euclid’s algorithm for GCD, LCM, prime factorization etc
</t>
        </is>
      </c>
      <c r="D133" s="4" t="inlineStr">
        <is>
          <t>Basic number theory - Pro Practice</t>
        </is>
      </c>
      <c r="E133" s="4" t="n">
        <v>22</v>
      </c>
      <c r="F133" s="4" t="inlineStr">
        <is>
          <t>Little Elephant and Divisors</t>
        </is>
      </c>
      <c r="G133" s="4" t="inlineStr">
        <is>
          <t>LEDIV</t>
        </is>
      </c>
      <c r="H133" s="4" t="inlineStr">
        <is>
          <t>1716</t>
        </is>
      </c>
      <c r="I133" s="4" t="inlineStr">
        <is>
          <t>Medium</t>
        </is>
      </c>
      <c r="J133" s="5">
        <f>HYPERLINK("https://www.codechef.com/problems/LEDIV", "https://www.codechef.com/problems/LEDIV")</f>
        <v/>
      </c>
      <c r="K133" s="4" t="inlineStr"/>
      <c r="L133" s="4" t="inlineStr"/>
      <c r="M133" s="4" t="inlineStr"/>
      <c r="N133" s="4" t="inlineStr">
        <is>
          <t>No</t>
        </is>
      </c>
      <c r="O133" s="4" t="inlineStr">
        <is>
          <t>Unattempted</t>
        </is>
      </c>
    </row>
    <row r="134">
      <c r="A134" s="2" t="inlineStr">
        <is>
          <t>Algorithms</t>
        </is>
      </c>
      <c r="B134" s="2" t="inlineStr">
        <is>
          <t>Number theory</t>
        </is>
      </c>
      <c r="C134" s="2" t="inlineStr">
        <is>
          <t xml:space="preserve">Practice problems on number theory concepts like Euclid’s algorithm for GCD, LCM, prime factorization etc
</t>
        </is>
      </c>
      <c r="D134" s="2" t="inlineStr">
        <is>
          <t>Basic number theory - Pro Practice</t>
        </is>
      </c>
      <c r="E134" s="2" t="n">
        <v>23</v>
      </c>
      <c r="F134" s="2" t="inlineStr">
        <is>
          <t>The hardest gcd problem</t>
        </is>
      </c>
      <c r="G134" s="2" t="inlineStr">
        <is>
          <t>GCDDIV</t>
        </is>
      </c>
      <c r="H134" s="2" t="inlineStr">
        <is>
          <t>1829</t>
        </is>
      </c>
      <c r="I134" s="2" t="inlineStr">
        <is>
          <t>Medium</t>
        </is>
      </c>
      <c r="J134" s="3">
        <f>HYPERLINK("https://www.codechef.com/problems/GCDDIV", "https://www.codechef.com/problems/GCDDIV")</f>
        <v/>
      </c>
      <c r="K134" s="2" t="inlineStr"/>
      <c r="L134" s="2" t="inlineStr"/>
      <c r="M134" s="2" t="inlineStr"/>
      <c r="N134" s="2" t="inlineStr">
        <is>
          <t>No</t>
        </is>
      </c>
      <c r="O134" s="2" t="inlineStr">
        <is>
          <t>Unattempted</t>
        </is>
      </c>
    </row>
    <row r="135">
      <c r="A135" s="4" t="inlineStr">
        <is>
          <t>Algorithms</t>
        </is>
      </c>
      <c r="B135" s="4" t="inlineStr">
        <is>
          <t>Number theory</t>
        </is>
      </c>
      <c r="C135" s="4" t="inlineStr">
        <is>
          <t xml:space="preserve">Practice problems on number theory concepts like Euclid’s algorithm for GCD, LCM, prime factorization etc
</t>
        </is>
      </c>
      <c r="D135" s="4" t="inlineStr">
        <is>
          <t>Basic number theory - Pro Practice</t>
        </is>
      </c>
      <c r="E135" s="4" t="n">
        <v>24</v>
      </c>
      <c r="F135" s="4" t="inlineStr">
        <is>
          <t>Strong Elements</t>
        </is>
      </c>
      <c r="G135" s="4" t="inlineStr">
        <is>
          <t>STRNG</t>
        </is>
      </c>
      <c r="H135" s="4" t="inlineStr">
        <is>
          <t>1507</t>
        </is>
      </c>
      <c r="I135" s="4" t="inlineStr">
        <is>
          <t>Medium</t>
        </is>
      </c>
      <c r="J135" s="5">
        <f>HYPERLINK("https://www.codechef.com/problems/STRNG", "https://www.codechef.com/problems/STRNG")</f>
        <v/>
      </c>
      <c r="K135" s="4" t="inlineStr"/>
      <c r="L135" s="4" t="inlineStr"/>
      <c r="M135" s="4" t="inlineStr"/>
      <c r="N135" s="4" t="inlineStr">
        <is>
          <t>No</t>
        </is>
      </c>
      <c r="O135" s="4" t="inlineStr">
        <is>
          <t>Unattempted</t>
        </is>
      </c>
    </row>
    <row r="136">
      <c r="A136" s="2" t="inlineStr">
        <is>
          <t>Algorithms</t>
        </is>
      </c>
      <c r="B136" s="2" t="inlineStr">
        <is>
          <t>Two Pointers and Sliding Window Technique</t>
        </is>
      </c>
      <c r="C136" s="2" t="inlineStr">
        <is>
          <t>The two pointer and sliding window techniques are widely used algorithmic approach in computer science and programming. It is used to solve problems that can be efficiently solved by maintaining two positions or indices in a sequence or array.</t>
        </is>
      </c>
      <c r="D136" s="2" t="inlineStr">
        <is>
          <t>Two-Pointer - Two-Pointers</t>
        </is>
      </c>
      <c r="E136" s="2" t="n">
        <v>1</v>
      </c>
      <c r="F136" s="2" t="inlineStr">
        <is>
          <t>Remove Duplicates</t>
        </is>
      </c>
      <c r="G136" s="2" t="inlineStr">
        <is>
          <t>PREP69</t>
        </is>
      </c>
      <c r="H136" s="2" t="inlineStr">
        <is>
          <t>900</t>
        </is>
      </c>
      <c r="I136" s="2" t="inlineStr">
        <is>
          <t>Easy</t>
        </is>
      </c>
      <c r="J136" s="3">
        <f>HYPERLINK("https://www.codechef.com/problems/PREP69", "https://www.codechef.com/problems/PREP69")</f>
        <v/>
      </c>
      <c r="K136" s="2" t="inlineStr"/>
      <c r="L136" s="2" t="inlineStr"/>
      <c r="M136" s="2" t="inlineStr"/>
      <c r="N136" s="2" t="inlineStr">
        <is>
          <t>No</t>
        </is>
      </c>
      <c r="O136" s="2" t="inlineStr">
        <is>
          <t>Unattempted</t>
        </is>
      </c>
    </row>
    <row r="137">
      <c r="A137" s="4" t="inlineStr">
        <is>
          <t>Algorithms</t>
        </is>
      </c>
      <c r="B137" s="4" t="inlineStr">
        <is>
          <t>Two Pointers and Sliding Window Technique</t>
        </is>
      </c>
      <c r="C137" s="4" t="inlineStr">
        <is>
          <t>The two pointer and sliding window techniques are widely used algorithmic approach in computer science and programming. It is used to solve problems that can be efficiently solved by maintaining two positions or indices in a sequence or array.</t>
        </is>
      </c>
      <c r="D137" s="4" t="inlineStr">
        <is>
          <t>Two-Pointer - Two-Pointers</t>
        </is>
      </c>
      <c r="E137" s="4" t="n">
        <v>2</v>
      </c>
      <c r="F137" s="4" t="inlineStr">
        <is>
          <t>Your Name is Mine</t>
        </is>
      </c>
      <c r="G137" s="4" t="inlineStr">
        <is>
          <t>NAME2</t>
        </is>
      </c>
      <c r="H137" s="4" t="inlineStr">
        <is>
          <t>1285</t>
        </is>
      </c>
      <c r="I137" s="4" t="inlineStr">
        <is>
          <t>Easy</t>
        </is>
      </c>
      <c r="J137" s="5">
        <f>HYPERLINK("https://www.codechef.com/problems/NAME2", "https://www.codechef.com/problems/NAME2")</f>
        <v/>
      </c>
      <c r="K137" s="4" t="inlineStr"/>
      <c r="L137" s="4" t="inlineStr"/>
      <c r="M137" s="4" t="inlineStr"/>
      <c r="N137" s="4" t="inlineStr">
        <is>
          <t>No</t>
        </is>
      </c>
      <c r="O137" s="4" t="inlineStr">
        <is>
          <t>Unattempted</t>
        </is>
      </c>
    </row>
    <row r="138">
      <c r="A138" s="2" t="inlineStr">
        <is>
          <t>Algorithms</t>
        </is>
      </c>
      <c r="B138" s="2" t="inlineStr">
        <is>
          <t>Two Pointers and Sliding Window Technique</t>
        </is>
      </c>
      <c r="C138" s="2" t="inlineStr">
        <is>
          <t>The two pointer and sliding window techniques are widely used algorithmic approach in computer science and programming. It is used to solve problems that can be efficiently solved by maintaining two positions or indices in a sequence or array.</t>
        </is>
      </c>
      <c r="D138" s="2" t="inlineStr">
        <is>
          <t>Two-Pointer - Two-Pointers</t>
        </is>
      </c>
      <c r="E138" s="2" t="n">
        <v>3</v>
      </c>
      <c r="F138" s="2" t="inlineStr">
        <is>
          <t>Sort Array by Parity</t>
        </is>
      </c>
      <c r="G138" s="2" t="inlineStr">
        <is>
          <t>DSAPROB16</t>
        </is>
      </c>
      <c r="H138" s="2" t="inlineStr"/>
      <c r="I138" s="2" t="inlineStr">
        <is>
          <t>Medium</t>
        </is>
      </c>
      <c r="J138" s="3">
        <f>HYPERLINK("https://www.codechef.com/problems/DSAPROB16", "https://www.codechef.com/problems/DSAPROB16")</f>
        <v/>
      </c>
      <c r="K138" s="2" t="inlineStr"/>
      <c r="L138" s="2" t="inlineStr"/>
      <c r="M138" s="2" t="inlineStr"/>
      <c r="N138" s="2" t="inlineStr">
        <is>
          <t>No</t>
        </is>
      </c>
      <c r="O138" s="2" t="inlineStr">
        <is>
          <t>Unattempted</t>
        </is>
      </c>
    </row>
    <row r="139">
      <c r="A139" s="4" t="inlineStr">
        <is>
          <t>Algorithms</t>
        </is>
      </c>
      <c r="B139" s="4" t="inlineStr">
        <is>
          <t>Two Pointers and Sliding Window Technique</t>
        </is>
      </c>
      <c r="C139" s="4" t="inlineStr">
        <is>
          <t>The two pointer and sliding window techniques are widely used algorithmic approach in computer science and programming. It is used to solve problems that can be efficiently solved by maintaining two positions or indices in a sequence or array.</t>
        </is>
      </c>
      <c r="D139" s="4" t="inlineStr">
        <is>
          <t>Two-Pointer - Two-Pointers</t>
        </is>
      </c>
      <c r="E139" s="4" t="n">
        <v>4</v>
      </c>
      <c r="F139" s="4" t="inlineStr">
        <is>
          <t>Coronavirus Spread</t>
        </is>
      </c>
      <c r="G139" s="4" t="inlineStr">
        <is>
          <t>COVID19</t>
        </is>
      </c>
      <c r="H139" s="4" t="inlineStr">
        <is>
          <t>1219</t>
        </is>
      </c>
      <c r="I139" s="4" t="inlineStr">
        <is>
          <t>Easy</t>
        </is>
      </c>
      <c r="J139" s="5">
        <f>HYPERLINK("https://www.codechef.com/problems/COVID19", "https://www.codechef.com/problems/COVID19")</f>
        <v/>
      </c>
      <c r="K139" s="4" t="inlineStr"/>
      <c r="L139" s="4" t="inlineStr">
        <is>
          <t>Two pointers</t>
        </is>
      </c>
      <c r="M139" s="4" t="inlineStr"/>
      <c r="N139" s="4" t="inlineStr">
        <is>
          <t>No</t>
        </is>
      </c>
      <c r="O139" s="4" t="inlineStr">
        <is>
          <t>Unattempted</t>
        </is>
      </c>
    </row>
    <row r="140">
      <c r="A140" s="2" t="inlineStr">
        <is>
          <t>Algorithms</t>
        </is>
      </c>
      <c r="B140" s="2" t="inlineStr">
        <is>
          <t>Two Pointers and Sliding Window Technique</t>
        </is>
      </c>
      <c r="C140" s="2" t="inlineStr">
        <is>
          <t>The two pointer and sliding window techniques are widely used algorithmic approach in computer science and programming. It is used to solve problems that can be efficiently solved by maintaining two positions or indices in a sequence or array.</t>
        </is>
      </c>
      <c r="D140" s="2" t="inlineStr">
        <is>
          <t>Two-Pointer - Two-Pointers</t>
        </is>
      </c>
      <c r="E140" s="2" t="n">
        <v>5</v>
      </c>
      <c r="F140" s="2" t="inlineStr">
        <is>
          <t>Difference Pairs</t>
        </is>
      </c>
      <c r="G140" s="2" t="inlineStr">
        <is>
          <t>PREP68</t>
        </is>
      </c>
      <c r="H140" s="2" t="inlineStr">
        <is>
          <t>1000</t>
        </is>
      </c>
      <c r="I140" s="2" t="inlineStr">
        <is>
          <t>Easy</t>
        </is>
      </c>
      <c r="J140" s="3">
        <f>HYPERLINK("https://www.codechef.com/problems/PREP68", "https://www.codechef.com/problems/PREP68")</f>
        <v/>
      </c>
      <c r="K140" s="2" t="inlineStr"/>
      <c r="L140" s="2" t="inlineStr">
        <is>
          <t>Algorithms, Simple Algos, Two pointers</t>
        </is>
      </c>
      <c r="M140" s="2" t="inlineStr"/>
      <c r="N140" s="2" t="inlineStr">
        <is>
          <t>No</t>
        </is>
      </c>
      <c r="O140" s="2" t="inlineStr">
        <is>
          <t>Unattempted</t>
        </is>
      </c>
    </row>
    <row r="141">
      <c r="A141" s="4" t="inlineStr">
        <is>
          <t>Algorithms</t>
        </is>
      </c>
      <c r="B141" s="4" t="inlineStr">
        <is>
          <t>Two Pointers and Sliding Window Technique</t>
        </is>
      </c>
      <c r="C141" s="4" t="inlineStr">
        <is>
          <t>The two pointer and sliding window techniques are widely used algorithmic approach in computer science and programming. It is used to solve problems that can be efficiently solved by maintaining two positions or indices in a sequence or array.</t>
        </is>
      </c>
      <c r="D141" s="4" t="inlineStr">
        <is>
          <t>Two-Pointer - Two-Pointers</t>
        </is>
      </c>
      <c r="E141" s="4" t="n">
        <v>6</v>
      </c>
      <c r="F141" s="4" t="inlineStr">
        <is>
          <t>Maximum Common Elements</t>
        </is>
      </c>
      <c r="G141" s="4" t="inlineStr">
        <is>
          <t>PREP17</t>
        </is>
      </c>
      <c r="H141" s="4" t="inlineStr">
        <is>
          <t>1100</t>
        </is>
      </c>
      <c r="I141" s="4" t="inlineStr">
        <is>
          <t>Easy</t>
        </is>
      </c>
      <c r="J141" s="5">
        <f>HYPERLINK("https://www.codechef.com/problems/PREP17", "https://www.codechef.com/problems/PREP17")</f>
        <v/>
      </c>
      <c r="K141" s="4" t="inlineStr"/>
      <c r="L141" s="4" t="inlineStr"/>
      <c r="M141" s="4" t="inlineStr"/>
      <c r="N141" s="4" t="inlineStr">
        <is>
          <t>No</t>
        </is>
      </c>
      <c r="O141" s="4" t="inlineStr">
        <is>
          <t>Unattempted</t>
        </is>
      </c>
    </row>
    <row r="142">
      <c r="A142" s="2" t="inlineStr">
        <is>
          <t>Algorithms</t>
        </is>
      </c>
      <c r="B142" s="2" t="inlineStr">
        <is>
          <t>Two Pointers and Sliding Window Technique</t>
        </is>
      </c>
      <c r="C142" s="2" t="inlineStr">
        <is>
          <t>The two pointer and sliding window techniques are widely used algorithmic approach in computer science and programming. It is used to solve problems that can be efficiently solved by maintaining two positions or indices in a sequence or array.</t>
        </is>
      </c>
      <c r="D142" s="2" t="inlineStr">
        <is>
          <t>Two-Pointer - Two-Pointers additional practice</t>
        </is>
      </c>
      <c r="E142" s="2" t="n">
        <v>7</v>
      </c>
      <c r="F142" s="2" t="inlineStr">
        <is>
          <t>Chef and Rainbow Array</t>
        </is>
      </c>
      <c r="G142" s="2" t="inlineStr">
        <is>
          <t>RAINBOWA</t>
        </is>
      </c>
      <c r="H142" s="2" t="inlineStr">
        <is>
          <t>1467</t>
        </is>
      </c>
      <c r="I142" s="2" t="inlineStr">
        <is>
          <t>Medium</t>
        </is>
      </c>
      <c r="J142" s="3">
        <f>HYPERLINK("https://www.codechef.com/problems/RAINBOWA", "https://www.codechef.com/problems/RAINBOWA")</f>
        <v/>
      </c>
      <c r="K142" s="2" t="inlineStr"/>
      <c r="L142" s="2" t="inlineStr"/>
      <c r="M142" s="2" t="inlineStr"/>
      <c r="N142" s="2" t="inlineStr">
        <is>
          <t>No</t>
        </is>
      </c>
      <c r="O142" s="2" t="inlineStr">
        <is>
          <t>Unattempted</t>
        </is>
      </c>
    </row>
    <row r="143">
      <c r="A143" s="4" t="inlineStr">
        <is>
          <t>Algorithms</t>
        </is>
      </c>
      <c r="B143" s="4" t="inlineStr">
        <is>
          <t>Two Pointers and Sliding Window Technique</t>
        </is>
      </c>
      <c r="C143" s="4" t="inlineStr">
        <is>
          <t>The two pointer and sliding window techniques are widely used algorithmic approach in computer science and programming. It is used to solve problems that can be efficiently solved by maintaining two positions or indices in a sequence or array.</t>
        </is>
      </c>
      <c r="D143" s="4" t="inlineStr">
        <is>
          <t>Two-Pointer - Two-Pointers additional practice</t>
        </is>
      </c>
      <c r="E143" s="4" t="n">
        <v>8</v>
      </c>
      <c r="F143" s="4" t="inlineStr">
        <is>
          <t>Check Palindrome</t>
        </is>
      </c>
      <c r="G143" s="4" t="inlineStr">
        <is>
          <t>DSCPPAS276</t>
        </is>
      </c>
      <c r="H143" s="4" t="inlineStr"/>
      <c r="I143" s="4" t="inlineStr">
        <is>
          <t>Medium</t>
        </is>
      </c>
      <c r="J143" s="5">
        <f>HYPERLINK("https://www.codechef.com/problems/DSCPPAS276", "https://www.codechef.com/problems/DSCPPAS276")</f>
        <v/>
      </c>
      <c r="K143" s="4" t="inlineStr"/>
      <c r="L143" s="4" t="inlineStr"/>
      <c r="M143" s="4" t="inlineStr"/>
      <c r="N143" s="4" t="inlineStr">
        <is>
          <t>No</t>
        </is>
      </c>
      <c r="O143" s="4" t="inlineStr">
        <is>
          <t>Unattempted</t>
        </is>
      </c>
    </row>
    <row r="144">
      <c r="A144" s="2" t="inlineStr">
        <is>
          <t>Algorithms</t>
        </is>
      </c>
      <c r="B144" s="2" t="inlineStr">
        <is>
          <t>Two Pointers and Sliding Window Technique</t>
        </is>
      </c>
      <c r="C144" s="2" t="inlineStr">
        <is>
          <t>The two pointer and sliding window techniques are widely used algorithmic approach in computer science and programming. It is used to solve problems that can be efficiently solved by maintaining two positions or indices in a sequence or array.</t>
        </is>
      </c>
      <c r="D144" s="2" t="inlineStr">
        <is>
          <t>Two-Pointer - Two-Pointers additional practice</t>
        </is>
      </c>
      <c r="E144" s="2" t="n">
        <v>9</v>
      </c>
      <c r="F144" s="2" t="inlineStr">
        <is>
          <t>Largest Common Element in Two Arrays</t>
        </is>
      </c>
      <c r="G144" s="2" t="inlineStr">
        <is>
          <t>DSAPROB20</t>
        </is>
      </c>
      <c r="H144" s="2" t="inlineStr"/>
      <c r="I144" s="2" t="inlineStr">
        <is>
          <t>Medium</t>
        </is>
      </c>
      <c r="J144" s="3">
        <f>HYPERLINK("https://www.codechef.com/problems/DSAPROB20", "https://www.codechef.com/problems/DSAPROB20")</f>
        <v/>
      </c>
      <c r="K144" s="2" t="inlineStr"/>
      <c r="L144" s="2" t="inlineStr"/>
      <c r="M144" s="2" t="inlineStr"/>
      <c r="N144" s="2" t="inlineStr">
        <is>
          <t>No</t>
        </is>
      </c>
      <c r="O144" s="2" t="inlineStr">
        <is>
          <t>Unattempted</t>
        </is>
      </c>
    </row>
    <row r="145">
      <c r="A145" s="4" t="inlineStr">
        <is>
          <t>Algorithms</t>
        </is>
      </c>
      <c r="B145" s="4" t="inlineStr">
        <is>
          <t>Two Pointers and Sliding Window Technique</t>
        </is>
      </c>
      <c r="C145" s="4" t="inlineStr">
        <is>
          <t>The two pointer and sliding window techniques are widely used algorithmic approach in computer science and programming. It is used to solve problems that can be efficiently solved by maintaining two positions or indices in a sequence or array.</t>
        </is>
      </c>
      <c r="D145" s="4" t="inlineStr">
        <is>
          <t>Two-Pointer - Two-Pointers additional practice</t>
        </is>
      </c>
      <c r="E145" s="4" t="n">
        <v>10</v>
      </c>
      <c r="F145" s="4" t="inlineStr">
        <is>
          <t>Check Square</t>
        </is>
      </c>
      <c r="G145" s="4" t="inlineStr">
        <is>
          <t>DSCPPAS278C</t>
        </is>
      </c>
      <c r="H145" s="4" t="inlineStr"/>
      <c r="I145" s="4" t="inlineStr">
        <is>
          <t>Medium</t>
        </is>
      </c>
      <c r="J145" s="5">
        <f>HYPERLINK("https://www.codechef.com/problems/DSCPPAS278C", "https://www.codechef.com/problems/DSCPPAS278C")</f>
        <v/>
      </c>
      <c r="K145" s="4" t="inlineStr"/>
      <c r="L145" s="4" t="inlineStr"/>
      <c r="M145" s="4" t="inlineStr"/>
      <c r="N145" s="4" t="inlineStr">
        <is>
          <t>No</t>
        </is>
      </c>
      <c r="O145" s="4" t="inlineStr">
        <is>
          <t>Unattempted</t>
        </is>
      </c>
    </row>
    <row r="146">
      <c r="A146" s="2" t="inlineStr">
        <is>
          <t>Algorithms</t>
        </is>
      </c>
      <c r="B146" s="2" t="inlineStr">
        <is>
          <t>Two Pointers and Sliding Window Technique</t>
        </is>
      </c>
      <c r="C146" s="2" t="inlineStr">
        <is>
          <t>The two pointer and sliding window techniques are widely used algorithmic approach in computer science and programming. It is used to solve problems that can be efficiently solved by maintaining two positions or indices in a sequence or array.</t>
        </is>
      </c>
      <c r="D146" s="2" t="inlineStr">
        <is>
          <t>Two-Pointer - Two-Pointers additional practice</t>
        </is>
      </c>
      <c r="E146" s="2" t="n">
        <v>11</v>
      </c>
      <c r="F146" s="2" t="inlineStr">
        <is>
          <t>Find Array Min</t>
        </is>
      </c>
      <c r="G146" s="2" t="inlineStr">
        <is>
          <t>PREP18</t>
        </is>
      </c>
      <c r="H146" s="2" t="inlineStr">
        <is>
          <t>1500</t>
        </is>
      </c>
      <c r="I146" s="2" t="inlineStr">
        <is>
          <t>Medium</t>
        </is>
      </c>
      <c r="J146" s="3">
        <f>HYPERLINK("https://www.codechef.com/problems/PREP18", "https://www.codechef.com/problems/PREP18")</f>
        <v/>
      </c>
      <c r="K146" s="2" t="inlineStr"/>
      <c r="L146" s="2" t="inlineStr"/>
      <c r="M146" s="2" t="inlineStr"/>
      <c r="N146" s="2" t="inlineStr">
        <is>
          <t>No</t>
        </is>
      </c>
      <c r="O146" s="2" t="inlineStr">
        <is>
          <t>Unattempted</t>
        </is>
      </c>
    </row>
    <row r="147">
      <c r="A147" s="4" t="inlineStr">
        <is>
          <t>Algorithms</t>
        </is>
      </c>
      <c r="B147" s="4" t="inlineStr">
        <is>
          <t>Two Pointers and Sliding Window Technique</t>
        </is>
      </c>
      <c r="C147" s="4" t="inlineStr">
        <is>
          <t>The two pointer and sliding window techniques are widely used algorithmic approach in computer science and programming. It is used to solve problems that can be efficiently solved by maintaining two positions or indices in a sequence or array.</t>
        </is>
      </c>
      <c r="D147" s="4" t="inlineStr">
        <is>
          <t>Two-Pointer - Two-Pointers additional practice</t>
        </is>
      </c>
      <c r="E147" s="4" t="n">
        <v>12</v>
      </c>
      <c r="F147" s="4" t="inlineStr">
        <is>
          <t>Count Pairs</t>
        </is>
      </c>
      <c r="G147" s="4" t="inlineStr">
        <is>
          <t>DSAPROB15</t>
        </is>
      </c>
      <c r="H147" s="4" t="inlineStr"/>
      <c r="I147" s="4" t="inlineStr">
        <is>
          <t>Medium</t>
        </is>
      </c>
      <c r="J147" s="5">
        <f>HYPERLINK("https://www.codechef.com/problems/DSAPROB15", "https://www.codechef.com/problems/DSAPROB15")</f>
        <v/>
      </c>
      <c r="K147" s="4" t="inlineStr"/>
      <c r="L147" s="4" t="inlineStr"/>
      <c r="M147" s="4" t="inlineStr"/>
      <c r="N147" s="4" t="inlineStr">
        <is>
          <t>No</t>
        </is>
      </c>
      <c r="O147" s="4" t="inlineStr">
        <is>
          <t>Unattempted</t>
        </is>
      </c>
    </row>
    <row r="148">
      <c r="A148" s="2" t="inlineStr">
        <is>
          <t>Algorithms</t>
        </is>
      </c>
      <c r="B148" s="2" t="inlineStr">
        <is>
          <t>Two Pointers and Sliding Window Technique</t>
        </is>
      </c>
      <c r="C148" s="2" t="inlineStr">
        <is>
          <t>The two pointer and sliding window techniques are widely used algorithmic approach in computer science and programming. It is used to solve problems that can be efficiently solved by maintaining two positions or indices in a sequence or array.</t>
        </is>
      </c>
      <c r="D148" s="2" t="inlineStr">
        <is>
          <t>Two-Pointer - Two-Pointers additional practice</t>
        </is>
      </c>
      <c r="E148" s="2" t="n">
        <v>13</v>
      </c>
      <c r="F148" s="2" t="inlineStr">
        <is>
          <t>Flipping subarray</t>
        </is>
      </c>
      <c r="G148" s="2" t="inlineStr">
        <is>
          <t>DSCPPAS277</t>
        </is>
      </c>
      <c r="H148" s="2" t="inlineStr"/>
      <c r="I148" s="2" t="inlineStr">
        <is>
          <t>Hard</t>
        </is>
      </c>
      <c r="J148" s="3">
        <f>HYPERLINK("https://www.codechef.com/problems/DSCPPAS277", "https://www.codechef.com/problems/DSCPPAS277")</f>
        <v/>
      </c>
      <c r="K148" s="2" t="inlineStr"/>
      <c r="L148" s="2" t="inlineStr"/>
      <c r="M148" s="2" t="inlineStr"/>
      <c r="N148" s="2" t="inlineStr">
        <is>
          <t>No</t>
        </is>
      </c>
      <c r="O148" s="2" t="inlineStr">
        <is>
          <t>Unattempted</t>
        </is>
      </c>
    </row>
    <row r="149">
      <c r="A149" s="4" t="inlineStr">
        <is>
          <t>Algorithms</t>
        </is>
      </c>
      <c r="B149" s="4" t="inlineStr">
        <is>
          <t>Two Pointers and Sliding Window Technique</t>
        </is>
      </c>
      <c r="C149" s="4" t="inlineStr">
        <is>
          <t>The two pointer and sliding window techniques are widely used algorithmic approach in computer science and programming. It is used to solve problems that can be efficiently solved by maintaining two positions or indices in a sequence or array.</t>
        </is>
      </c>
      <c r="D149" s="4" t="inlineStr">
        <is>
          <t>Two-Pointer - Two-Pointers additional practice</t>
        </is>
      </c>
      <c r="E149" s="4" t="n">
        <v>14</v>
      </c>
      <c r="F149" s="4" t="inlineStr">
        <is>
          <t>College Life 5</t>
        </is>
      </c>
      <c r="G149" s="4" t="inlineStr">
        <is>
          <t>COLGLF5</t>
        </is>
      </c>
      <c r="H149" s="4" t="inlineStr">
        <is>
          <t>1651</t>
        </is>
      </c>
      <c r="I149" s="4" t="inlineStr">
        <is>
          <t>Medium</t>
        </is>
      </c>
      <c r="J149" s="5">
        <f>HYPERLINK("https://www.codechef.com/problems/COLGLF5", "https://www.codechef.com/problems/COLGLF5")</f>
        <v/>
      </c>
      <c r="K149" s="4" t="inlineStr"/>
      <c r="L149" s="4" t="inlineStr">
        <is>
          <t>Algorithms, Constructive, Implementation, Simple Algos, Sorting, Two pointers, ad-hoc</t>
        </is>
      </c>
      <c r="M149" s="4" t="inlineStr"/>
      <c r="N149" s="4" t="inlineStr">
        <is>
          <t>No</t>
        </is>
      </c>
      <c r="O149" s="4" t="inlineStr">
        <is>
          <t>Unattempted</t>
        </is>
      </c>
    </row>
    <row r="150">
      <c r="A150" s="2" t="inlineStr">
        <is>
          <t>Algorithms</t>
        </is>
      </c>
      <c r="B150" s="2" t="inlineStr">
        <is>
          <t>Two Pointers and Sliding Window Technique</t>
        </is>
      </c>
      <c r="C150" s="2" t="inlineStr">
        <is>
          <t>The two pointer and sliding window techniques are widely used algorithmic approach in computer science and programming. It is used to solve problems that can be efficiently solved by maintaining two positions or indices in a sequence or array.</t>
        </is>
      </c>
      <c r="D150" s="2" t="inlineStr">
        <is>
          <t>Two-Pointer - Two-Pointers additional practice</t>
        </is>
      </c>
      <c r="E150" s="2" t="n">
        <v>15</v>
      </c>
      <c r="F150" s="2" t="inlineStr">
        <is>
          <t>Vowel Anxiety</t>
        </is>
      </c>
      <c r="G150" s="2" t="inlineStr">
        <is>
          <t>VOWANX</t>
        </is>
      </c>
      <c r="H150" s="2" t="inlineStr">
        <is>
          <t>1823</t>
        </is>
      </c>
      <c r="I150" s="2" t="inlineStr">
        <is>
          <t>Medium</t>
        </is>
      </c>
      <c r="J150" s="3">
        <f>HYPERLINK("https://www.codechef.com/problems/VOWANX", "https://www.codechef.com/problems/VOWANX")</f>
        <v/>
      </c>
      <c r="K150" s="2" t="inlineStr"/>
      <c r="L150" s="2" t="inlineStr"/>
      <c r="M150" s="2" t="inlineStr"/>
      <c r="N150" s="2" t="inlineStr">
        <is>
          <t>No</t>
        </is>
      </c>
      <c r="O150" s="2" t="inlineStr">
        <is>
          <t>Unattempted</t>
        </is>
      </c>
    </row>
    <row r="151">
      <c r="A151" s="4" t="inlineStr">
        <is>
          <t>Algorithms</t>
        </is>
      </c>
      <c r="B151" s="4" t="inlineStr">
        <is>
          <t>Two Pointers and Sliding Window Technique</t>
        </is>
      </c>
      <c r="C151" s="4" t="inlineStr">
        <is>
          <t>The two pointer and sliding window techniques are widely used algorithmic approach in computer science and programming. It is used to solve problems that can be efficiently solved by maintaining two positions or indices in a sequence or array.</t>
        </is>
      </c>
      <c r="D151" s="4" t="inlineStr">
        <is>
          <t>Sliding Window - Sliding Window</t>
        </is>
      </c>
      <c r="E151" s="4" t="n">
        <v>16</v>
      </c>
      <c r="F151" s="4" t="inlineStr">
        <is>
          <t>Sliding Window</t>
        </is>
      </c>
      <c r="G151" s="4" t="inlineStr">
        <is>
          <t>SLDW0101</t>
        </is>
      </c>
      <c r="H151" s="4" t="inlineStr">
        <is>
          <t>932</t>
        </is>
      </c>
      <c r="I151" s="4" t="inlineStr">
        <is>
          <t>Easy</t>
        </is>
      </c>
      <c r="J151" s="5">
        <f>HYPERLINK("https://www.codechef.com/problems/SLDW0101", "https://www.codechef.com/problems/SLDW0101")</f>
        <v/>
      </c>
      <c r="K151" s="4" t="inlineStr"/>
      <c r="L151" s="4" t="inlineStr"/>
      <c r="M151" s="4" t="inlineStr"/>
      <c r="N151" s="4" t="inlineStr">
        <is>
          <t>No</t>
        </is>
      </c>
      <c r="O151" s="4" t="inlineStr">
        <is>
          <t>Unattempted</t>
        </is>
      </c>
    </row>
    <row r="152">
      <c r="A152" s="2" t="inlineStr">
        <is>
          <t>Algorithms</t>
        </is>
      </c>
      <c r="B152" s="2" t="inlineStr">
        <is>
          <t>Two Pointers and Sliding Window Technique</t>
        </is>
      </c>
      <c r="C152" s="2" t="inlineStr">
        <is>
          <t>The two pointer and sliding window techniques are widely used algorithmic approach in computer science and programming. It is used to solve problems that can be efficiently solved by maintaining two positions or indices in a sequence or array.</t>
        </is>
      </c>
      <c r="D152" s="2" t="inlineStr">
        <is>
          <t>Sliding Window - Sliding Window</t>
        </is>
      </c>
      <c r="E152" s="2" t="n">
        <v>17</v>
      </c>
      <c r="F152" s="2" t="inlineStr">
        <is>
          <t>The Great Run</t>
        </is>
      </c>
      <c r="G152" s="2" t="inlineStr">
        <is>
          <t>PROC18A</t>
        </is>
      </c>
      <c r="H152" s="2" t="inlineStr">
        <is>
          <t>1097</t>
        </is>
      </c>
      <c r="I152" s="2" t="inlineStr">
        <is>
          <t>Easy</t>
        </is>
      </c>
      <c r="J152" s="3">
        <f>HYPERLINK("https://www.codechef.com/problems/PROC18A", "https://www.codechef.com/problems/PROC18A")</f>
        <v/>
      </c>
      <c r="K152" s="2" t="inlineStr"/>
      <c r="L152" s="2" t="inlineStr">
        <is>
          <t>Two pointers</t>
        </is>
      </c>
      <c r="M152" s="2" t="inlineStr"/>
      <c r="N152" s="2" t="inlineStr">
        <is>
          <t>No</t>
        </is>
      </c>
      <c r="O152" s="2" t="inlineStr">
        <is>
          <t>Unattempted</t>
        </is>
      </c>
    </row>
    <row r="153">
      <c r="A153" s="4" t="inlineStr">
        <is>
          <t>Algorithms</t>
        </is>
      </c>
      <c r="B153" s="4" t="inlineStr">
        <is>
          <t>Two Pointers and Sliding Window Technique</t>
        </is>
      </c>
      <c r="C153" s="4" t="inlineStr">
        <is>
          <t>The two pointer and sliding window techniques are widely used algorithmic approach in computer science and programming. It is used to solve problems that can be efficiently solved by maintaining two positions or indices in a sequence or array.</t>
        </is>
      </c>
      <c r="D153" s="4" t="inlineStr">
        <is>
          <t>Sliding Window - Sliding Window</t>
        </is>
      </c>
      <c r="E153" s="4" t="n">
        <v>18</v>
      </c>
      <c r="F153" s="4" t="inlineStr">
        <is>
          <t>Maximum Sum of K Elements</t>
        </is>
      </c>
      <c r="G153" s="4" t="inlineStr">
        <is>
          <t>SLDW0102</t>
        </is>
      </c>
      <c r="H153" s="4" t="inlineStr">
        <is>
          <t>932</t>
        </is>
      </c>
      <c r="I153" s="4" t="inlineStr">
        <is>
          <t>Easy</t>
        </is>
      </c>
      <c r="J153" s="5">
        <f>HYPERLINK("https://www.codechef.com/problems/SLDW0102", "https://www.codechef.com/problems/SLDW0102")</f>
        <v/>
      </c>
      <c r="K153" s="4" t="inlineStr"/>
      <c r="L153" s="4" t="inlineStr"/>
      <c r="M153" s="4" t="inlineStr"/>
      <c r="N153" s="4" t="inlineStr">
        <is>
          <t>No</t>
        </is>
      </c>
      <c r="O153" s="4" t="inlineStr">
        <is>
          <t>Unattempted</t>
        </is>
      </c>
    </row>
    <row r="154">
      <c r="A154" s="2" t="inlineStr">
        <is>
          <t>Algorithms</t>
        </is>
      </c>
      <c r="B154" s="2" t="inlineStr">
        <is>
          <t>Two Pointers and Sliding Window Technique</t>
        </is>
      </c>
      <c r="C154" s="2" t="inlineStr">
        <is>
          <t>The two pointer and sliding window techniques are widely used algorithmic approach in computer science and programming. It is used to solve problems that can be efficiently solved by maintaining two positions or indices in a sequence or array.</t>
        </is>
      </c>
      <c r="D154" s="2" t="inlineStr">
        <is>
          <t>Sliding Window - Sliding Window</t>
        </is>
      </c>
      <c r="E154" s="2" t="n">
        <v>19</v>
      </c>
      <c r="F154" s="2" t="inlineStr">
        <is>
          <t>Finding the Subarray with Minimum Sum of Size K</t>
        </is>
      </c>
      <c r="G154" s="2" t="inlineStr">
        <is>
          <t>SLDW0105</t>
        </is>
      </c>
      <c r="H154" s="2" t="inlineStr"/>
      <c r="I154" s="2" t="inlineStr">
        <is>
          <t>Medium</t>
        </is>
      </c>
      <c r="J154" s="3">
        <f>HYPERLINK("https://www.codechef.com/problems/SLDW0105", "https://www.codechef.com/problems/SLDW0105")</f>
        <v/>
      </c>
      <c r="K154" s="2" t="inlineStr"/>
      <c r="L154" s="2" t="inlineStr"/>
      <c r="M154" s="2" t="inlineStr"/>
      <c r="N154" s="2" t="inlineStr">
        <is>
          <t>No</t>
        </is>
      </c>
      <c r="O154" s="2" t="inlineStr">
        <is>
          <t>Unattempted</t>
        </is>
      </c>
    </row>
    <row r="155">
      <c r="A155" s="4" t="inlineStr">
        <is>
          <t>Algorithms</t>
        </is>
      </c>
      <c r="B155" s="4" t="inlineStr">
        <is>
          <t>Two Pointers and Sliding Window Technique</t>
        </is>
      </c>
      <c r="C155" s="4" t="inlineStr">
        <is>
          <t>The two pointer and sliding window techniques are widely used algorithmic approach in computer science and programming. It is used to solve problems that can be efficiently solved by maintaining two positions or indices in a sequence or array.</t>
        </is>
      </c>
      <c r="D155" s="4" t="inlineStr">
        <is>
          <t>Sliding Window - Sliding Window</t>
        </is>
      </c>
      <c r="E155" s="4" t="n">
        <v>20</v>
      </c>
      <c r="F155" s="4" t="inlineStr">
        <is>
          <t>K Sum</t>
        </is>
      </c>
      <c r="G155" s="4" t="inlineStr">
        <is>
          <t>DSCPPAS278B</t>
        </is>
      </c>
      <c r="H155" s="4" t="inlineStr"/>
      <c r="I155" s="4" t="inlineStr">
        <is>
          <t>Medium</t>
        </is>
      </c>
      <c r="J155" s="5">
        <f>HYPERLINK("https://www.codechef.com/problems/DSCPPAS278B", "https://www.codechef.com/problems/DSCPPAS278B")</f>
        <v/>
      </c>
      <c r="K155" s="4" t="inlineStr"/>
      <c r="L155" s="4" t="inlineStr"/>
      <c r="M155" s="4" t="inlineStr"/>
      <c r="N155" s="4" t="inlineStr">
        <is>
          <t>No</t>
        </is>
      </c>
      <c r="O155" s="4" t="inlineStr">
        <is>
          <t>Unattempted</t>
        </is>
      </c>
    </row>
    <row r="156">
      <c r="A156" s="2" t="inlineStr">
        <is>
          <t>Algorithms</t>
        </is>
      </c>
      <c r="B156" s="2" t="inlineStr">
        <is>
          <t>Two Pointers and Sliding Window Technique</t>
        </is>
      </c>
      <c r="C156" s="2" t="inlineStr">
        <is>
          <t>The two pointer and sliding window techniques are widely used algorithmic approach in computer science and programming. It is used to solve problems that can be efficiently solved by maintaining two positions or indices in a sequence or array.</t>
        </is>
      </c>
      <c r="D156" s="2" t="inlineStr">
        <is>
          <t>Sliding Window - Sliding Window</t>
        </is>
      </c>
      <c r="E156" s="2" t="n">
        <v>21</v>
      </c>
      <c r="F156" s="2" t="inlineStr">
        <is>
          <t>Longest Substring Without Repeating Characters</t>
        </is>
      </c>
      <c r="G156" s="2" t="inlineStr">
        <is>
          <t>SLDW0103</t>
        </is>
      </c>
      <c r="H156" s="2" t="inlineStr">
        <is>
          <t>932</t>
        </is>
      </c>
      <c r="I156" s="2" t="inlineStr">
        <is>
          <t>Easy</t>
        </is>
      </c>
      <c r="J156" s="3">
        <f>HYPERLINK("https://www.codechef.com/problems/SLDW0103", "https://www.codechef.com/problems/SLDW0103")</f>
        <v/>
      </c>
      <c r="K156" s="2" t="inlineStr"/>
      <c r="L156" s="2" t="inlineStr"/>
      <c r="M156" s="2" t="inlineStr"/>
      <c r="N156" s="2" t="inlineStr">
        <is>
          <t>No</t>
        </is>
      </c>
      <c r="O156" s="2" t="inlineStr">
        <is>
          <t>Unattempted</t>
        </is>
      </c>
    </row>
    <row r="157">
      <c r="A157" s="4" t="inlineStr">
        <is>
          <t>Algorithms</t>
        </is>
      </c>
      <c r="B157" s="4" t="inlineStr">
        <is>
          <t>Two Pointers and Sliding Window Technique</t>
        </is>
      </c>
      <c r="C157" s="4" t="inlineStr">
        <is>
          <t>The two pointer and sliding window techniques are widely used algorithmic approach in computer science and programming. It is used to solve problems that can be efficiently solved by maintaining two positions or indices in a sequence or array.</t>
        </is>
      </c>
      <c r="D157" s="4" t="inlineStr">
        <is>
          <t>Sliding Window - Sliding Window</t>
        </is>
      </c>
      <c r="E157" s="4" t="n">
        <v>22</v>
      </c>
      <c r="F157" s="4" t="inlineStr">
        <is>
          <t>Special Substring</t>
        </is>
      </c>
      <c r="G157" s="4" t="inlineStr">
        <is>
          <t>SLDW0104</t>
        </is>
      </c>
      <c r="H157" s="4" t="inlineStr">
        <is>
          <t>1400</t>
        </is>
      </c>
      <c r="I157" s="4" t="inlineStr">
        <is>
          <t>Medium</t>
        </is>
      </c>
      <c r="J157" s="5">
        <f>HYPERLINK("https://www.codechef.com/problems/SLDW0104", "https://www.codechef.com/problems/SLDW0104")</f>
        <v/>
      </c>
      <c r="K157" s="4" t="inlineStr"/>
      <c r="L157" s="4" t="inlineStr"/>
      <c r="M157" s="4" t="inlineStr"/>
      <c r="N157" s="4" t="inlineStr">
        <is>
          <t>No</t>
        </is>
      </c>
      <c r="O157" s="4" t="inlineStr">
        <is>
          <t>Unattempted</t>
        </is>
      </c>
    </row>
    <row r="158">
      <c r="A158" s="2" t="inlineStr">
        <is>
          <t>Algorithms</t>
        </is>
      </c>
      <c r="B158" s="2" t="inlineStr">
        <is>
          <t>Two Pointers and Sliding Window Technique</t>
        </is>
      </c>
      <c r="C158" s="2" t="inlineStr">
        <is>
          <t>The two pointer and sliding window techniques are widely used algorithmic approach in computer science and programming. It is used to solve problems that can be efficiently solved by maintaining two positions or indices in a sequence or array.</t>
        </is>
      </c>
      <c r="D158" s="2" t="inlineStr">
        <is>
          <t>Sliding Window - Sliding Window</t>
        </is>
      </c>
      <c r="E158" s="2" t="n">
        <v>23</v>
      </c>
      <c r="F158" s="2" t="inlineStr">
        <is>
          <t>Special Substring</t>
        </is>
      </c>
      <c r="G158" s="2" t="inlineStr">
        <is>
          <t>SPSBTR</t>
        </is>
      </c>
      <c r="H158" s="2" t="inlineStr">
        <is>
          <t>1400</t>
        </is>
      </c>
      <c r="I158" s="2" t="inlineStr">
        <is>
          <t>Medium</t>
        </is>
      </c>
      <c r="J158" s="3">
        <f>HYPERLINK("https://www.codechef.com/problems/SPSBTR", "https://www.codechef.com/problems/SPSBTR")</f>
        <v/>
      </c>
      <c r="K158" s="2" t="inlineStr"/>
      <c r="L158" s="2" t="inlineStr"/>
      <c r="M158" s="2" t="inlineStr"/>
      <c r="N158" s="2" t="inlineStr">
        <is>
          <t>No</t>
        </is>
      </c>
      <c r="O158" s="2" t="inlineStr">
        <is>
          <t>Unattempted</t>
        </is>
      </c>
    </row>
    <row r="159">
      <c r="A159" s="4" t="inlineStr">
        <is>
          <t>Algorithms</t>
        </is>
      </c>
      <c r="B159" s="4" t="inlineStr">
        <is>
          <t>Two Pointers and Sliding Window Technique</t>
        </is>
      </c>
      <c r="C159" s="4" t="inlineStr">
        <is>
          <t>The two pointer and sliding window techniques are widely used algorithmic approach in computer science and programming. It is used to solve problems that can be efficiently solved by maintaining two positions or indices in a sequence or array.</t>
        </is>
      </c>
      <c r="D159" s="4" t="inlineStr">
        <is>
          <t>Sliding Window - Sliding Window</t>
        </is>
      </c>
      <c r="E159" s="4" t="n">
        <v>24</v>
      </c>
      <c r="F159" s="4" t="inlineStr">
        <is>
          <t>Put fruits into basket</t>
        </is>
      </c>
      <c r="G159" s="4" t="inlineStr">
        <is>
          <t>FRUITBASKET</t>
        </is>
      </c>
      <c r="H159" s="4" t="inlineStr"/>
      <c r="I159" s="4" t="inlineStr">
        <is>
          <t>Medium</t>
        </is>
      </c>
      <c r="J159" s="5">
        <f>HYPERLINK("https://www.codechef.com/problems/FRUITBASKET", "https://www.codechef.com/problems/FRUITBASKET")</f>
        <v/>
      </c>
      <c r="K159" s="4" t="inlineStr"/>
      <c r="L159" s="4" t="inlineStr"/>
      <c r="M159" s="4" t="inlineStr"/>
      <c r="N159" s="4" t="inlineStr">
        <is>
          <t>No</t>
        </is>
      </c>
      <c r="O159" s="4" t="inlineStr">
        <is>
          <t>Unattempted</t>
        </is>
      </c>
    </row>
    <row r="160">
      <c r="A160" s="2" t="inlineStr">
        <is>
          <t>Algorithms</t>
        </is>
      </c>
      <c r="B160" s="2" t="inlineStr">
        <is>
          <t>Two Pointers and Sliding Window Technique</t>
        </is>
      </c>
      <c r="C160" s="2" t="inlineStr">
        <is>
          <t>The two pointer and sliding window techniques are widely used algorithmic approach in computer science and programming. It is used to solve problems that can be efficiently solved by maintaining two positions or indices in a sequence or array.</t>
        </is>
      </c>
      <c r="D160" s="2" t="inlineStr">
        <is>
          <t>Sliding Window - Sliding Window</t>
        </is>
      </c>
      <c r="E160" s="2" t="n">
        <v>25</v>
      </c>
      <c r="F160" s="2" t="inlineStr">
        <is>
          <t>Subarray with 0, 1, 2</t>
        </is>
      </c>
      <c r="G160" s="2" t="inlineStr">
        <is>
          <t>DSCPPAS275</t>
        </is>
      </c>
      <c r="H160" s="2" t="inlineStr"/>
      <c r="I160" s="2" t="inlineStr">
        <is>
          <t>Medium</t>
        </is>
      </c>
      <c r="J160" s="3">
        <f>HYPERLINK("https://www.codechef.com/problems/DSCPPAS275", "https://www.codechef.com/problems/DSCPPAS275")</f>
        <v/>
      </c>
      <c r="K160" s="2" t="inlineStr"/>
      <c r="L160" s="2" t="inlineStr"/>
      <c r="M160" s="2" t="inlineStr"/>
      <c r="N160" s="2" t="inlineStr">
        <is>
          <t>No</t>
        </is>
      </c>
      <c r="O160" s="2" t="inlineStr">
        <is>
          <t>Unattempted</t>
        </is>
      </c>
    </row>
    <row r="161">
      <c r="A161" s="4" t="inlineStr">
        <is>
          <t>Algorithms</t>
        </is>
      </c>
      <c r="B161" s="4" t="inlineStr">
        <is>
          <t>Two Pointers and Sliding Window Technique</t>
        </is>
      </c>
      <c r="C161" s="4" t="inlineStr">
        <is>
          <t>The two pointer and sliding window techniques are widely used algorithmic approach in computer science and programming. It is used to solve problems that can be efficiently solved by maintaining two positions or indices in a sequence or array.</t>
        </is>
      </c>
      <c r="D161" s="4" t="inlineStr">
        <is>
          <t>Sliding Window - Sliding Window</t>
        </is>
      </c>
      <c r="E161" s="4" t="n">
        <v>26</v>
      </c>
      <c r="F161" s="4" t="inlineStr">
        <is>
          <t>Maximum Unique Segment</t>
        </is>
      </c>
      <c r="G161" s="4" t="inlineStr">
        <is>
          <t>MAXSEGM</t>
        </is>
      </c>
      <c r="H161" s="4" t="inlineStr">
        <is>
          <t>1791</t>
        </is>
      </c>
      <c r="I161" s="4" t="inlineStr">
        <is>
          <t>Medium</t>
        </is>
      </c>
      <c r="J161" s="5">
        <f>HYPERLINK("https://www.codechef.com/problems/MAXSEGM", "https://www.codechef.com/problems/MAXSEGM")</f>
        <v/>
      </c>
      <c r="K161" s="4" t="inlineStr"/>
      <c r="L161" s="4" t="inlineStr">
        <is>
          <t>1D Arrays, Algorithms, Arrays, Data Structures, Simple Algos, Two pointers</t>
        </is>
      </c>
      <c r="M161" s="4" t="inlineStr"/>
      <c r="N161" s="4" t="inlineStr">
        <is>
          <t>No</t>
        </is>
      </c>
      <c r="O161" s="4" t="inlineStr">
        <is>
          <t>Unattempted</t>
        </is>
      </c>
    </row>
    <row r="162">
      <c r="A162" s="2" t="inlineStr">
        <is>
          <t>Algorithms</t>
        </is>
      </c>
      <c r="B162" s="2" t="inlineStr">
        <is>
          <t>Two Pointers and Sliding Window Technique</t>
        </is>
      </c>
      <c r="C162" s="2" t="inlineStr">
        <is>
          <t>The two pointer and sliding window techniques are widely used algorithmic approach in computer science and programming. It is used to solve problems that can be efficiently solved by maintaining two positions or indices in a sequence or array.</t>
        </is>
      </c>
      <c r="D162" s="2" t="inlineStr">
        <is>
          <t>Sliding Window - Sliding Window</t>
        </is>
      </c>
      <c r="E162" s="2" t="n">
        <v>27</v>
      </c>
      <c r="F162" s="2" t="inlineStr">
        <is>
          <t>Minimum Similar Substring</t>
        </is>
      </c>
      <c r="G162" s="2" t="inlineStr">
        <is>
          <t>MINSIM</t>
        </is>
      </c>
      <c r="H162" s="2" t="inlineStr">
        <is>
          <t>1500</t>
        </is>
      </c>
      <c r="I162" s="2" t="inlineStr">
        <is>
          <t>Medium</t>
        </is>
      </c>
      <c r="J162" s="3">
        <f>HYPERLINK("https://www.codechef.com/problems/MINSIM", "https://www.codechef.com/problems/MINSIM")</f>
        <v/>
      </c>
      <c r="K162" s="2" t="inlineStr"/>
      <c r="L162" s="2" t="inlineStr"/>
      <c r="M162" s="2" t="inlineStr"/>
      <c r="N162" s="2" t="inlineStr">
        <is>
          <t>No</t>
        </is>
      </c>
      <c r="O162" s="2" t="inlineStr">
        <is>
          <t>Unattempted</t>
        </is>
      </c>
    </row>
    <row r="163">
      <c r="A163" s="4" t="inlineStr">
        <is>
          <t>Algorithms</t>
        </is>
      </c>
      <c r="B163" s="4" t="inlineStr">
        <is>
          <t>Two Pointers and Sliding Window Technique</t>
        </is>
      </c>
      <c r="C163" s="4" t="inlineStr">
        <is>
          <t>The two pointer and sliding window techniques are widely used algorithmic approach in computer science and programming. It is used to solve problems that can be efficiently solved by maintaining two positions or indices in a sequence or array.</t>
        </is>
      </c>
      <c r="D163" s="4" t="inlineStr">
        <is>
          <t>Sliding Window - Sliding Window</t>
        </is>
      </c>
      <c r="E163" s="4" t="n">
        <v>28</v>
      </c>
      <c r="F163" s="4" t="inlineStr">
        <is>
          <t>Asymmetric Swaps</t>
        </is>
      </c>
      <c r="G163" s="4" t="inlineStr">
        <is>
          <t>ARRSWAP</t>
        </is>
      </c>
      <c r="H163" s="4" t="inlineStr">
        <is>
          <t>1230</t>
        </is>
      </c>
      <c r="I163" s="4" t="inlineStr">
        <is>
          <t>Easy</t>
        </is>
      </c>
      <c r="J163" s="5">
        <f>HYPERLINK("https://www.codechef.com/problems/ARRSWAP", "https://www.codechef.com/problems/ARRSWAP")</f>
        <v/>
      </c>
      <c r="K163" s="4" t="inlineStr"/>
      <c r="L163" s="4" t="inlineStr">
        <is>
          <t>Algorithms, Arrays, Data Structures, Simple Algos, Sorting, Two pointers</t>
        </is>
      </c>
      <c r="M163" s="4" t="inlineStr"/>
      <c r="N163" s="4" t="inlineStr">
        <is>
          <t>No</t>
        </is>
      </c>
      <c r="O163" s="4" t="inlineStr">
        <is>
          <t>Unattempted</t>
        </is>
      </c>
    </row>
    <row r="164">
      <c r="A164" s="2" t="inlineStr">
        <is>
          <t>Algorithms</t>
        </is>
      </c>
      <c r="B164" s="2" t="inlineStr">
        <is>
          <t>Two Pointers and Sliding Window Technique</t>
        </is>
      </c>
      <c r="C164" s="2" t="inlineStr">
        <is>
          <t>The two pointer and sliding window techniques are widely used algorithmic approach in computer science and programming. It is used to solve problems that can be efficiently solved by maintaining two positions or indices in a sequence or array.</t>
        </is>
      </c>
      <c r="D164" s="2" t="inlineStr">
        <is>
          <t>Sliding Window - Sliding Window</t>
        </is>
      </c>
      <c r="E164" s="2" t="n">
        <v>29</v>
      </c>
      <c r="F164" s="2" t="inlineStr">
        <is>
          <t>Subarray with k distinct number</t>
        </is>
      </c>
      <c r="G164" s="2" t="inlineStr">
        <is>
          <t>KSUBARRAYS</t>
        </is>
      </c>
      <c r="H164" s="2" t="inlineStr"/>
      <c r="I164" s="2" t="inlineStr">
        <is>
          <t>Hard</t>
        </is>
      </c>
      <c r="J164" s="3">
        <f>HYPERLINK("https://www.codechef.com/problems/KSUBARRAYS", "https://www.codechef.com/problems/KSUBARRAYS")</f>
        <v/>
      </c>
      <c r="K164" s="2" t="inlineStr"/>
      <c r="L164" s="2" t="inlineStr">
        <is>
          <t>abhay_1006</t>
        </is>
      </c>
      <c r="M164" s="2" t="inlineStr"/>
      <c r="N164" s="2" t="inlineStr">
        <is>
          <t>No</t>
        </is>
      </c>
      <c r="O164" s="2" t="inlineStr">
        <is>
          <t>Unattempted</t>
        </is>
      </c>
    </row>
    <row r="165">
      <c r="A165" s="4" t="inlineStr">
        <is>
          <t>Algorithms</t>
        </is>
      </c>
      <c r="B165" s="4" t="inlineStr">
        <is>
          <t>Bit manipulation</t>
        </is>
      </c>
      <c r="C165" s="4" t="inlineStr">
        <is>
          <t>Learn bitwise operations, practice with 35+ problems, and improve your DSA skills. Explore our guide to bit manipulation in various programming languages.</t>
        </is>
      </c>
      <c r="D165" s="4" t="inlineStr">
        <is>
          <t>Bit manipulation - Educational problems</t>
        </is>
      </c>
      <c r="E165" s="4" t="n">
        <v>1</v>
      </c>
      <c r="F165" s="4" t="inlineStr">
        <is>
          <t>And, OR, XOR</t>
        </is>
      </c>
      <c r="G165" s="4" t="inlineStr">
        <is>
          <t>BITMEDU1</t>
        </is>
      </c>
      <c r="H165" s="4" t="inlineStr"/>
      <c r="I165" s="4" t="inlineStr">
        <is>
          <t>Easy</t>
        </is>
      </c>
      <c r="J165" s="5">
        <f>HYPERLINK("https://www.codechef.com/problems/BITMEDU1", "https://www.codechef.com/problems/BITMEDU1")</f>
        <v/>
      </c>
      <c r="K165" s="4" t="inlineStr"/>
      <c r="L165" s="4" t="inlineStr"/>
      <c r="M165" s="4" t="inlineStr"/>
      <c r="N165" s="4" t="inlineStr">
        <is>
          <t>No</t>
        </is>
      </c>
      <c r="O165" s="4" t="inlineStr">
        <is>
          <t>Unattempted</t>
        </is>
      </c>
    </row>
    <row r="166">
      <c r="A166" s="2" t="inlineStr">
        <is>
          <t>Algorithms</t>
        </is>
      </c>
      <c r="B166" s="2" t="inlineStr">
        <is>
          <t>Bit manipulation</t>
        </is>
      </c>
      <c r="C166" s="2" t="inlineStr">
        <is>
          <t>Learn bitwise operations, practice with 35+ problems, and improve your DSA skills. Explore our guide to bit manipulation in various programming languages.</t>
        </is>
      </c>
      <c r="D166" s="2" t="inlineStr">
        <is>
          <t>Bit manipulation - Educational problems</t>
        </is>
      </c>
      <c r="E166" s="2" t="n">
        <v>2</v>
      </c>
      <c r="F166" s="2" t="inlineStr">
        <is>
          <t>Decimal to binary</t>
        </is>
      </c>
      <c r="G166" s="2" t="inlineStr">
        <is>
          <t>BITMEDU6</t>
        </is>
      </c>
      <c r="H166" s="2" t="inlineStr"/>
      <c r="I166" s="2" t="inlineStr">
        <is>
          <t>Easy</t>
        </is>
      </c>
      <c r="J166" s="3">
        <f>HYPERLINK("https://www.codechef.com/problems/BITMEDU6", "https://www.codechef.com/problems/BITMEDU6")</f>
        <v/>
      </c>
      <c r="K166" s="2" t="inlineStr"/>
      <c r="L166" s="2" t="inlineStr"/>
      <c r="M166" s="2" t="inlineStr"/>
      <c r="N166" s="2" t="inlineStr">
        <is>
          <t>No</t>
        </is>
      </c>
      <c r="O166" s="2" t="inlineStr">
        <is>
          <t>Unattempted</t>
        </is>
      </c>
    </row>
    <row r="167">
      <c r="A167" s="4" t="inlineStr">
        <is>
          <t>Algorithms</t>
        </is>
      </c>
      <c r="B167" s="4" t="inlineStr">
        <is>
          <t>Bit manipulation</t>
        </is>
      </c>
      <c r="C167" s="4" t="inlineStr">
        <is>
          <t>Learn bitwise operations, practice with 35+ problems, and improve your DSA skills. Explore our guide to bit manipulation in various programming languages.</t>
        </is>
      </c>
      <c r="D167" s="4" t="inlineStr">
        <is>
          <t>Bit manipulation - Educational problems</t>
        </is>
      </c>
      <c r="E167" s="4" t="n">
        <v>3</v>
      </c>
      <c r="F167" s="4" t="inlineStr">
        <is>
          <t>Left shift, Right shift</t>
        </is>
      </c>
      <c r="G167" s="4" t="inlineStr">
        <is>
          <t>BITMEDU3</t>
        </is>
      </c>
      <c r="H167" s="4" t="inlineStr"/>
      <c r="I167" s="4" t="inlineStr">
        <is>
          <t>Easy</t>
        </is>
      </c>
      <c r="J167" s="5">
        <f>HYPERLINK("https://www.codechef.com/problems/BITMEDU3", "https://www.codechef.com/problems/BITMEDU3")</f>
        <v/>
      </c>
      <c r="K167" s="4" t="inlineStr"/>
      <c r="L167" s="4" t="inlineStr"/>
      <c r="M167" s="4" t="inlineStr"/>
      <c r="N167" s="4" t="inlineStr">
        <is>
          <t>No</t>
        </is>
      </c>
      <c r="O167" s="4" t="inlineStr">
        <is>
          <t>Unattempted</t>
        </is>
      </c>
    </row>
    <row r="168">
      <c r="A168" s="2" t="inlineStr">
        <is>
          <t>Algorithms</t>
        </is>
      </c>
      <c r="B168" s="2" t="inlineStr">
        <is>
          <t>Bit manipulation</t>
        </is>
      </c>
      <c r="C168" s="2" t="inlineStr">
        <is>
          <t>Learn bitwise operations, practice with 35+ problems, and improve your DSA skills. Explore our guide to bit manipulation in various programming languages.</t>
        </is>
      </c>
      <c r="D168" s="2" t="inlineStr">
        <is>
          <t>Bit manipulation - Educational problems</t>
        </is>
      </c>
      <c r="E168" s="2" t="n">
        <v>4</v>
      </c>
      <c r="F168" s="2" t="inlineStr">
        <is>
          <t>Least significant bit, and most significant bit</t>
        </is>
      </c>
      <c r="G168" s="2" t="inlineStr">
        <is>
          <t>BITMEDU4</t>
        </is>
      </c>
      <c r="H168" s="2" t="inlineStr"/>
      <c r="I168" s="2" t="inlineStr">
        <is>
          <t>Medium</t>
        </is>
      </c>
      <c r="J168" s="3">
        <f>HYPERLINK("https://www.codechef.com/problems/BITMEDU4", "https://www.codechef.com/problems/BITMEDU4")</f>
        <v/>
      </c>
      <c r="K168" s="2" t="inlineStr"/>
      <c r="L168" s="2" t="inlineStr"/>
      <c r="M168" s="2" t="inlineStr"/>
      <c r="N168" s="2" t="inlineStr">
        <is>
          <t>No</t>
        </is>
      </c>
      <c r="O168" s="2" t="inlineStr">
        <is>
          <t>Unattempted</t>
        </is>
      </c>
    </row>
    <row r="169">
      <c r="A169" s="4" t="inlineStr">
        <is>
          <t>Algorithms</t>
        </is>
      </c>
      <c r="B169" s="4" t="inlineStr">
        <is>
          <t>Bit manipulation</t>
        </is>
      </c>
      <c r="C169" s="4" t="inlineStr">
        <is>
          <t>Learn bitwise operations, practice with 35+ problems, and improve your DSA skills. Explore our guide to bit manipulation in various programming languages.</t>
        </is>
      </c>
      <c r="D169" s="4" t="inlineStr">
        <is>
          <t>Bit manipulation - Educational problems</t>
        </is>
      </c>
      <c r="E169" s="4" t="n">
        <v>5</v>
      </c>
      <c r="F169" s="4" t="inlineStr">
        <is>
          <t>Finding least significant, most significant bit</t>
        </is>
      </c>
      <c r="G169" s="4" t="inlineStr">
        <is>
          <t>BITMEDU7</t>
        </is>
      </c>
      <c r="H169" s="4" t="inlineStr"/>
      <c r="I169" s="4" t="inlineStr">
        <is>
          <t>Easy</t>
        </is>
      </c>
      <c r="J169" s="5">
        <f>HYPERLINK("https://www.codechef.com/problems/BITMEDU7", "https://www.codechef.com/problems/BITMEDU7")</f>
        <v/>
      </c>
      <c r="K169" s="4" t="inlineStr"/>
      <c r="L169" s="4" t="inlineStr"/>
      <c r="M169" s="4" t="inlineStr"/>
      <c r="N169" s="4" t="inlineStr">
        <is>
          <t>No</t>
        </is>
      </c>
      <c r="O169" s="4" t="inlineStr">
        <is>
          <t>Unattempted</t>
        </is>
      </c>
    </row>
    <row r="170">
      <c r="A170" s="2" t="inlineStr">
        <is>
          <t>Algorithms</t>
        </is>
      </c>
      <c r="B170" s="2" t="inlineStr">
        <is>
          <t>Bit manipulation</t>
        </is>
      </c>
      <c r="C170" s="2" t="inlineStr">
        <is>
          <t>Learn bitwise operations, practice with 35+ problems, and improve your DSA skills. Explore our guide to bit manipulation in various programming languages.</t>
        </is>
      </c>
      <c r="D170" s="2" t="inlineStr">
        <is>
          <t>Bit manipulation - Educational problems</t>
        </is>
      </c>
      <c r="E170" s="2" t="n">
        <v>6</v>
      </c>
      <c r="F170" s="2" t="inlineStr">
        <is>
          <t>How to set, unset, flip a bit</t>
        </is>
      </c>
      <c r="G170" s="2" t="inlineStr">
        <is>
          <t>BITMEDU2</t>
        </is>
      </c>
      <c r="H170" s="2" t="inlineStr"/>
      <c r="I170" s="2" t="inlineStr">
        <is>
          <t>Easy</t>
        </is>
      </c>
      <c r="J170" s="3">
        <f>HYPERLINK("https://www.codechef.com/problems/BITMEDU2", "https://www.codechef.com/problems/BITMEDU2")</f>
        <v/>
      </c>
      <c r="K170" s="2" t="inlineStr"/>
      <c r="L170" s="2" t="inlineStr"/>
      <c r="M170" s="2" t="inlineStr"/>
      <c r="N170" s="2" t="inlineStr">
        <is>
          <t>No</t>
        </is>
      </c>
      <c r="O170" s="2" t="inlineStr">
        <is>
          <t>Unattempted</t>
        </is>
      </c>
    </row>
    <row r="171">
      <c r="A171" s="4" t="inlineStr">
        <is>
          <t>Algorithms</t>
        </is>
      </c>
      <c r="B171" s="4" t="inlineStr">
        <is>
          <t>Bit manipulation</t>
        </is>
      </c>
      <c r="C171" s="4" t="inlineStr">
        <is>
          <t>Learn bitwise operations, practice with 35+ problems, and improve your DSA skills. Explore our guide to bit manipulation in various programming languages.</t>
        </is>
      </c>
      <c r="D171" s="4" t="inlineStr">
        <is>
          <t>Bit manipulation - Educational problems</t>
        </is>
      </c>
      <c r="E171" s="4" t="n">
        <v>7</v>
      </c>
      <c r="F171" s="4" t="inlineStr">
        <is>
          <t>Count of set bits</t>
        </is>
      </c>
      <c r="G171" s="4" t="inlineStr">
        <is>
          <t>BITMEDU5</t>
        </is>
      </c>
      <c r="H171" s="4" t="inlineStr"/>
      <c r="I171" s="4" t="inlineStr">
        <is>
          <t>Easy</t>
        </is>
      </c>
      <c r="J171" s="5">
        <f>HYPERLINK("https://www.codechef.com/problems/BITMEDU5", "https://www.codechef.com/problems/BITMEDU5")</f>
        <v/>
      </c>
      <c r="K171" s="4" t="inlineStr"/>
      <c r="L171" s="4" t="inlineStr"/>
      <c r="M171" s="4" t="inlineStr"/>
      <c r="N171" s="4" t="inlineStr">
        <is>
          <t>No</t>
        </is>
      </c>
      <c r="O171" s="4" t="inlineStr">
        <is>
          <t>Unattempted</t>
        </is>
      </c>
    </row>
    <row r="172">
      <c r="A172" s="2" t="inlineStr">
        <is>
          <t>Algorithms</t>
        </is>
      </c>
      <c r="B172" s="2" t="inlineStr">
        <is>
          <t>Bit manipulation</t>
        </is>
      </c>
      <c r="C172" s="2" t="inlineStr">
        <is>
          <t>Learn bitwise operations, practice with 35+ problems, and improve your DSA skills. Explore our guide to bit manipulation in various programming languages.</t>
        </is>
      </c>
      <c r="D172" s="2" t="inlineStr">
        <is>
          <t>Bit manipulation - Educational problems</t>
        </is>
      </c>
      <c r="E172" s="2" t="n">
        <v>8</v>
      </c>
      <c r="F172" s="2" t="inlineStr">
        <is>
          <t>Is the i-th bit set</t>
        </is>
      </c>
      <c r="G172" s="2" t="inlineStr">
        <is>
          <t>ITHBITSET</t>
        </is>
      </c>
      <c r="H172" s="2" t="inlineStr"/>
      <c r="I172" s="2" t="inlineStr">
        <is>
          <t>Easy</t>
        </is>
      </c>
      <c r="J172" s="3">
        <f>HYPERLINK("https://www.codechef.com/problems/ITHBITSET", "https://www.codechef.com/problems/ITHBITSET")</f>
        <v/>
      </c>
      <c r="K172" s="2" t="inlineStr"/>
      <c r="L172" s="2" t="inlineStr">
        <is>
          <t>abhay_1006</t>
        </is>
      </c>
      <c r="M172" s="2" t="inlineStr"/>
      <c r="N172" s="2" t="inlineStr">
        <is>
          <t>No</t>
        </is>
      </c>
      <c r="O172" s="2" t="inlineStr">
        <is>
          <t>Unattempted</t>
        </is>
      </c>
    </row>
    <row r="173">
      <c r="A173" s="4" t="inlineStr">
        <is>
          <t>Algorithms</t>
        </is>
      </c>
      <c r="B173" s="4" t="inlineStr">
        <is>
          <t>Bit manipulation</t>
        </is>
      </c>
      <c r="C173" s="4" t="inlineStr">
        <is>
          <t>Learn bitwise operations, practice with 35+ problems, and improve your DSA skills. Explore our guide to bit manipulation in various programming languages.</t>
        </is>
      </c>
      <c r="D173" s="4" t="inlineStr">
        <is>
          <t>Bit manipulation - Educational problems</t>
        </is>
      </c>
      <c r="E173" s="4" t="n">
        <v>9</v>
      </c>
      <c r="F173" s="4" t="inlineStr">
        <is>
          <t>Bit Manipulation - Reverse Bits</t>
        </is>
      </c>
      <c r="G173" s="4" t="inlineStr">
        <is>
          <t>PREP46</t>
        </is>
      </c>
      <c r="H173" s="4" t="inlineStr"/>
      <c r="I173" s="4" t="inlineStr">
        <is>
          <t>Medium</t>
        </is>
      </c>
      <c r="J173" s="5">
        <f>HYPERLINK("https://www.codechef.com/problems/PREP46", "https://www.codechef.com/problems/PREP46")</f>
        <v/>
      </c>
      <c r="K173" s="4" t="inlineStr"/>
      <c r="L173" s="4" t="inlineStr"/>
      <c r="M173" s="4" t="inlineStr"/>
      <c r="N173" s="4" t="inlineStr">
        <is>
          <t>No</t>
        </is>
      </c>
      <c r="O173" s="4" t="inlineStr">
        <is>
          <t>Unattempted</t>
        </is>
      </c>
    </row>
    <row r="174">
      <c r="A174" s="2" t="inlineStr">
        <is>
          <t>Algorithms</t>
        </is>
      </c>
      <c r="B174" s="2" t="inlineStr">
        <is>
          <t>Bit manipulation</t>
        </is>
      </c>
      <c r="C174" s="2" t="inlineStr">
        <is>
          <t>Learn bitwise operations, practice with 35+ problems, and improve your DSA skills. Explore our guide to bit manipulation in various programming languages.</t>
        </is>
      </c>
      <c r="D174" s="2" t="inlineStr">
        <is>
          <t>Bit manipulation - Educational problems</t>
        </is>
      </c>
      <c r="E174" s="2" t="n">
        <v>10</v>
      </c>
      <c r="F174" s="2" t="inlineStr">
        <is>
          <t>Chef Checks Power</t>
        </is>
      </c>
      <c r="G174" s="2" t="inlineStr">
        <is>
          <t>XHHAP01</t>
        </is>
      </c>
      <c r="H174" s="2" t="inlineStr"/>
      <c r="I174" s="2" t="inlineStr">
        <is>
          <t>Medium</t>
        </is>
      </c>
      <c r="J174" s="3">
        <f>HYPERLINK("https://www.codechef.com/problems/XHHAP01", "https://www.codechef.com/problems/XHHAP01")</f>
        <v/>
      </c>
      <c r="K174" s="2" t="inlineStr"/>
      <c r="L174" s="2" t="inlineStr"/>
      <c r="M174" s="2" t="inlineStr"/>
      <c r="N174" s="2" t="inlineStr">
        <is>
          <t>No</t>
        </is>
      </c>
      <c r="O174" s="2" t="inlineStr">
        <is>
          <t>Unattempted</t>
        </is>
      </c>
    </row>
    <row r="175">
      <c r="A175" s="4" t="inlineStr">
        <is>
          <t>Algorithms</t>
        </is>
      </c>
      <c r="B175" s="4" t="inlineStr">
        <is>
          <t>Bit manipulation</t>
        </is>
      </c>
      <c r="C175" s="4" t="inlineStr">
        <is>
          <t>Learn bitwise operations, practice with 35+ problems, and improve your DSA skills. Explore our guide to bit manipulation in various programming languages.</t>
        </is>
      </c>
      <c r="D175" s="4" t="inlineStr">
        <is>
          <t>Bit manipulation - Educational problems</t>
        </is>
      </c>
      <c r="E175" s="4" t="n">
        <v>11</v>
      </c>
      <c r="F175" s="4" t="inlineStr">
        <is>
          <t>Bit Manipulation - Single Number</t>
        </is>
      </c>
      <c r="G175" s="4" t="inlineStr">
        <is>
          <t>PREP45</t>
        </is>
      </c>
      <c r="H175" s="4" t="inlineStr"/>
      <c r="I175" s="4" t="inlineStr">
        <is>
          <t>Medium</t>
        </is>
      </c>
      <c r="J175" s="5">
        <f>HYPERLINK("https://www.codechef.com/problems/PREP45", "https://www.codechef.com/problems/PREP45")</f>
        <v/>
      </c>
      <c r="K175" s="4" t="inlineStr"/>
      <c r="L175" s="4" t="inlineStr"/>
      <c r="M175" s="4" t="inlineStr"/>
      <c r="N175" s="4" t="inlineStr">
        <is>
          <t>No</t>
        </is>
      </c>
      <c r="O175" s="4" t="inlineStr">
        <is>
          <t>Unattempted</t>
        </is>
      </c>
    </row>
    <row r="176">
      <c r="A176" s="2" t="inlineStr">
        <is>
          <t>Algorithms</t>
        </is>
      </c>
      <c r="B176" s="2" t="inlineStr">
        <is>
          <t>Bit manipulation</t>
        </is>
      </c>
      <c r="C176" s="2" t="inlineStr">
        <is>
          <t>Learn bitwise operations, practice with 35+ problems, and improve your DSA skills. Explore our guide to bit manipulation in various programming languages.</t>
        </is>
      </c>
      <c r="D176" s="2" t="inlineStr">
        <is>
          <t>Bit manipulation - Bit manipulation practice</t>
        </is>
      </c>
      <c r="E176" s="2" t="n">
        <v>12</v>
      </c>
      <c r="F176" s="2" t="inlineStr">
        <is>
          <t>Xor Palindrome</t>
        </is>
      </c>
      <c r="G176" s="2" t="inlineStr">
        <is>
          <t>XORPAL</t>
        </is>
      </c>
      <c r="H176" s="2" t="inlineStr">
        <is>
          <t>1339</t>
        </is>
      </c>
      <c r="I176" s="2" t="inlineStr">
        <is>
          <t>Easy</t>
        </is>
      </c>
      <c r="J176" s="3">
        <f>HYPERLINK("https://www.codechef.com/problems/XORPAL", "https://www.codechef.com/problems/XORPAL")</f>
        <v/>
      </c>
      <c r="K176" s="2" t="inlineStr"/>
      <c r="L176" s="2" t="inlineStr"/>
      <c r="M176" s="2" t="inlineStr"/>
      <c r="N176" s="2" t="inlineStr">
        <is>
          <t>No</t>
        </is>
      </c>
      <c r="O176" s="2" t="inlineStr">
        <is>
          <t>Unattempted</t>
        </is>
      </c>
    </row>
    <row r="177">
      <c r="A177" s="4" t="inlineStr">
        <is>
          <t>Algorithms</t>
        </is>
      </c>
      <c r="B177" s="4" t="inlineStr">
        <is>
          <t>Bit manipulation</t>
        </is>
      </c>
      <c r="C177" s="4" t="inlineStr">
        <is>
          <t>Learn bitwise operations, practice with 35+ problems, and improve your DSA skills. Explore our guide to bit manipulation in various programming languages.</t>
        </is>
      </c>
      <c r="D177" s="4" t="inlineStr">
        <is>
          <t>Bit manipulation - Bit manipulation practice</t>
        </is>
      </c>
      <c r="E177" s="4" t="n">
        <v>13</v>
      </c>
      <c r="F177" s="4" t="inlineStr">
        <is>
          <t>Chef Finds Minimum Bit Flips to Convert Number</t>
        </is>
      </c>
      <c r="G177" s="4" t="inlineStr">
        <is>
          <t>CCWFS01</t>
        </is>
      </c>
      <c r="H177" s="4" t="inlineStr"/>
      <c r="I177" s="4" t="inlineStr">
        <is>
          <t>Easy</t>
        </is>
      </c>
      <c r="J177" s="5">
        <f>HYPERLINK("https://www.codechef.com/problems/CCWFS01", "https://www.codechef.com/problems/CCWFS01")</f>
        <v/>
      </c>
      <c r="K177" s="4" t="inlineStr"/>
      <c r="L177" s="4" t="inlineStr"/>
      <c r="M177" s="4" t="inlineStr"/>
      <c r="N177" s="4" t="inlineStr">
        <is>
          <t>No</t>
        </is>
      </c>
      <c r="O177" s="4" t="inlineStr">
        <is>
          <t>Unattempted</t>
        </is>
      </c>
    </row>
    <row r="178">
      <c r="A178" s="2" t="inlineStr">
        <is>
          <t>Algorithms</t>
        </is>
      </c>
      <c r="B178" s="2" t="inlineStr">
        <is>
          <t>Bit manipulation</t>
        </is>
      </c>
      <c r="C178" s="2" t="inlineStr">
        <is>
          <t>Learn bitwise operations, practice with 35+ problems, and improve your DSA skills. Explore our guide to bit manipulation in various programming languages.</t>
        </is>
      </c>
      <c r="D178" s="2" t="inlineStr">
        <is>
          <t>Bit manipulation - Bit manipulation practice</t>
        </is>
      </c>
      <c r="E178" s="2" t="n">
        <v>14</v>
      </c>
      <c r="F178" s="2" t="inlineStr">
        <is>
          <t>Xor Again</t>
        </is>
      </c>
      <c r="G178" s="2" t="inlineStr">
        <is>
          <t>XORAGN</t>
        </is>
      </c>
      <c r="H178" s="2" t="inlineStr">
        <is>
          <t>1334</t>
        </is>
      </c>
      <c r="I178" s="2" t="inlineStr">
        <is>
          <t>Easy</t>
        </is>
      </c>
      <c r="J178" s="3">
        <f>HYPERLINK("https://www.codechef.com/problems/XORAGN", "https://www.codechef.com/problems/XORAGN")</f>
        <v/>
      </c>
      <c r="K178" s="2" t="inlineStr"/>
      <c r="L178" s="2" t="inlineStr"/>
      <c r="M178" s="2" t="inlineStr"/>
      <c r="N178" s="2" t="inlineStr">
        <is>
          <t>No</t>
        </is>
      </c>
      <c r="O178" s="2" t="inlineStr">
        <is>
          <t>Unattempted</t>
        </is>
      </c>
    </row>
    <row r="179">
      <c r="A179" s="4" t="inlineStr">
        <is>
          <t>Algorithms</t>
        </is>
      </c>
      <c r="B179" s="4" t="inlineStr">
        <is>
          <t>Bit manipulation</t>
        </is>
      </c>
      <c r="C179" s="4" t="inlineStr">
        <is>
          <t>Learn bitwise operations, practice with 35+ problems, and improve your DSA skills. Explore our guide to bit manipulation in various programming languages.</t>
        </is>
      </c>
      <c r="D179" s="4" t="inlineStr">
        <is>
          <t>Bit manipulation - Bit manipulation practice</t>
        </is>
      </c>
      <c r="E179" s="4" t="n">
        <v>15</v>
      </c>
      <c r="F179" s="4" t="inlineStr">
        <is>
          <t>Playing with OR</t>
        </is>
      </c>
      <c r="G179" s="4" t="inlineStr">
        <is>
          <t>FIZZBUZZ2304</t>
        </is>
      </c>
      <c r="H179" s="4" t="inlineStr">
        <is>
          <t>1365</t>
        </is>
      </c>
      <c r="I179" s="4" t="inlineStr">
        <is>
          <t>Easy</t>
        </is>
      </c>
      <c r="J179" s="5">
        <f>HYPERLINK("https://www.codechef.com/problems/FIZZBUZZ2304", "https://www.codechef.com/problems/FIZZBUZZ2304")</f>
        <v/>
      </c>
      <c r="K179" s="4" t="inlineStr"/>
      <c r="L179" s="4" t="inlineStr">
        <is>
          <t>Algorithms, Bit Manipulation, Bitwise Operation, Mathematics, Simple Algos</t>
        </is>
      </c>
      <c r="M179" s="4" t="inlineStr"/>
      <c r="N179" s="4" t="inlineStr">
        <is>
          <t>No</t>
        </is>
      </c>
      <c r="O179" s="4" t="inlineStr">
        <is>
          <t>Unattempted</t>
        </is>
      </c>
    </row>
    <row r="180">
      <c r="A180" s="2" t="inlineStr">
        <is>
          <t>Algorithms</t>
        </is>
      </c>
      <c r="B180" s="2" t="inlineStr">
        <is>
          <t>Bit manipulation</t>
        </is>
      </c>
      <c r="C180" s="2" t="inlineStr">
        <is>
          <t>Learn bitwise operations, practice with 35+ problems, and improve your DSA skills. Explore our guide to bit manipulation in various programming languages.</t>
        </is>
      </c>
      <c r="D180" s="2" t="inlineStr">
        <is>
          <t>Bit manipulation - Bit manipulation practice</t>
        </is>
      </c>
      <c r="E180" s="2" t="n">
        <v>16</v>
      </c>
      <c r="F180" s="2" t="inlineStr">
        <is>
          <t>AND Plus OR</t>
        </is>
      </c>
      <c r="G180" s="2" t="inlineStr">
        <is>
          <t>ANDOR</t>
        </is>
      </c>
      <c r="H180" s="2" t="inlineStr">
        <is>
          <t>1151</t>
        </is>
      </c>
      <c r="I180" s="2" t="inlineStr">
        <is>
          <t>Easy</t>
        </is>
      </c>
      <c r="J180" s="3">
        <f>HYPERLINK("https://www.codechef.com/problems/ANDOR", "https://www.codechef.com/problems/ANDOR")</f>
        <v/>
      </c>
      <c r="K180" s="2" t="inlineStr"/>
      <c r="L180" s="2" t="inlineStr">
        <is>
          <t>Algorithms, Basic Math, Bit Manipulation, Bitwise Operation, Mathematics, Observation</t>
        </is>
      </c>
      <c r="M180" s="2" t="inlineStr"/>
      <c r="N180" s="2" t="inlineStr">
        <is>
          <t>No</t>
        </is>
      </c>
      <c r="O180" s="2" t="inlineStr">
        <is>
          <t>Unattempted</t>
        </is>
      </c>
    </row>
    <row r="181">
      <c r="A181" s="4" t="inlineStr">
        <is>
          <t>Algorithms</t>
        </is>
      </c>
      <c r="B181" s="4" t="inlineStr">
        <is>
          <t>Bit manipulation</t>
        </is>
      </c>
      <c r="C181" s="4" t="inlineStr">
        <is>
          <t>Learn bitwise operations, practice with 35+ problems, and improve your DSA skills. Explore our guide to bit manipulation in various programming languages.</t>
        </is>
      </c>
      <c r="D181" s="4" t="inlineStr">
        <is>
          <t>Bit manipulation - Bit manipulation practice</t>
        </is>
      </c>
      <c r="E181" s="4" t="n">
        <v>17</v>
      </c>
      <c r="F181" s="4" t="inlineStr">
        <is>
          <t>Ciel and Receipt</t>
        </is>
      </c>
      <c r="G181" s="4" t="inlineStr">
        <is>
          <t>CIELRCPT</t>
        </is>
      </c>
      <c r="H181" s="4" t="inlineStr">
        <is>
          <t>936</t>
        </is>
      </c>
      <c r="I181" s="4" t="inlineStr">
        <is>
          <t>Easy</t>
        </is>
      </c>
      <c r="J181" s="5">
        <f>HYPERLINK("https://www.codechef.com/problems/CIELRCPT", "https://www.codechef.com/problems/CIELRCPT")</f>
        <v/>
      </c>
      <c r="K181" s="4" t="inlineStr"/>
      <c r="L181" s="4" t="inlineStr">
        <is>
          <t>Algorithms, Bit Manipulation, Greedy, Mathematics</t>
        </is>
      </c>
      <c r="M181" s="4" t="inlineStr"/>
      <c r="N181" s="4" t="inlineStr">
        <is>
          <t>No</t>
        </is>
      </c>
      <c r="O181" s="4" t="inlineStr">
        <is>
          <t>Unattempted</t>
        </is>
      </c>
    </row>
    <row r="182">
      <c r="A182" s="2" t="inlineStr">
        <is>
          <t>Algorithms</t>
        </is>
      </c>
      <c r="B182" s="2" t="inlineStr">
        <is>
          <t>Bit manipulation</t>
        </is>
      </c>
      <c r="C182" s="2" t="inlineStr">
        <is>
          <t>Learn bitwise operations, practice with 35+ problems, and improve your DSA skills. Explore our guide to bit manipulation in various programming languages.</t>
        </is>
      </c>
      <c r="D182" s="2" t="inlineStr">
        <is>
          <t>Bit manipulation - Bit manipulation practice</t>
        </is>
      </c>
      <c r="E182" s="2" t="n">
        <v>18</v>
      </c>
      <c r="F182" s="2" t="inlineStr">
        <is>
          <t>Dazzling AXNODR Challenge</t>
        </is>
      </c>
      <c r="G182" s="2" t="inlineStr">
        <is>
          <t>AXNODR</t>
        </is>
      </c>
      <c r="H182" s="2" t="inlineStr">
        <is>
          <t>1246</t>
        </is>
      </c>
      <c r="I182" s="2" t="inlineStr">
        <is>
          <t>Easy</t>
        </is>
      </c>
      <c r="J182" s="3">
        <f>HYPERLINK("https://www.codechef.com/problems/AXNODR", "https://www.codechef.com/problems/AXNODR")</f>
        <v/>
      </c>
      <c r="K182" s="2" t="inlineStr"/>
      <c r="L182" s="2" t="inlineStr">
        <is>
          <t>Algorithms, Bit Manipulation, Mathematics, Observation</t>
        </is>
      </c>
      <c r="M182" s="2" t="inlineStr"/>
      <c r="N182" s="2" t="inlineStr">
        <is>
          <t>No</t>
        </is>
      </c>
      <c r="O182" s="2" t="inlineStr">
        <is>
          <t>Unattempted</t>
        </is>
      </c>
    </row>
    <row r="183">
      <c r="A183" s="4" t="inlineStr">
        <is>
          <t>Algorithms</t>
        </is>
      </c>
      <c r="B183" s="4" t="inlineStr">
        <is>
          <t>Bit manipulation</t>
        </is>
      </c>
      <c r="C183" s="4" t="inlineStr">
        <is>
          <t>Learn bitwise operations, practice with 35+ problems, and improve your DSA skills. Explore our guide to bit manipulation in various programming languages.</t>
        </is>
      </c>
      <c r="D183" s="4" t="inlineStr">
        <is>
          <t>Bit manipulation - Bit manipulation practice</t>
        </is>
      </c>
      <c r="E183" s="4" t="n">
        <v>19</v>
      </c>
      <c r="F183" s="4" t="inlineStr">
        <is>
          <t>XOR of numbers in a range</t>
        </is>
      </c>
      <c r="G183" s="4" t="inlineStr">
        <is>
          <t>XORRANGE</t>
        </is>
      </c>
      <c r="H183" s="4" t="inlineStr"/>
      <c r="I183" s="4" t="inlineStr">
        <is>
          <t>Hard</t>
        </is>
      </c>
      <c r="J183" s="5">
        <f>HYPERLINK("https://www.codechef.com/problems/XORRANGE", "https://www.codechef.com/problems/XORRANGE")</f>
        <v/>
      </c>
      <c r="K183" s="4" t="inlineStr"/>
      <c r="L183" s="4" t="inlineStr"/>
      <c r="M183" s="4" t="inlineStr"/>
      <c r="N183" s="4" t="inlineStr">
        <is>
          <t>No</t>
        </is>
      </c>
      <c r="O183" s="4" t="inlineStr">
        <is>
          <t>Unattempted</t>
        </is>
      </c>
    </row>
    <row r="184">
      <c r="A184" s="2" t="inlineStr">
        <is>
          <t>Algorithms</t>
        </is>
      </c>
      <c r="B184" s="2" t="inlineStr">
        <is>
          <t>Bit manipulation</t>
        </is>
      </c>
      <c r="C184" s="2" t="inlineStr">
        <is>
          <t>Learn bitwise operations, practice with 35+ problems, and improve your DSA skills. Explore our guide to bit manipulation in various programming languages.</t>
        </is>
      </c>
      <c r="D184" s="2" t="inlineStr">
        <is>
          <t>Bit manipulation - Bit manipulation practice</t>
        </is>
      </c>
      <c r="E184" s="2" t="n">
        <v>20</v>
      </c>
      <c r="F184" s="2" t="inlineStr">
        <is>
          <t>Priya and AND</t>
        </is>
      </c>
      <c r="G184" s="2" t="inlineStr">
        <is>
          <t>CENS20D</t>
        </is>
      </c>
      <c r="H184" s="2" t="inlineStr">
        <is>
          <t>1143</t>
        </is>
      </c>
      <c r="I184" s="2" t="inlineStr">
        <is>
          <t>Easy</t>
        </is>
      </c>
      <c r="J184" s="3">
        <f>HYPERLINK("https://www.codechef.com/problems/CENS20D", "https://www.codechef.com/problems/CENS20D")</f>
        <v/>
      </c>
      <c r="K184" s="2" t="inlineStr"/>
      <c r="L184" s="2" t="inlineStr">
        <is>
          <t>Algorithms, Bit Manipulation, Brute Force, Mathematics</t>
        </is>
      </c>
      <c r="M184" s="2" t="inlineStr"/>
      <c r="N184" s="2" t="inlineStr">
        <is>
          <t>No</t>
        </is>
      </c>
      <c r="O184" s="2" t="inlineStr">
        <is>
          <t>Unattempted</t>
        </is>
      </c>
    </row>
    <row r="185">
      <c r="A185" s="4" t="inlineStr">
        <is>
          <t>Algorithms</t>
        </is>
      </c>
      <c r="B185" s="4" t="inlineStr">
        <is>
          <t>Bit manipulation</t>
        </is>
      </c>
      <c r="C185" s="4" t="inlineStr">
        <is>
          <t>Learn bitwise operations, practice with 35+ problems, and improve your DSA skills. Explore our guide to bit manipulation in various programming languages.</t>
        </is>
      </c>
      <c r="D185" s="4" t="inlineStr">
        <is>
          <t>Bit manipulation - Bit manipulation practice</t>
        </is>
      </c>
      <c r="E185" s="4" t="n">
        <v>21</v>
      </c>
      <c r="F185" s="4" t="inlineStr">
        <is>
          <t>Xor Equality</t>
        </is>
      </c>
      <c r="G185" s="4" t="inlineStr">
        <is>
          <t>XOREQUAL</t>
        </is>
      </c>
      <c r="H185" s="4" t="inlineStr">
        <is>
          <t>1405</t>
        </is>
      </c>
      <c r="I185" s="4" t="inlineStr">
        <is>
          <t>Medium</t>
        </is>
      </c>
      <c r="J185" s="5">
        <f>HYPERLINK("https://www.codechef.com/problems/XOREQUAL", "https://www.codechef.com/problems/XOREQUAL")</f>
        <v/>
      </c>
      <c r="K185" s="4" t="inlineStr"/>
      <c r="L185" s="4" t="inlineStr"/>
      <c r="M185" s="4" t="inlineStr"/>
      <c r="N185" s="4" t="inlineStr">
        <is>
          <t>No</t>
        </is>
      </c>
      <c r="O185" s="4" t="inlineStr">
        <is>
          <t>Unattempted</t>
        </is>
      </c>
    </row>
    <row r="186">
      <c r="A186" s="2" t="inlineStr">
        <is>
          <t>Algorithms</t>
        </is>
      </c>
      <c r="B186" s="2" t="inlineStr">
        <is>
          <t>Bit manipulation</t>
        </is>
      </c>
      <c r="C186" s="2" t="inlineStr">
        <is>
          <t>Learn bitwise operations, practice with 35+ problems, and improve your DSA skills. Explore our guide to bit manipulation in various programming languages.</t>
        </is>
      </c>
      <c r="D186" s="2" t="inlineStr">
        <is>
          <t>Bit manipulation - Bit manipulation practice</t>
        </is>
      </c>
      <c r="E186" s="2" t="n">
        <v>22</v>
      </c>
      <c r="F186" s="2" t="inlineStr">
        <is>
          <t>The Unchanging OR</t>
        </is>
      </c>
      <c r="G186" s="2" t="inlineStr">
        <is>
          <t>UNCHANGEDOR</t>
        </is>
      </c>
      <c r="H186" s="2" t="inlineStr">
        <is>
          <t>1389</t>
        </is>
      </c>
      <c r="I186" s="2" t="inlineStr">
        <is>
          <t>Easy</t>
        </is>
      </c>
      <c r="J186" s="3">
        <f>HYPERLINK("https://www.codechef.com/problems/UNCHANGEDOR", "https://www.codechef.com/problems/UNCHANGEDOR")</f>
        <v/>
      </c>
      <c r="K186" s="2" t="inlineStr"/>
      <c r="L186" s="2" t="inlineStr"/>
      <c r="M186" s="2" t="inlineStr"/>
      <c r="N186" s="2" t="inlineStr">
        <is>
          <t>No</t>
        </is>
      </c>
      <c r="O186" s="2" t="inlineStr">
        <is>
          <t>Unattempted</t>
        </is>
      </c>
    </row>
    <row r="187">
      <c r="A187" s="4" t="inlineStr">
        <is>
          <t>Algorithms</t>
        </is>
      </c>
      <c r="B187" s="4" t="inlineStr">
        <is>
          <t>Bit manipulation</t>
        </is>
      </c>
      <c r="C187" s="4" t="inlineStr">
        <is>
          <t>Learn bitwise operations, practice with 35+ problems, and improve your DSA skills. Explore our guide to bit manipulation in various programming languages.</t>
        </is>
      </c>
      <c r="D187" s="4" t="inlineStr">
        <is>
          <t>Bit manipulation - Bit manipulation practice</t>
        </is>
      </c>
      <c r="E187" s="4" t="n">
        <v>23</v>
      </c>
      <c r="F187" s="4" t="inlineStr">
        <is>
          <t>Longest AND Subarray</t>
        </is>
      </c>
      <c r="G187" s="4" t="inlineStr">
        <is>
          <t>ANDSUBAR</t>
        </is>
      </c>
      <c r="H187" s="4" t="inlineStr">
        <is>
          <t>1502</t>
        </is>
      </c>
      <c r="I187" s="4" t="inlineStr">
        <is>
          <t>Medium</t>
        </is>
      </c>
      <c r="J187" s="5">
        <f>HYPERLINK("https://www.codechef.com/problems/ANDSUBAR", "https://www.codechef.com/problems/ANDSUBAR")</f>
        <v/>
      </c>
      <c r="K187" s="4" t="inlineStr"/>
      <c r="L187" s="4" t="inlineStr">
        <is>
          <t>Algorithms, Basic Math, Basic Programming Concepts, Bit Manipulation, Bitwise Operation, Constructive, Inbuilt functions, Logarithm, Mathematics, Number Theory, Observation, ad-hoc</t>
        </is>
      </c>
      <c r="M187" s="4" t="inlineStr"/>
      <c r="N187" s="4" t="inlineStr">
        <is>
          <t>No</t>
        </is>
      </c>
      <c r="O187" s="4" t="inlineStr">
        <is>
          <t>Unattempted</t>
        </is>
      </c>
    </row>
    <row r="188">
      <c r="A188" s="2" t="inlineStr">
        <is>
          <t>Algorithms</t>
        </is>
      </c>
      <c r="B188" s="2" t="inlineStr">
        <is>
          <t>Bit manipulation</t>
        </is>
      </c>
      <c r="C188" s="2" t="inlineStr">
        <is>
          <t>Learn bitwise operations, practice with 35+ problems, and improve your DSA skills. Explore our guide to bit manipulation in various programming languages.</t>
        </is>
      </c>
      <c r="D188" s="2" t="inlineStr">
        <is>
          <t>Bit manipulation - Bit manipulation practice</t>
        </is>
      </c>
      <c r="E188" s="2" t="n">
        <v>24</v>
      </c>
      <c r="F188" s="2" t="inlineStr">
        <is>
          <t>Bit Manipulation - Sum of Bits</t>
        </is>
      </c>
      <c r="G188" s="2" t="inlineStr">
        <is>
          <t>PREP16</t>
        </is>
      </c>
      <c r="H188" s="2" t="inlineStr">
        <is>
          <t>1500</t>
        </is>
      </c>
      <c r="I188" s="2" t="inlineStr">
        <is>
          <t>Medium</t>
        </is>
      </c>
      <c r="J188" s="3">
        <f>HYPERLINK("https://www.codechef.com/problems/PREP16", "https://www.codechef.com/problems/PREP16")</f>
        <v/>
      </c>
      <c r="K188" s="2" t="inlineStr"/>
      <c r="L188" s="2" t="inlineStr"/>
      <c r="M188" s="2" t="inlineStr"/>
      <c r="N188" s="2" t="inlineStr">
        <is>
          <t>No</t>
        </is>
      </c>
      <c r="O188" s="2" t="inlineStr">
        <is>
          <t>Unattempted</t>
        </is>
      </c>
    </row>
    <row r="189">
      <c r="A189" s="4" t="inlineStr">
        <is>
          <t>Algorithms</t>
        </is>
      </c>
      <c r="B189" s="4" t="inlineStr">
        <is>
          <t>Bit manipulation</t>
        </is>
      </c>
      <c r="C189" s="4" t="inlineStr">
        <is>
          <t>Learn bitwise operations, practice with 35+ problems, and improve your DSA skills. Explore our guide to bit manipulation in various programming languages.</t>
        </is>
      </c>
      <c r="D189" s="4" t="inlineStr">
        <is>
          <t>Bit manipulation - Bit manipulation practice</t>
        </is>
      </c>
      <c r="E189" s="4" t="n">
        <v>25</v>
      </c>
      <c r="F189" s="4" t="inlineStr">
        <is>
          <t>Chef and the XORed Number</t>
        </is>
      </c>
      <c r="G189" s="4" t="inlineStr">
        <is>
          <t>XORNUBER</t>
        </is>
      </c>
      <c r="H189" s="4" t="inlineStr">
        <is>
          <t>1661</t>
        </is>
      </c>
      <c r="I189" s="4" t="inlineStr">
        <is>
          <t>Medium</t>
        </is>
      </c>
      <c r="J189" s="5">
        <f>HYPERLINK("https://www.codechef.com/problems/XORNUBER", "https://www.codechef.com/problems/XORNUBER")</f>
        <v/>
      </c>
      <c r="K189" s="4" t="inlineStr"/>
      <c r="L189" s="4" t="inlineStr"/>
      <c r="M189" s="4" t="inlineStr"/>
      <c r="N189" s="4" t="inlineStr">
        <is>
          <t>No</t>
        </is>
      </c>
      <c r="O189" s="4" t="inlineStr">
        <is>
          <t>Unattempted</t>
        </is>
      </c>
    </row>
    <row r="190">
      <c r="A190" s="2" t="inlineStr">
        <is>
          <t>Algorithms</t>
        </is>
      </c>
      <c r="B190" s="2" t="inlineStr">
        <is>
          <t>Bit manipulation</t>
        </is>
      </c>
      <c r="C190" s="2" t="inlineStr">
        <is>
          <t>Learn bitwise operations, practice with 35+ problems, and improve your DSA skills. Explore our guide to bit manipulation in various programming languages.</t>
        </is>
      </c>
      <c r="D190" s="2" t="inlineStr">
        <is>
          <t>Bit manipulation - Bit manipulation practice</t>
        </is>
      </c>
      <c r="E190" s="2" t="n">
        <v>26</v>
      </c>
      <c r="F190" s="2" t="inlineStr">
        <is>
          <t>XOR and AND</t>
        </is>
      </c>
      <c r="G190" s="2" t="inlineStr">
        <is>
          <t>XORAND</t>
        </is>
      </c>
      <c r="H190" s="2" t="inlineStr">
        <is>
          <t>1625</t>
        </is>
      </c>
      <c r="I190" s="2" t="inlineStr">
        <is>
          <t>Medium</t>
        </is>
      </c>
      <c r="J190" s="3">
        <f>HYPERLINK("https://www.codechef.com/problems/XORAND", "https://www.codechef.com/problems/XORAND")</f>
        <v/>
      </c>
      <c r="K190" s="2" t="inlineStr"/>
      <c r="L190" s="2" t="inlineStr"/>
      <c r="M190" s="2" t="inlineStr"/>
      <c r="N190" s="2" t="inlineStr">
        <is>
          <t>No</t>
        </is>
      </c>
      <c r="O190" s="2" t="inlineStr">
        <is>
          <t>Unattempted</t>
        </is>
      </c>
    </row>
    <row r="191">
      <c r="A191" s="4" t="inlineStr">
        <is>
          <t>Algorithms</t>
        </is>
      </c>
      <c r="B191" s="4" t="inlineStr">
        <is>
          <t>Bit manipulation</t>
        </is>
      </c>
      <c r="C191" s="4" t="inlineStr">
        <is>
          <t>Learn bitwise operations, practice with 35+ problems, and improve your DSA skills. Explore our guide to bit manipulation in various programming languages.</t>
        </is>
      </c>
      <c r="D191" s="4" t="inlineStr">
        <is>
          <t>Bit manipulation - Bit manipulation practice</t>
        </is>
      </c>
      <c r="E191" s="4" t="n">
        <v>27</v>
      </c>
      <c r="F191" s="4" t="inlineStr">
        <is>
          <t>Chef Builds Subsets</t>
        </is>
      </c>
      <c r="G191" s="4" t="inlineStr">
        <is>
          <t>CVDMX01</t>
        </is>
      </c>
      <c r="H191" s="4" t="inlineStr"/>
      <c r="I191" s="4" t="inlineStr">
        <is>
          <t>Medium</t>
        </is>
      </c>
      <c r="J191" s="5">
        <f>HYPERLINK("https://www.codechef.com/problems/CVDMX01", "https://www.codechef.com/problems/CVDMX01")</f>
        <v/>
      </c>
      <c r="K191" s="4" t="inlineStr"/>
      <c r="L191" s="4" t="inlineStr">
        <is>
          <t>nonameetcetc</t>
        </is>
      </c>
      <c r="M191" s="4" t="inlineStr"/>
      <c r="N191" s="4" t="inlineStr">
        <is>
          <t>No</t>
        </is>
      </c>
      <c r="O191" s="4" t="inlineStr">
        <is>
          <t>Unattempted</t>
        </is>
      </c>
    </row>
    <row r="192">
      <c r="A192" s="2" t="inlineStr">
        <is>
          <t>Algorithms</t>
        </is>
      </c>
      <c r="B192" s="2" t="inlineStr">
        <is>
          <t>Bit manipulation</t>
        </is>
      </c>
      <c r="C192" s="2" t="inlineStr">
        <is>
          <t>Learn bitwise operations, practice with 35+ problems, and improve your DSA skills. Explore our guide to bit manipulation in various programming languages.</t>
        </is>
      </c>
      <c r="D192" s="2" t="inlineStr">
        <is>
          <t>Bit manipulation - Bit manipulation practice</t>
        </is>
      </c>
      <c r="E192" s="2" t="n">
        <v>28</v>
      </c>
      <c r="F192" s="2" t="inlineStr">
        <is>
          <t>Append for OR</t>
        </is>
      </c>
      <c r="G192" s="2" t="inlineStr">
        <is>
          <t>APPENDOR</t>
        </is>
      </c>
      <c r="H192" s="2" t="inlineStr">
        <is>
          <t>1201</t>
        </is>
      </c>
      <c r="I192" s="2" t="inlineStr">
        <is>
          <t>Easy</t>
        </is>
      </c>
      <c r="J192" s="3">
        <f>HYPERLINK("https://www.codechef.com/problems/APPENDOR", "https://www.codechef.com/problems/APPENDOR")</f>
        <v/>
      </c>
      <c r="K192" s="2" t="inlineStr"/>
      <c r="L192" s="2" t="inlineStr">
        <is>
          <t>Bit Manipulation, Bitwise Operation, Mathematics</t>
        </is>
      </c>
      <c r="M192" s="2" t="inlineStr"/>
      <c r="N192" s="2" t="inlineStr">
        <is>
          <t>No</t>
        </is>
      </c>
      <c r="O192" s="2" t="inlineStr">
        <is>
          <t>Unattempted</t>
        </is>
      </c>
    </row>
    <row r="193">
      <c r="A193" s="4" t="inlineStr">
        <is>
          <t>Algorithms</t>
        </is>
      </c>
      <c r="B193" s="4" t="inlineStr">
        <is>
          <t>Bit manipulation</t>
        </is>
      </c>
      <c r="C193" s="4" t="inlineStr">
        <is>
          <t>Learn bitwise operations, practice with 35+ problems, and improve your DSA skills. Explore our guide to bit manipulation in various programming languages.</t>
        </is>
      </c>
      <c r="D193" s="4" t="inlineStr">
        <is>
          <t>Bit manipulation - Bit manipulation practice</t>
        </is>
      </c>
      <c r="E193" s="4" t="n">
        <v>29</v>
      </c>
      <c r="F193" s="4" t="inlineStr">
        <is>
          <t>Make them Zero</t>
        </is>
      </c>
      <c r="G193" s="4" t="inlineStr">
        <is>
          <t>MAKEZERO</t>
        </is>
      </c>
      <c r="H193" s="4" t="inlineStr">
        <is>
          <t>1320</t>
        </is>
      </c>
      <c r="I193" s="4" t="inlineStr">
        <is>
          <t>Easy</t>
        </is>
      </c>
      <c r="J193" s="5">
        <f>HYPERLINK("https://www.codechef.com/problems/MAKEZERO", "https://www.codechef.com/problems/MAKEZERO")</f>
        <v/>
      </c>
      <c r="K193" s="4" t="inlineStr"/>
      <c r="L193" s="4" t="inlineStr"/>
      <c r="M193" s="4" t="inlineStr"/>
      <c r="N193" s="4" t="inlineStr">
        <is>
          <t>No</t>
        </is>
      </c>
      <c r="O193" s="4" t="inlineStr">
        <is>
          <t>Unattempted</t>
        </is>
      </c>
    </row>
    <row r="194">
      <c r="A194" s="2" t="inlineStr">
        <is>
          <t>Algorithms</t>
        </is>
      </c>
      <c r="B194" s="2" t="inlineStr">
        <is>
          <t>Bit manipulation</t>
        </is>
      </c>
      <c r="C194" s="2" t="inlineStr">
        <is>
          <t>Learn bitwise operations, practice with 35+ problems, and improve your DSA skills. Explore our guide to bit manipulation in various programming languages.</t>
        </is>
      </c>
      <c r="D194" s="2" t="inlineStr">
        <is>
          <t>Bit manipulation - Bit manipulation practice</t>
        </is>
      </c>
      <c r="E194" s="2" t="n">
        <v>30</v>
      </c>
      <c r="F194" s="2" t="inlineStr">
        <is>
          <t>Possible or Not</t>
        </is>
      </c>
      <c r="G194" s="2" t="inlineStr">
        <is>
          <t>CS2023_PON</t>
        </is>
      </c>
      <c r="H194" s="2" t="inlineStr">
        <is>
          <t>1578</t>
        </is>
      </c>
      <c r="I194" s="2" t="inlineStr">
        <is>
          <t>Medium</t>
        </is>
      </c>
      <c r="J194" s="3">
        <f>HYPERLINK("https://www.codechef.com/problems/CS2023_PON", "https://www.codechef.com/problems/CS2023_PON")</f>
        <v/>
      </c>
      <c r="K194" s="2" t="inlineStr"/>
      <c r="L194" s="2" t="inlineStr">
        <is>
          <t>Bit Manipulation, Bitmasking, Mathematics</t>
        </is>
      </c>
      <c r="M194" s="2" t="inlineStr"/>
      <c r="N194" s="2" t="inlineStr">
        <is>
          <t>No</t>
        </is>
      </c>
      <c r="O194" s="2" t="inlineStr">
        <is>
          <t>Unattempted</t>
        </is>
      </c>
    </row>
    <row r="195">
      <c r="A195" s="4" t="inlineStr">
        <is>
          <t>Algorithms</t>
        </is>
      </c>
      <c r="B195" s="4" t="inlineStr">
        <is>
          <t>Bit manipulation</t>
        </is>
      </c>
      <c r="C195" s="4" t="inlineStr">
        <is>
          <t>Learn bitwise operations, practice with 35+ problems, and improve your DSA skills. Explore our guide to bit manipulation in various programming languages.</t>
        </is>
      </c>
      <c r="D195" s="4" t="inlineStr">
        <is>
          <t>Bit manipulation - Bit manipulation practice</t>
        </is>
      </c>
      <c r="E195" s="4" t="n">
        <v>31</v>
      </c>
      <c r="F195" s="4" t="inlineStr">
        <is>
          <t>Simple XOR</t>
        </is>
      </c>
      <c r="G195" s="4" t="inlineStr">
        <is>
          <t>SIMPLE_XOR</t>
        </is>
      </c>
      <c r="H195" s="4" t="inlineStr">
        <is>
          <t>1362</t>
        </is>
      </c>
      <c r="I195" s="4" t="inlineStr">
        <is>
          <t>Easy</t>
        </is>
      </c>
      <c r="J195" s="5">
        <f>HYPERLINK("https://www.codechef.com/problems/SIMPLE_XOR", "https://www.codechef.com/problems/SIMPLE_XOR")</f>
        <v/>
      </c>
      <c r="K195" s="4" t="inlineStr"/>
      <c r="L195" s="4" t="inlineStr"/>
      <c r="M195" s="4" t="inlineStr"/>
      <c r="N195" s="4" t="inlineStr">
        <is>
          <t>No</t>
        </is>
      </c>
      <c r="O195" s="4" t="inlineStr">
        <is>
          <t>Unattempted</t>
        </is>
      </c>
    </row>
    <row r="196">
      <c r="A196" s="2" t="inlineStr">
        <is>
          <t>Algorithms</t>
        </is>
      </c>
      <c r="B196" s="2" t="inlineStr">
        <is>
          <t>Bit manipulation</t>
        </is>
      </c>
      <c r="C196" s="2" t="inlineStr">
        <is>
          <t>Learn bitwise operations, practice with 35+ problems, and improve your DSA skills. Explore our guide to bit manipulation in various programming languages.</t>
        </is>
      </c>
      <c r="D196" s="2" t="inlineStr">
        <is>
          <t>Bit manipulation - Bit manipulation practice</t>
        </is>
      </c>
      <c r="E196" s="2" t="n">
        <v>32</v>
      </c>
      <c r="F196" s="2" t="inlineStr">
        <is>
          <t>Bitwise Equation</t>
        </is>
      </c>
      <c r="G196" s="2" t="inlineStr">
        <is>
          <t>BITEQU</t>
        </is>
      </c>
      <c r="H196" s="2" t="inlineStr">
        <is>
          <t>1679</t>
        </is>
      </c>
      <c r="I196" s="2" t="inlineStr">
        <is>
          <t>Medium</t>
        </is>
      </c>
      <c r="J196" s="3">
        <f>HYPERLINK("https://www.codechef.com/problems/BITEQU", "https://www.codechef.com/problems/BITEQU")</f>
        <v/>
      </c>
      <c r="K196" s="2" t="inlineStr"/>
      <c r="L196" s="2" t="inlineStr">
        <is>
          <t>Advanced Algorithms, Bit Manipulation, Bitwise Operation, Mathematics, Randomized Algorithms</t>
        </is>
      </c>
      <c r="M196" s="2" t="inlineStr"/>
      <c r="N196" s="2" t="inlineStr">
        <is>
          <t>No</t>
        </is>
      </c>
      <c r="O196" s="2" t="inlineStr">
        <is>
          <t>Unattempted</t>
        </is>
      </c>
    </row>
    <row r="197">
      <c r="A197" s="4" t="inlineStr">
        <is>
          <t>Algorithms</t>
        </is>
      </c>
      <c r="B197" s="4" t="inlineStr">
        <is>
          <t>Bit manipulation</t>
        </is>
      </c>
      <c r="C197" s="4" t="inlineStr">
        <is>
          <t>Learn bitwise operations, practice with 35+ problems, and improve your DSA skills. Explore our guide to bit manipulation in various programming languages.</t>
        </is>
      </c>
      <c r="D197" s="4" t="inlineStr">
        <is>
          <t>Bit manipulation - Bit manipulation practice</t>
        </is>
      </c>
      <c r="E197" s="4" t="n">
        <v>33</v>
      </c>
      <c r="F197" s="4" t="inlineStr">
        <is>
          <t>Find the Two Unique Numbers</t>
        </is>
      </c>
      <c r="G197" s="4" t="inlineStr">
        <is>
          <t>TWOUNIQUE</t>
        </is>
      </c>
      <c r="H197" s="4" t="inlineStr"/>
      <c r="I197" s="4" t="inlineStr">
        <is>
          <t>Hard</t>
        </is>
      </c>
      <c r="J197" s="5">
        <f>HYPERLINK("https://www.codechef.com/problems/TWOUNIQUE", "https://www.codechef.com/problems/TWOUNIQUE")</f>
        <v/>
      </c>
      <c r="K197" s="4" t="inlineStr"/>
      <c r="L197" s="4" t="inlineStr"/>
      <c r="M197" s="4" t="inlineStr"/>
      <c r="N197" s="4" t="inlineStr">
        <is>
          <t>No</t>
        </is>
      </c>
      <c r="O197" s="4" t="inlineStr">
        <is>
          <t>Unattempted</t>
        </is>
      </c>
    </row>
    <row r="198">
      <c r="A198" s="2" t="inlineStr">
        <is>
          <t>Algorithms</t>
        </is>
      </c>
      <c r="B198" s="2" t="inlineStr">
        <is>
          <t>Bit manipulation</t>
        </is>
      </c>
      <c r="C198" s="2" t="inlineStr">
        <is>
          <t>Learn bitwise operations, practice with 35+ problems, and improve your DSA skills. Explore our guide to bit manipulation in various programming languages.</t>
        </is>
      </c>
      <c r="D198" s="2" t="inlineStr">
        <is>
          <t>Bit manipulation - Bit manipulation practice</t>
        </is>
      </c>
      <c r="E198" s="2" t="n">
        <v>34</v>
      </c>
      <c r="F198" s="2" t="inlineStr">
        <is>
          <t>Chef Solves Pow</t>
        </is>
      </c>
      <c r="G198" s="2" t="inlineStr">
        <is>
          <t>EBQZC01</t>
        </is>
      </c>
      <c r="H198" s="2" t="inlineStr"/>
      <c r="I198" s="2" t="inlineStr">
        <is>
          <t>Medium</t>
        </is>
      </c>
      <c r="J198" s="3">
        <f>HYPERLINK("https://www.codechef.com/problems/EBQZC01", "https://www.codechef.com/problems/EBQZC01")</f>
        <v/>
      </c>
      <c r="K198" s="2" t="inlineStr"/>
      <c r="L198" s="2" t="inlineStr"/>
      <c r="M198" s="2" t="inlineStr"/>
      <c r="N198" s="2" t="inlineStr">
        <is>
          <t>No</t>
        </is>
      </c>
      <c r="O198" s="2" t="inlineStr">
        <is>
          <t>Unattempted</t>
        </is>
      </c>
    </row>
    <row r="199">
      <c r="A199" s="4" t="inlineStr">
        <is>
          <t>Algorithms</t>
        </is>
      </c>
      <c r="B199" s="4" t="inlineStr">
        <is>
          <t>Bit manipulation</t>
        </is>
      </c>
      <c r="C199" s="4" t="inlineStr">
        <is>
          <t>Learn bitwise operations, practice with 35+ problems, and improve your DSA skills. Explore our guide to bit manipulation in various programming languages.</t>
        </is>
      </c>
      <c r="D199" s="4" t="inlineStr">
        <is>
          <t>Bit manipulation - Bit manipulation practice</t>
        </is>
      </c>
      <c r="E199" s="4" t="n">
        <v>35</v>
      </c>
      <c r="F199" s="4" t="inlineStr">
        <is>
          <t>Largest Y</t>
        </is>
      </c>
      <c r="G199" s="4" t="inlineStr">
        <is>
          <t>LARGESTY</t>
        </is>
      </c>
      <c r="H199" s="4" t="inlineStr">
        <is>
          <t>1823</t>
        </is>
      </c>
      <c r="I199" s="4" t="inlineStr">
        <is>
          <t>Medium</t>
        </is>
      </c>
      <c r="J199" s="5">
        <f>HYPERLINK("https://www.codechef.com/problems/LARGESTY", "https://www.codechef.com/problems/LARGESTY")</f>
        <v/>
      </c>
      <c r="K199" s="4" t="inlineStr"/>
      <c r="L199" s="4" t="inlineStr">
        <is>
          <t>Algorithms, Bit Manipulation, Bitwise Operation, Mathematics, Observation</t>
        </is>
      </c>
      <c r="M199" s="4" t="inlineStr"/>
      <c r="N199" s="4" t="inlineStr">
        <is>
          <t>No</t>
        </is>
      </c>
      <c r="O199" s="4" t="inlineStr">
        <is>
          <t>Unattempted</t>
        </is>
      </c>
    </row>
    <row r="200">
      <c r="A200" s="2" t="inlineStr">
        <is>
          <t>Algorithms</t>
        </is>
      </c>
      <c r="B200" s="2" t="inlineStr">
        <is>
          <t>Bit manipulation</t>
        </is>
      </c>
      <c r="C200" s="2" t="inlineStr">
        <is>
          <t>Learn bitwise operations, practice with 35+ problems, and improve your DSA skills. Explore our guide to bit manipulation in various programming languages.</t>
        </is>
      </c>
      <c r="D200" s="2" t="inlineStr">
        <is>
          <t>Bit manipulation - Bit manipulation practice</t>
        </is>
      </c>
      <c r="E200" s="2" t="n">
        <v>36</v>
      </c>
      <c r="F200" s="2" t="inlineStr">
        <is>
          <t>Prime Xor</t>
        </is>
      </c>
      <c r="G200" s="2" t="inlineStr">
        <is>
          <t>PRIME_XOR</t>
        </is>
      </c>
      <c r="H200" s="2" t="inlineStr">
        <is>
          <t>1519</t>
        </is>
      </c>
      <c r="I200" s="2" t="inlineStr">
        <is>
          <t>Medium</t>
        </is>
      </c>
      <c r="J200" s="3">
        <f>HYPERLINK("https://www.codechef.com/problems/PRIME_XOR", "https://www.codechef.com/problems/PRIME_XOR")</f>
        <v/>
      </c>
      <c r="K200" s="2" t="inlineStr"/>
      <c r="L200" s="2" t="inlineStr">
        <is>
          <t>Bit Manipulation, Bitwise Operation, Mathematics</t>
        </is>
      </c>
      <c r="M200" s="2" t="inlineStr"/>
      <c r="N200" s="2" t="inlineStr">
        <is>
          <t>No</t>
        </is>
      </c>
      <c r="O200" s="2" t="inlineStr">
        <is>
          <t>Unattempted</t>
        </is>
      </c>
    </row>
    <row r="201">
      <c r="A201" s="4" t="inlineStr">
        <is>
          <t>Algorithms</t>
        </is>
      </c>
      <c r="B201" s="4" t="inlineStr">
        <is>
          <t>Bit manipulation</t>
        </is>
      </c>
      <c r="C201" s="4" t="inlineStr">
        <is>
          <t>Learn bitwise operations, practice with 35+ problems, and improve your DSA skills. Explore our guide to bit manipulation in various programming languages.</t>
        </is>
      </c>
      <c r="D201" s="4" t="inlineStr">
        <is>
          <t>Bit manipulation - Bit manipulation practice</t>
        </is>
      </c>
      <c r="E201" s="4" t="n">
        <v>37</v>
      </c>
      <c r="F201" s="4" t="inlineStr">
        <is>
          <t>Pairwise Xors</t>
        </is>
      </c>
      <c r="G201" s="4" t="inlineStr">
        <is>
          <t>XORABC</t>
        </is>
      </c>
      <c r="H201" s="4" t="inlineStr">
        <is>
          <t>1609</t>
        </is>
      </c>
      <c r="I201" s="4" t="inlineStr">
        <is>
          <t>Medium</t>
        </is>
      </c>
      <c r="J201" s="5">
        <f>HYPERLINK("https://www.codechef.com/problems/XORABC", "https://www.codechef.com/problems/XORABC")</f>
        <v/>
      </c>
      <c r="K201" s="4" t="inlineStr"/>
      <c r="L201" s="4" t="inlineStr"/>
      <c r="M201" s="4" t="inlineStr"/>
      <c r="N201" s="4" t="inlineStr">
        <is>
          <t>No</t>
        </is>
      </c>
      <c r="O201" s="4" t="inlineStr">
        <is>
          <t>Unattempted</t>
        </is>
      </c>
    </row>
    <row r="202">
      <c r="A202" s="2" t="inlineStr">
        <is>
          <t>Algorithms</t>
        </is>
      </c>
      <c r="B202" s="2" t="inlineStr">
        <is>
          <t>Bit manipulation</t>
        </is>
      </c>
      <c r="C202" s="2" t="inlineStr">
        <is>
          <t>Learn bitwise operations, practice with 35+ problems, and improve your DSA skills. Explore our guide to bit manipulation in various programming languages.</t>
        </is>
      </c>
      <c r="D202" s="2" t="inlineStr">
        <is>
          <t>Bit manipulation - Bit manipulation practice</t>
        </is>
      </c>
      <c r="E202" s="2" t="n">
        <v>38</v>
      </c>
      <c r="F202" s="2" t="inlineStr">
        <is>
          <t>XOR N-bonacci Sequence</t>
        </is>
      </c>
      <c r="G202" s="2" t="inlineStr">
        <is>
          <t>NBONACCI</t>
        </is>
      </c>
      <c r="H202" s="2" t="inlineStr">
        <is>
          <t>1552</t>
        </is>
      </c>
      <c r="I202" s="2" t="inlineStr">
        <is>
          <t>Medium</t>
        </is>
      </c>
      <c r="J202" s="3">
        <f>HYPERLINK("https://www.codechef.com/problems/NBONACCI", "https://www.codechef.com/problems/NBONACCI")</f>
        <v/>
      </c>
      <c r="K202" s="2" t="inlineStr"/>
      <c r="L202" s="2" t="inlineStr">
        <is>
          <t>1D Arrays, Algorithms, Arrays, Bit Manipulation, Bitwise Operation, Constructive, Data Structures, Mathematics, ad-hoc</t>
        </is>
      </c>
      <c r="M202" s="2" t="inlineStr"/>
      <c r="N202" s="2" t="inlineStr">
        <is>
          <t>No</t>
        </is>
      </c>
      <c r="O202" s="2" t="inlineStr">
        <is>
          <t>Unattempted</t>
        </is>
      </c>
    </row>
    <row r="203">
      <c r="A203" s="4" t="inlineStr">
        <is>
          <t>Algorithms</t>
        </is>
      </c>
      <c r="B203" s="4" t="inlineStr">
        <is>
          <t>Bit manipulation</t>
        </is>
      </c>
      <c r="C203" s="4" t="inlineStr">
        <is>
          <t>Learn bitwise operations, practice with 35+ problems, and improve your DSA skills. Explore our guide to bit manipulation in various programming languages.</t>
        </is>
      </c>
      <c r="D203" s="4" t="inlineStr">
        <is>
          <t>Bit manipulation - Bit manipulation practice</t>
        </is>
      </c>
      <c r="E203" s="4" t="n">
        <v>39</v>
      </c>
      <c r="F203" s="4" t="inlineStr">
        <is>
          <t>And Or Union</t>
        </is>
      </c>
      <c r="G203" s="4" t="inlineStr">
        <is>
          <t>ANDORUNI</t>
        </is>
      </c>
      <c r="H203" s="4" t="inlineStr">
        <is>
          <t>1728</t>
        </is>
      </c>
      <c r="I203" s="4" t="inlineStr">
        <is>
          <t>Medium</t>
        </is>
      </c>
      <c r="J203" s="5">
        <f>HYPERLINK("https://www.codechef.com/problems/ANDORUNI", "https://www.codechef.com/problems/ANDORUNI")</f>
        <v/>
      </c>
      <c r="K203" s="4" t="inlineStr"/>
      <c r="L203" s="4" t="inlineStr">
        <is>
          <t>Algorithms, Bit Manipulation, Bitwise Operation, Constructive, Mathematics, ad-hoc</t>
        </is>
      </c>
      <c r="M203" s="4" t="inlineStr"/>
      <c r="N203" s="4" t="inlineStr">
        <is>
          <t>No</t>
        </is>
      </c>
      <c r="O203" s="4" t="inlineStr">
        <is>
          <t>Unattempted</t>
        </is>
      </c>
    </row>
    <row r="204">
      <c r="A204" s="2" t="inlineStr">
        <is>
          <t>Algorithms</t>
        </is>
      </c>
      <c r="B204" s="2" t="inlineStr">
        <is>
          <t>Bit manipulation</t>
        </is>
      </c>
      <c r="C204" s="2" t="inlineStr">
        <is>
          <t>Learn bitwise operations, practice with 35+ problems, and improve your DSA skills. Explore our guide to bit manipulation in various programming languages.</t>
        </is>
      </c>
      <c r="D204" s="2" t="inlineStr">
        <is>
          <t>Bit manipulation - Bit manipulation practice</t>
        </is>
      </c>
      <c r="E204" s="2" t="n">
        <v>40</v>
      </c>
      <c r="F204" s="2" t="inlineStr">
        <is>
          <t>OR-thodox Distinction</t>
        </is>
      </c>
      <c r="G204" s="2" t="inlineStr">
        <is>
          <t>ORTHODOX</t>
        </is>
      </c>
      <c r="H204" s="2" t="inlineStr">
        <is>
          <t>1658</t>
        </is>
      </c>
      <c r="I204" s="2" t="inlineStr">
        <is>
          <t>Medium</t>
        </is>
      </c>
      <c r="J204" s="3">
        <f>HYPERLINK("https://www.codechef.com/problems/ORTHODOX", "https://www.codechef.com/problems/ORTHODOX")</f>
        <v/>
      </c>
      <c r="K204" s="2" t="inlineStr"/>
      <c r="L204" s="2" t="inlineStr">
        <is>
          <t>Algorithms, Bit Manipulation, Bitwise Operation, Brute Force, Mathematics, Observation</t>
        </is>
      </c>
      <c r="M204" s="2" t="inlineStr"/>
      <c r="N204" s="2" t="inlineStr">
        <is>
          <t>No</t>
        </is>
      </c>
      <c r="O204" s="2" t="inlineStr">
        <is>
          <t>Unattempted</t>
        </is>
      </c>
    </row>
    <row r="205">
      <c r="A205" s="4" t="inlineStr">
        <is>
          <t>Algorithms</t>
        </is>
      </c>
      <c r="B205" s="4" t="inlineStr">
        <is>
          <t>Bit manipulation</t>
        </is>
      </c>
      <c r="C205" s="4" t="inlineStr">
        <is>
          <t>Learn bitwise operations, practice with 35+ problems, and improve your DSA skills. Explore our guide to bit manipulation in various programming languages.</t>
        </is>
      </c>
      <c r="D205" s="4" t="inlineStr">
        <is>
          <t>Bit manipulation - Bit manipulation practice</t>
        </is>
      </c>
      <c r="E205" s="4" t="n">
        <v>41</v>
      </c>
      <c r="F205" s="4" t="inlineStr">
        <is>
          <t>Hail XOR</t>
        </is>
      </c>
      <c r="G205" s="4" t="inlineStr">
        <is>
          <t>HXOR</t>
        </is>
      </c>
      <c r="H205" s="4" t="inlineStr">
        <is>
          <t>1786</t>
        </is>
      </c>
      <c r="I205" s="4" t="inlineStr">
        <is>
          <t>Medium</t>
        </is>
      </c>
      <c r="J205" s="5">
        <f>HYPERLINK("https://www.codechef.com/problems/HXOR", "https://www.codechef.com/problems/HXOR")</f>
        <v/>
      </c>
      <c r="K205" s="4" t="inlineStr"/>
      <c r="L205" s="4" t="inlineStr">
        <is>
          <t>Bit Manipulation, Mathematics</t>
        </is>
      </c>
      <c r="M205" s="4" t="inlineStr"/>
      <c r="N205" s="4" t="inlineStr">
        <is>
          <t>No</t>
        </is>
      </c>
      <c r="O205" s="4" t="inlineStr">
        <is>
          <t>Unattempted</t>
        </is>
      </c>
    </row>
    <row r="206">
      <c r="A206" s="2" t="inlineStr">
        <is>
          <t>Algorithms</t>
        </is>
      </c>
      <c r="B206" s="2" t="inlineStr">
        <is>
          <t>Bit manipulation</t>
        </is>
      </c>
      <c r="C206" s="2" t="inlineStr">
        <is>
          <t>Learn bitwise operations, practice with 35+ problems, and improve your DSA skills. Explore our guide to bit manipulation in various programming languages.</t>
        </is>
      </c>
      <c r="D206" s="2" t="inlineStr">
        <is>
          <t>Bit manipulation - Bit manipulation practice</t>
        </is>
      </c>
      <c r="E206" s="2" t="n">
        <v>42</v>
      </c>
      <c r="F206" s="2" t="inlineStr">
        <is>
          <t>Binary Shuffle</t>
        </is>
      </c>
      <c r="G206" s="2" t="inlineStr">
        <is>
          <t>BINSHFFL</t>
        </is>
      </c>
      <c r="H206" s="2" t="inlineStr">
        <is>
          <t>1747</t>
        </is>
      </c>
      <c r="I206" s="2" t="inlineStr">
        <is>
          <t>Medium</t>
        </is>
      </c>
      <c r="J206" s="3">
        <f>HYPERLINK("https://www.codechef.com/problems/BINSHFFL", "https://www.codechef.com/problems/BINSHFFL")</f>
        <v/>
      </c>
      <c r="K206" s="2" t="inlineStr"/>
      <c r="L206" s="2" t="inlineStr">
        <is>
          <t>Algorithms, BFS, Binary, Bit Manipulation, Bitwise Operation, Floyd Warshall's Algorithm, Graph Algos, Mathematics, Number System, Observation, Shortest Paths, Traversals</t>
        </is>
      </c>
      <c r="M206" s="2" t="inlineStr"/>
      <c r="N206" s="2" t="inlineStr">
        <is>
          <t>No</t>
        </is>
      </c>
      <c r="O206" s="2" t="inlineStr">
        <is>
          <t>Unattempted</t>
        </is>
      </c>
    </row>
    <row r="207">
      <c r="A207" s="4" t="inlineStr">
        <is>
          <t>Algorithms</t>
        </is>
      </c>
      <c r="B207" s="4" t="inlineStr">
        <is>
          <t>Bit manipulation</t>
        </is>
      </c>
      <c r="C207" s="4" t="inlineStr">
        <is>
          <t>Learn bitwise operations, practice with 35+ problems, and improve your DSA skills. Explore our guide to bit manipulation in various programming languages.</t>
        </is>
      </c>
      <c r="D207" s="4" t="inlineStr">
        <is>
          <t>Bit manipulation - Bit manipulation practice</t>
        </is>
      </c>
      <c r="E207" s="4" t="n">
        <v>43</v>
      </c>
      <c r="F207" s="4" t="inlineStr">
        <is>
          <t>Chef Divides Integers</t>
        </is>
      </c>
      <c r="G207" s="4" t="inlineStr">
        <is>
          <t>PMLYR01</t>
        </is>
      </c>
      <c r="H207" s="4" t="inlineStr"/>
      <c r="I207" s="4" t="inlineStr">
        <is>
          <t>Hard</t>
        </is>
      </c>
      <c r="J207" s="5">
        <f>HYPERLINK("https://www.codechef.com/problems/PMLYR01", "https://www.codechef.com/problems/PMLYR01")</f>
        <v/>
      </c>
      <c r="K207" s="4" t="inlineStr"/>
      <c r="L207" s="4" t="inlineStr"/>
      <c r="M207" s="4" t="inlineStr"/>
      <c r="N207" s="4" t="inlineStr">
        <is>
          <t>No</t>
        </is>
      </c>
      <c r="O207" s="4" t="inlineStr">
        <is>
          <t>Unattempted</t>
        </is>
      </c>
    </row>
    <row r="208">
      <c r="A208" s="2" t="inlineStr">
        <is>
          <t>Algorithms</t>
        </is>
      </c>
      <c r="B208" s="2" t="inlineStr">
        <is>
          <t>Prefix Sum Problems</t>
        </is>
      </c>
      <c r="C208" s="2" t="inlineStr">
        <is>
          <t>Practice these 14 problems on Prefix and Suffix sum. Learn about how to create prefix arrays, suffix arrays and use them to efficiently solve a variety of programming problems.</t>
        </is>
      </c>
      <c r="D208" s="2" t="inlineStr">
        <is>
          <t>Prefix and Suffix Sum - Prefix sums</t>
        </is>
      </c>
      <c r="E208" s="2" t="n">
        <v>1</v>
      </c>
      <c r="F208" s="2" t="inlineStr">
        <is>
          <t>Creating Prefix Array</t>
        </is>
      </c>
      <c r="G208" s="2" t="inlineStr">
        <is>
          <t>PREFPRO1</t>
        </is>
      </c>
      <c r="H208" s="2" t="inlineStr"/>
      <c r="I208" s="2" t="inlineStr">
        <is>
          <t>Easy</t>
        </is>
      </c>
      <c r="J208" s="3">
        <f>HYPERLINK("https://www.codechef.com/problems/PREFPRO1", "https://www.codechef.com/problems/PREFPRO1")</f>
        <v/>
      </c>
      <c r="K208" s="2" t="inlineStr"/>
      <c r="L208" s="2" t="inlineStr"/>
      <c r="M208" s="2" t="inlineStr"/>
      <c r="N208" s="2" t="inlineStr">
        <is>
          <t>No</t>
        </is>
      </c>
      <c r="O208" s="2" t="inlineStr">
        <is>
          <t>Unattempted</t>
        </is>
      </c>
    </row>
    <row r="209">
      <c r="A209" s="4" t="inlineStr">
        <is>
          <t>Algorithms</t>
        </is>
      </c>
      <c r="B209" s="4" t="inlineStr">
        <is>
          <t>Prefix Sum Problems</t>
        </is>
      </c>
      <c r="C209" s="4" t="inlineStr">
        <is>
          <t>Practice these 14 problems on Prefix and Suffix sum. Learn about how to create prefix arrays, suffix arrays and use them to efficiently solve a variety of programming problems.</t>
        </is>
      </c>
      <c r="D209" s="4" t="inlineStr">
        <is>
          <t>Prefix and Suffix Sum - Prefix sums</t>
        </is>
      </c>
      <c r="E209" s="4" t="n">
        <v>2</v>
      </c>
      <c r="F209" s="4" t="inlineStr">
        <is>
          <t>Optimization Using Prefix Array</t>
        </is>
      </c>
      <c r="G209" s="4" t="inlineStr">
        <is>
          <t>PREFPRO2</t>
        </is>
      </c>
      <c r="H209" s="4" t="inlineStr"/>
      <c r="I209" s="4" t="inlineStr">
        <is>
          <t>Medium</t>
        </is>
      </c>
      <c r="J209" s="5">
        <f>HYPERLINK("https://www.codechef.com/problems/PREFPRO2", "https://www.codechef.com/problems/PREFPRO2")</f>
        <v/>
      </c>
      <c r="K209" s="4" t="inlineStr"/>
      <c r="L209" s="4" t="inlineStr"/>
      <c r="M209" s="4" t="inlineStr"/>
      <c r="N209" s="4" t="inlineStr">
        <is>
          <t>No</t>
        </is>
      </c>
      <c r="O209" s="4" t="inlineStr">
        <is>
          <t>Unattempted</t>
        </is>
      </c>
    </row>
    <row r="210">
      <c r="A210" s="2" t="inlineStr">
        <is>
          <t>Algorithms</t>
        </is>
      </c>
      <c r="B210" s="2" t="inlineStr">
        <is>
          <t>Prefix Sum Problems</t>
        </is>
      </c>
      <c r="C210" s="2" t="inlineStr">
        <is>
          <t>Practice these 14 problems on Prefix and Suffix sum. Learn about how to create prefix arrays, suffix arrays and use them to efficiently solve a variety of programming problems.</t>
        </is>
      </c>
      <c r="D210" s="2" t="inlineStr">
        <is>
          <t>Prefix and Suffix Sum - Prefix sums</t>
        </is>
      </c>
      <c r="E210" s="2" t="n">
        <v>3</v>
      </c>
      <c r="F210" s="2" t="inlineStr">
        <is>
          <t>Counting Pretty Numbers</t>
        </is>
      </c>
      <c r="G210" s="2" t="inlineStr">
        <is>
          <t>NUM239</t>
        </is>
      </c>
      <c r="H210" s="2" t="inlineStr">
        <is>
          <t>873</t>
        </is>
      </c>
      <c r="I210" s="2" t="inlineStr">
        <is>
          <t>Easy</t>
        </is>
      </c>
      <c r="J210" s="3">
        <f>HYPERLINK("https://www.codechef.com/problems/NUM239", "https://www.codechef.com/problems/NUM239")</f>
        <v/>
      </c>
      <c r="K210" s="2" t="inlineStr"/>
      <c r="L210" s="2" t="inlineStr">
        <is>
          <t>Algorithms, Brute Force, Prefix Sum, Simple Algos</t>
        </is>
      </c>
      <c r="M210" s="2" t="inlineStr"/>
      <c r="N210" s="2" t="inlineStr">
        <is>
          <t>No</t>
        </is>
      </c>
      <c r="O210" s="2" t="inlineStr">
        <is>
          <t>Unattempted</t>
        </is>
      </c>
    </row>
    <row r="211">
      <c r="A211" s="4" t="inlineStr">
        <is>
          <t>Algorithms</t>
        </is>
      </c>
      <c r="B211" s="4" t="inlineStr">
        <is>
          <t>Prefix Sum Problems</t>
        </is>
      </c>
      <c r="C211" s="4" t="inlineStr">
        <is>
          <t>Practice these 14 problems on Prefix and Suffix sum. Learn about how to create prefix arrays, suffix arrays and use them to efficiently solve a variety of programming problems.</t>
        </is>
      </c>
      <c r="D211" s="4" t="inlineStr">
        <is>
          <t>Prefix and Suffix Sum - Prefix sums</t>
        </is>
      </c>
      <c r="E211" s="4" t="n">
        <v>4</v>
      </c>
      <c r="F211" s="4" t="inlineStr">
        <is>
          <t>Little Chef and Sums</t>
        </is>
      </c>
      <c r="G211" s="4" t="inlineStr">
        <is>
          <t>CHEFSUM</t>
        </is>
      </c>
      <c r="H211" s="4" t="inlineStr">
        <is>
          <t>1252</t>
        </is>
      </c>
      <c r="I211" s="4" t="inlineStr">
        <is>
          <t>Easy</t>
        </is>
      </c>
      <c r="J211" s="5">
        <f>HYPERLINK("https://www.codechef.com/problems/CHEFSUM", "https://www.codechef.com/problems/CHEFSUM")</f>
        <v/>
      </c>
      <c r="K211" s="4" t="inlineStr"/>
      <c r="L211" s="4" t="inlineStr">
        <is>
          <t>Algorithms, Prefix Sum, Simple Algos, Suffix Sum</t>
        </is>
      </c>
      <c r="M211" s="4" t="inlineStr"/>
      <c r="N211" s="4" t="inlineStr">
        <is>
          <t>No</t>
        </is>
      </c>
      <c r="O211" s="4" t="inlineStr">
        <is>
          <t>Unattempted</t>
        </is>
      </c>
    </row>
    <row r="212">
      <c r="A212" s="2" t="inlineStr">
        <is>
          <t>Algorithms</t>
        </is>
      </c>
      <c r="B212" s="2" t="inlineStr">
        <is>
          <t>Prefix Sum Problems</t>
        </is>
      </c>
      <c r="C212" s="2" t="inlineStr">
        <is>
          <t>Practice these 14 problems on Prefix and Suffix sum. Learn about how to create prefix arrays, suffix arrays and use them to efficiently solve a variety of programming problems.</t>
        </is>
      </c>
      <c r="D212" s="2" t="inlineStr">
        <is>
          <t>Prefix and Suffix Sum - Prefix sums</t>
        </is>
      </c>
      <c r="E212" s="2" t="n">
        <v>5</v>
      </c>
      <c r="F212" s="2" t="inlineStr">
        <is>
          <t>Suffix Arrays</t>
        </is>
      </c>
      <c r="G212" s="2" t="inlineStr">
        <is>
          <t>PREFPRO5</t>
        </is>
      </c>
      <c r="H212" s="2" t="inlineStr">
        <is>
          <t>1200</t>
        </is>
      </c>
      <c r="I212" s="2" t="inlineStr">
        <is>
          <t>Easy</t>
        </is>
      </c>
      <c r="J212" s="3">
        <f>HYPERLINK("https://www.codechef.com/problems/PREFPRO5", "https://www.codechef.com/problems/PREFPRO5")</f>
        <v/>
      </c>
      <c r="K212" s="2" t="inlineStr"/>
      <c r="L212" s="2" t="inlineStr"/>
      <c r="M212" s="2" t="inlineStr"/>
      <c r="N212" s="2" t="inlineStr">
        <is>
          <t>No</t>
        </is>
      </c>
      <c r="O212" s="2" t="inlineStr">
        <is>
          <t>Unattempted</t>
        </is>
      </c>
    </row>
    <row r="213">
      <c r="A213" s="4" t="inlineStr">
        <is>
          <t>Algorithms</t>
        </is>
      </c>
      <c r="B213" s="4" t="inlineStr">
        <is>
          <t>Prefix Sum Problems</t>
        </is>
      </c>
      <c r="C213" s="4" t="inlineStr">
        <is>
          <t>Practice these 14 problems on Prefix and Suffix sum. Learn about how to create prefix arrays, suffix arrays and use them to efficiently solve a variety of programming problems.</t>
        </is>
      </c>
      <c r="D213" s="4" t="inlineStr">
        <is>
          <t>Prefix and Suffix Sum - Prefix sums</t>
        </is>
      </c>
      <c r="E213" s="4" t="n">
        <v>6</v>
      </c>
      <c r="F213" s="4" t="inlineStr">
        <is>
          <t>Optimal Denomination</t>
        </is>
      </c>
      <c r="G213" s="4" t="inlineStr">
        <is>
          <t>MINNOTES</t>
        </is>
      </c>
      <c r="H213" s="4" t="inlineStr">
        <is>
          <t>1759</t>
        </is>
      </c>
      <c r="I213" s="4" t="inlineStr">
        <is>
          <t>Medium</t>
        </is>
      </c>
      <c r="J213" s="5">
        <f>HYPERLINK("https://www.codechef.com/problems/MINNOTES", "https://www.codechef.com/problems/MINNOTES")</f>
        <v/>
      </c>
      <c r="K213" s="4" t="inlineStr"/>
      <c r="L213" s="4" t="inlineStr">
        <is>
          <t>Algorithms, GCD, Mathematics, Number Theory, Prefix Sum, Simple Algos, Suffix Sum</t>
        </is>
      </c>
      <c r="M213" s="4" t="inlineStr"/>
      <c r="N213" s="4" t="inlineStr">
        <is>
          <t>No</t>
        </is>
      </c>
      <c r="O213" s="4" t="inlineStr">
        <is>
          <t>Unattempted</t>
        </is>
      </c>
    </row>
    <row r="214">
      <c r="A214" s="2" t="inlineStr">
        <is>
          <t>Algorithms</t>
        </is>
      </c>
      <c r="B214" s="2" t="inlineStr">
        <is>
          <t>Prefix Sum Problems</t>
        </is>
      </c>
      <c r="C214" s="2" t="inlineStr">
        <is>
          <t>Practice these 14 problems on Prefix and Suffix sum. Learn about how to create prefix arrays, suffix arrays and use them to efficiently solve a variety of programming problems.</t>
        </is>
      </c>
      <c r="D214" s="2" t="inlineStr">
        <is>
          <t>Prefix and Suffix Sum - Prefix sums</t>
        </is>
      </c>
      <c r="E214" s="2" t="n">
        <v>7</v>
      </c>
      <c r="F214" s="2" t="inlineStr">
        <is>
          <t>Good subarrays</t>
        </is>
      </c>
      <c r="G214" s="2" t="inlineStr">
        <is>
          <t>PREFPRO3</t>
        </is>
      </c>
      <c r="H214" s="2" t="inlineStr"/>
      <c r="I214" s="2" t="inlineStr">
        <is>
          <t>Medium</t>
        </is>
      </c>
      <c r="J214" s="3">
        <f>HYPERLINK("https://www.codechef.com/problems/PREFPRO3", "https://www.codechef.com/problems/PREFPRO3")</f>
        <v/>
      </c>
      <c r="K214" s="2" t="inlineStr"/>
      <c r="L214" s="2" t="inlineStr"/>
      <c r="M214" s="2" t="inlineStr"/>
      <c r="N214" s="2" t="inlineStr">
        <is>
          <t>No</t>
        </is>
      </c>
      <c r="O214" s="2" t="inlineStr">
        <is>
          <t>Unattempted</t>
        </is>
      </c>
    </row>
    <row r="215">
      <c r="A215" s="4" t="inlineStr">
        <is>
          <t>Algorithms</t>
        </is>
      </c>
      <c r="B215" s="4" t="inlineStr">
        <is>
          <t>Prefix Sum Problems</t>
        </is>
      </c>
      <c r="C215" s="4" t="inlineStr">
        <is>
          <t>Practice these 14 problems on Prefix and Suffix sum. Learn about how to create prefix arrays, suffix arrays and use them to efficiently solve a variety of programming problems.</t>
        </is>
      </c>
      <c r="D215" s="4" t="inlineStr">
        <is>
          <t>Prefix and Suffix Sum - Prefix sums</t>
        </is>
      </c>
      <c r="E215" s="4" t="n">
        <v>8</v>
      </c>
      <c r="F215" s="4" t="inlineStr">
        <is>
          <t>Good Subarrays 2</t>
        </is>
      </c>
      <c r="G215" s="4" t="inlineStr">
        <is>
          <t>PREFPRO4</t>
        </is>
      </c>
      <c r="H215" s="4" t="inlineStr">
        <is>
          <t>1300</t>
        </is>
      </c>
      <c r="I215" s="4" t="inlineStr">
        <is>
          <t>Easy</t>
        </is>
      </c>
      <c r="J215" s="5">
        <f>HYPERLINK("https://www.codechef.com/problems/PREFPRO4", "https://www.codechef.com/problems/PREFPRO4")</f>
        <v/>
      </c>
      <c r="K215" s="4" t="inlineStr"/>
      <c r="L215" s="4" t="inlineStr"/>
      <c r="M215" s="4" t="inlineStr"/>
      <c r="N215" s="4" t="inlineStr">
        <is>
          <t>No</t>
        </is>
      </c>
      <c r="O215" s="4" t="inlineStr">
        <is>
          <t>Unattempted</t>
        </is>
      </c>
    </row>
    <row r="216">
      <c r="A216" s="2" t="inlineStr">
        <is>
          <t>Algorithms</t>
        </is>
      </c>
      <c r="B216" s="2" t="inlineStr">
        <is>
          <t>Prefix Sum Problems</t>
        </is>
      </c>
      <c r="C216" s="2" t="inlineStr">
        <is>
          <t>Practice these 14 problems on Prefix and Suffix sum. Learn about how to create prefix arrays, suffix arrays and use them to efficiently solve a variety of programming problems.</t>
        </is>
      </c>
      <c r="D216" s="2" t="inlineStr">
        <is>
          <t>Prefix and Suffix Sum - Prefix sums</t>
        </is>
      </c>
      <c r="E216" s="2" t="n">
        <v>9</v>
      </c>
      <c r="F216" s="2" t="inlineStr">
        <is>
          <t>Rectangular Queries</t>
        </is>
      </c>
      <c r="G216" s="2" t="inlineStr">
        <is>
          <t>RECTQUER</t>
        </is>
      </c>
      <c r="H216" s="2" t="inlineStr">
        <is>
          <t>1778</t>
        </is>
      </c>
      <c r="I216" s="2" t="inlineStr">
        <is>
          <t>Medium</t>
        </is>
      </c>
      <c r="J216" s="3">
        <f>HYPERLINK("https://www.codechef.com/problems/RECTQUER", "https://www.codechef.com/problems/RECTQUER")</f>
        <v/>
      </c>
      <c r="K216" s="2" t="inlineStr"/>
      <c r="L216" s="2" t="inlineStr"/>
      <c r="M216" s="2" t="inlineStr"/>
      <c r="N216" s="2" t="inlineStr">
        <is>
          <t>No</t>
        </is>
      </c>
      <c r="O216" s="2" t="inlineStr">
        <is>
          <t>Unattempted</t>
        </is>
      </c>
    </row>
    <row r="217">
      <c r="A217" s="4" t="inlineStr">
        <is>
          <t>Algorithms</t>
        </is>
      </c>
      <c r="B217" s="4" t="inlineStr">
        <is>
          <t>Prefix Sum Problems</t>
        </is>
      </c>
      <c r="C217" s="4" t="inlineStr">
        <is>
          <t>Practice these 14 problems on Prefix and Suffix sum. Learn about how to create prefix arrays, suffix arrays and use them to efficiently solve a variety of programming problems.</t>
        </is>
      </c>
      <c r="D217" s="4" t="inlineStr">
        <is>
          <t>Prefix and Suffix Sum - Prefix sums</t>
        </is>
      </c>
      <c r="E217" s="4" t="n">
        <v>10</v>
      </c>
      <c r="F217" s="4" t="inlineStr">
        <is>
          <t>Again XOR problem</t>
        </is>
      </c>
      <c r="G217" s="4" t="inlineStr">
        <is>
          <t>KLXOR</t>
        </is>
      </c>
      <c r="H217" s="4" t="inlineStr">
        <is>
          <t>1786</t>
        </is>
      </c>
      <c r="I217" s="4" t="inlineStr">
        <is>
          <t>Medium</t>
        </is>
      </c>
      <c r="J217" s="5">
        <f>HYPERLINK("https://www.codechef.com/problems/KLXOR", "https://www.codechef.com/problems/KLXOR")</f>
        <v/>
      </c>
      <c r="K217" s="4" t="inlineStr"/>
      <c r="L217" s="4" t="inlineStr">
        <is>
          <t>Algorithms, Basic Math, Bit Manipulation, Bitwise Operation, Data Structures, Mathematics, Prefix Sum, Simple Algos, String</t>
        </is>
      </c>
      <c r="M217" s="4" t="inlineStr"/>
      <c r="N217" s="4" t="inlineStr">
        <is>
          <t>No</t>
        </is>
      </c>
      <c r="O217" s="4" t="inlineStr">
        <is>
          <t>Unattempted</t>
        </is>
      </c>
    </row>
    <row r="218">
      <c r="A218" s="2" t="inlineStr">
        <is>
          <t>Algorithms</t>
        </is>
      </c>
      <c r="B218" s="2" t="inlineStr">
        <is>
          <t>Prefix Sum Problems</t>
        </is>
      </c>
      <c r="C218" s="2" t="inlineStr">
        <is>
          <t>Practice these 14 problems on Prefix and Suffix sum. Learn about how to create prefix arrays, suffix arrays and use them to efficiently solve a variety of programming problems.</t>
        </is>
      </c>
      <c r="D218" s="2" t="inlineStr">
        <is>
          <t>Prefix and Suffix Sum - Prefix sums</t>
        </is>
      </c>
      <c r="E218" s="2" t="n">
        <v>11</v>
      </c>
      <c r="F218" s="2" t="inlineStr">
        <is>
          <t>Binod</t>
        </is>
      </c>
      <c r="G218" s="2" t="inlineStr">
        <is>
          <t>BIN_OD</t>
        </is>
      </c>
      <c r="H218" s="2" t="inlineStr">
        <is>
          <t>1776</t>
        </is>
      </c>
      <c r="I218" s="2" t="inlineStr">
        <is>
          <t>Medium</t>
        </is>
      </c>
      <c r="J218" s="3">
        <f>HYPERLINK("https://www.codechef.com/problems/BIN_OD", "https://www.codechef.com/problems/BIN_OD")</f>
        <v/>
      </c>
      <c r="K218" s="2" t="inlineStr"/>
      <c r="L218" s="2" t="inlineStr">
        <is>
          <t>Algorithms, Bit Manipulation, Bitwise Operation, Mathematics, Prefix Sum, Simple Algos</t>
        </is>
      </c>
      <c r="M218" s="2" t="inlineStr"/>
      <c r="N218" s="2" t="inlineStr">
        <is>
          <t>No</t>
        </is>
      </c>
      <c r="O218" s="2" t="inlineStr">
        <is>
          <t>Unattempted</t>
        </is>
      </c>
    </row>
    <row r="219">
      <c r="A219" s="4" t="inlineStr">
        <is>
          <t>Algorithms</t>
        </is>
      </c>
      <c r="B219" s="4" t="inlineStr">
        <is>
          <t>Prefix Sum Problems</t>
        </is>
      </c>
      <c r="C219" s="4" t="inlineStr">
        <is>
          <t>Practice these 14 problems on Prefix and Suffix sum. Learn about how to create prefix arrays, suffix arrays and use them to efficiently solve a variety of programming problems.</t>
        </is>
      </c>
      <c r="D219" s="4" t="inlineStr">
        <is>
          <t>Prefix and Suffix Sum - Prefix sums</t>
        </is>
      </c>
      <c r="E219" s="4" t="n">
        <v>12</v>
      </c>
      <c r="F219" s="4" t="inlineStr">
        <is>
          <t>Mystical Numbers</t>
        </is>
      </c>
      <c r="G219" s="4" t="inlineStr">
        <is>
          <t>XORGAND</t>
        </is>
      </c>
      <c r="H219" s="4" t="inlineStr">
        <is>
          <t>1702</t>
        </is>
      </c>
      <c r="I219" s="4" t="inlineStr">
        <is>
          <t>Medium</t>
        </is>
      </c>
      <c r="J219" s="5">
        <f>HYPERLINK("https://www.codechef.com/problems/XORGAND", "https://www.codechef.com/problems/XORGAND")</f>
        <v/>
      </c>
      <c r="K219" s="4" t="inlineStr"/>
      <c r="L219" s="4" t="inlineStr"/>
      <c r="M219" s="4" t="inlineStr"/>
      <c r="N219" s="4" t="inlineStr">
        <is>
          <t>No</t>
        </is>
      </c>
      <c r="O219" s="4" t="inlineStr">
        <is>
          <t>Unattempted</t>
        </is>
      </c>
    </row>
    <row r="220">
      <c r="A220" s="2" t="inlineStr">
        <is>
          <t>Algorithms</t>
        </is>
      </c>
      <c r="B220" s="2" t="inlineStr">
        <is>
          <t>Prefix Sum Problems</t>
        </is>
      </c>
      <c r="C220" s="2" t="inlineStr">
        <is>
          <t>Practice these 14 problems on Prefix and Suffix sum. Learn about how to create prefix arrays, suffix arrays and use them to efficiently solve a variety of programming problems.</t>
        </is>
      </c>
      <c r="D220" s="2" t="inlineStr">
        <is>
          <t>Prefix and Suffix Sum - Prefix sums</t>
        </is>
      </c>
      <c r="E220" s="2" t="n">
        <v>13</v>
      </c>
      <c r="F220" s="2" t="inlineStr">
        <is>
          <t>Segmentation Fault</t>
        </is>
      </c>
      <c r="G220" s="2" t="inlineStr">
        <is>
          <t>SEGFAULT</t>
        </is>
      </c>
      <c r="H220" s="2" t="inlineStr">
        <is>
          <t>1815</t>
        </is>
      </c>
      <c r="I220" s="2" t="inlineStr">
        <is>
          <t>Medium</t>
        </is>
      </c>
      <c r="J220" s="3">
        <f>HYPERLINK("https://www.codechef.com/problems/SEGFAULT", "https://www.codechef.com/problems/SEGFAULT")</f>
        <v/>
      </c>
      <c r="K220" s="2" t="inlineStr"/>
      <c r="L220" s="2" t="inlineStr"/>
      <c r="M220" s="2" t="inlineStr"/>
      <c r="N220" s="2" t="inlineStr">
        <is>
          <t>No</t>
        </is>
      </c>
      <c r="O220" s="2" t="inlineStr">
        <is>
          <t>Unattempted</t>
        </is>
      </c>
    </row>
    <row r="221">
      <c r="A221" s="4" t="inlineStr">
        <is>
          <t>Algorithms</t>
        </is>
      </c>
      <c r="B221" s="4" t="inlineStr">
        <is>
          <t>Prefix Sum Problems</t>
        </is>
      </c>
      <c r="C221" s="4" t="inlineStr">
        <is>
          <t>Practice these 14 problems on Prefix and Suffix sum. Learn about how to create prefix arrays, suffix arrays and use them to efficiently solve a variety of programming problems.</t>
        </is>
      </c>
      <c r="D221" s="4" t="inlineStr">
        <is>
          <t>Prefix and Suffix Sum - Prefix sums</t>
        </is>
      </c>
      <c r="E221" s="4" t="n">
        <v>14</v>
      </c>
      <c r="F221" s="4" t="inlineStr">
        <is>
          <t>Triplets Min</t>
        </is>
      </c>
      <c r="G221" s="4" t="inlineStr">
        <is>
          <t>TRIPLETMIN</t>
        </is>
      </c>
      <c r="H221" s="4" t="inlineStr">
        <is>
          <t>1868</t>
        </is>
      </c>
      <c r="I221" s="4" t="inlineStr">
        <is>
          <t>Medium</t>
        </is>
      </c>
      <c r="J221" s="5">
        <f>HYPERLINK("https://www.codechef.com/problems/TRIPLETMIN", "https://www.codechef.com/problems/TRIPLETMIN")</f>
        <v/>
      </c>
      <c r="K221" s="4" t="inlineStr"/>
      <c r="L221" s="4" t="inlineStr"/>
      <c r="M221" s="4" t="inlineStr"/>
      <c r="N221" s="4" t="inlineStr">
        <is>
          <t>No</t>
        </is>
      </c>
      <c r="O221" s="4" t="inlineStr">
        <is>
          <t>Unattempted</t>
        </is>
      </c>
    </row>
    <row r="222">
      <c r="A222" s="2" t="inlineStr">
        <is>
          <t>Algorithms</t>
        </is>
      </c>
      <c r="B222" s="2" t="inlineStr">
        <is>
          <t>Advanced Arrays and Strings</t>
        </is>
      </c>
      <c r="C222" s="2" t="inlineStr">
        <is>
          <t>Solve advanced coding problems on Arrays and strings to continue learning data structures and algorithms.</t>
        </is>
      </c>
      <c r="D222" s="2" t="inlineStr">
        <is>
          <t>Arrays - advanced - Arrays</t>
        </is>
      </c>
      <c r="E222" s="2" t="n">
        <v>1</v>
      </c>
      <c r="F222" s="2" t="inlineStr">
        <is>
          <t>Zero Sum Triplets</t>
        </is>
      </c>
      <c r="G222" s="2" t="inlineStr">
        <is>
          <t>THREESUM</t>
        </is>
      </c>
      <c r="H222" s="2" t="inlineStr"/>
      <c r="I222" s="2" t="inlineStr">
        <is>
          <t>Hard</t>
        </is>
      </c>
      <c r="J222" s="3">
        <f>HYPERLINK("https://www.codechef.com/problems/THREESUM", "https://www.codechef.com/problems/THREESUM")</f>
        <v/>
      </c>
      <c r="K222" s="2" t="inlineStr"/>
      <c r="L222" s="2" t="inlineStr"/>
      <c r="M222" s="2" t="inlineStr"/>
      <c r="N222" s="2" t="inlineStr">
        <is>
          <t>No</t>
        </is>
      </c>
      <c r="O222" s="2" t="inlineStr">
        <is>
          <t>Unattempted</t>
        </is>
      </c>
    </row>
    <row r="223">
      <c r="A223" s="4" t="inlineStr">
        <is>
          <t>Algorithms</t>
        </is>
      </c>
      <c r="B223" s="4" t="inlineStr">
        <is>
          <t>Advanced Arrays and Strings</t>
        </is>
      </c>
      <c r="C223" s="4" t="inlineStr">
        <is>
          <t>Solve advanced coding problems on Arrays and strings to continue learning data structures and algorithms.</t>
        </is>
      </c>
      <c r="D223" s="4" t="inlineStr">
        <is>
          <t>Arrays - advanced - Arrays</t>
        </is>
      </c>
      <c r="E223" s="4" t="n">
        <v>2</v>
      </c>
      <c r="F223" s="4" t="inlineStr">
        <is>
          <t>Hashing - Four Sum</t>
        </is>
      </c>
      <c r="G223" s="4" t="inlineStr">
        <is>
          <t>PREP27</t>
        </is>
      </c>
      <c r="H223" s="4" t="inlineStr"/>
      <c r="I223" s="4" t="inlineStr">
        <is>
          <t>Medium</t>
        </is>
      </c>
      <c r="J223" s="5">
        <f>HYPERLINK("https://www.codechef.com/problems/PREP27", "https://www.codechef.com/problems/PREP27")</f>
        <v/>
      </c>
      <c r="K223" s="4" t="inlineStr"/>
      <c r="L223" s="4" t="inlineStr"/>
      <c r="M223" s="4" t="inlineStr"/>
      <c r="N223" s="4" t="inlineStr">
        <is>
          <t>No</t>
        </is>
      </c>
      <c r="O223" s="4" t="inlineStr">
        <is>
          <t>Unattempted</t>
        </is>
      </c>
    </row>
    <row r="224">
      <c r="A224" s="2" t="inlineStr">
        <is>
          <t>Algorithms</t>
        </is>
      </c>
      <c r="B224" s="2" t="inlineStr">
        <is>
          <t>Advanced Arrays and Strings</t>
        </is>
      </c>
      <c r="C224" s="2" t="inlineStr">
        <is>
          <t>Solve advanced coding problems on Arrays and strings to continue learning data structures and algorithms.</t>
        </is>
      </c>
      <c r="D224" s="2" t="inlineStr">
        <is>
          <t>Arrays - advanced - Arrays</t>
        </is>
      </c>
      <c r="E224" s="2" t="n">
        <v>3</v>
      </c>
      <c r="F224" s="2" t="inlineStr">
        <is>
          <t>Chef and the Magical Subarray</t>
        </is>
      </c>
      <c r="G224" s="2" t="inlineStr">
        <is>
          <t>MAXPROSUBARR</t>
        </is>
      </c>
      <c r="H224" s="2" t="inlineStr"/>
      <c r="I224" s="2" t="inlineStr">
        <is>
          <t>Hard</t>
        </is>
      </c>
      <c r="J224" s="3">
        <f>HYPERLINK("https://www.codechef.com/problems/MAXPROSUBARR", "https://www.codechef.com/problems/MAXPROSUBARR")</f>
        <v/>
      </c>
      <c r="K224" s="2" t="inlineStr"/>
      <c r="L224" s="2" t="inlineStr"/>
      <c r="M224" s="2" t="inlineStr"/>
      <c r="N224" s="2" t="inlineStr">
        <is>
          <t>No</t>
        </is>
      </c>
      <c r="O224" s="2" t="inlineStr">
        <is>
          <t>Unattempted</t>
        </is>
      </c>
    </row>
    <row r="225">
      <c r="A225" s="4" t="inlineStr">
        <is>
          <t>Algorithms</t>
        </is>
      </c>
      <c r="B225" s="4" t="inlineStr">
        <is>
          <t>Advanced Arrays and Strings</t>
        </is>
      </c>
      <c r="C225" s="4" t="inlineStr">
        <is>
          <t>Solve advanced coding problems on Arrays and strings to continue learning data structures and algorithms.</t>
        </is>
      </c>
      <c r="D225" s="4" t="inlineStr">
        <is>
          <t>Arrays - advanced - Arrays</t>
        </is>
      </c>
      <c r="E225" s="4" t="n">
        <v>4</v>
      </c>
      <c r="F225" s="4" t="inlineStr">
        <is>
          <t>Maximum Subarray</t>
        </is>
      </c>
      <c r="G225" s="4" t="inlineStr">
        <is>
          <t>MAXSUBARR</t>
        </is>
      </c>
      <c r="H225" s="4" t="inlineStr">
        <is>
          <t>1613</t>
        </is>
      </c>
      <c r="I225" s="4" t="inlineStr">
        <is>
          <t>Medium</t>
        </is>
      </c>
      <c r="J225" s="5">
        <f>HYPERLINK("https://www.codechef.com/problems/MAXSUBARR", "https://www.codechef.com/problems/MAXSUBARR")</f>
        <v/>
      </c>
      <c r="K225" s="4" t="inlineStr"/>
      <c r="L225" s="4" t="inlineStr">
        <is>
          <t>Algorithms, Arrays, Basic Math, Data Structures, Greedy, Kadane Algorithm, Mathematics</t>
        </is>
      </c>
      <c r="M225" s="4" t="inlineStr"/>
      <c r="N225" s="4" t="inlineStr">
        <is>
          <t>No</t>
        </is>
      </c>
      <c r="O225" s="4" t="inlineStr">
        <is>
          <t>Unattempted</t>
        </is>
      </c>
    </row>
    <row r="226">
      <c r="A226" s="2" t="inlineStr">
        <is>
          <t>Algorithms</t>
        </is>
      </c>
      <c r="B226" s="2" t="inlineStr">
        <is>
          <t>Advanced Arrays and Strings</t>
        </is>
      </c>
      <c r="C226" s="2" t="inlineStr">
        <is>
          <t>Solve advanced coding problems on Arrays and strings to continue learning data structures and algorithms.</t>
        </is>
      </c>
      <c r="D226" s="2" t="inlineStr">
        <is>
          <t>Arrays - advanced - Arrays</t>
        </is>
      </c>
      <c r="E226" s="2" t="n">
        <v>5</v>
      </c>
      <c r="F226" s="2" t="inlineStr">
        <is>
          <t>Count max Subarray</t>
        </is>
      </c>
      <c r="G226" s="2" t="inlineStr">
        <is>
          <t>DSCPPAS262</t>
        </is>
      </c>
      <c r="H226" s="2" t="inlineStr"/>
      <c r="I226" s="2" t="inlineStr">
        <is>
          <t>Medium</t>
        </is>
      </c>
      <c r="J226" s="3">
        <f>HYPERLINK("https://www.codechef.com/problems/DSCPPAS262", "https://www.codechef.com/problems/DSCPPAS262")</f>
        <v/>
      </c>
      <c r="K226" s="2" t="inlineStr"/>
      <c r="L226" s="2" t="inlineStr"/>
      <c r="M226" s="2" t="inlineStr"/>
      <c r="N226" s="2" t="inlineStr">
        <is>
          <t>No</t>
        </is>
      </c>
      <c r="O226" s="2" t="inlineStr">
        <is>
          <t>Unattempted</t>
        </is>
      </c>
    </row>
    <row r="227">
      <c r="A227" s="4" t="inlineStr">
        <is>
          <t>Algorithms</t>
        </is>
      </c>
      <c r="B227" s="4" t="inlineStr">
        <is>
          <t>Advanced Arrays and Strings</t>
        </is>
      </c>
      <c r="C227" s="4" t="inlineStr">
        <is>
          <t>Solve advanced coding problems on Arrays and strings to continue learning data structures and algorithms.</t>
        </is>
      </c>
      <c r="D227" s="4" t="inlineStr">
        <is>
          <t>Arrays - advanced - Arrays</t>
        </is>
      </c>
      <c r="E227" s="4" t="n">
        <v>6</v>
      </c>
      <c r="F227" s="4" t="inlineStr">
        <is>
          <t>Merge Overlapping intervals</t>
        </is>
      </c>
      <c r="G227" s="4" t="inlineStr">
        <is>
          <t>MERGEINTER</t>
        </is>
      </c>
      <c r="H227" s="4" t="inlineStr"/>
      <c r="I227" s="4" t="inlineStr">
        <is>
          <t>Medium</t>
        </is>
      </c>
      <c r="J227" s="5">
        <f>HYPERLINK("https://www.codechef.com/problems/MERGEINTER", "https://www.codechef.com/problems/MERGEINTER")</f>
        <v/>
      </c>
      <c r="K227" s="4" t="inlineStr"/>
      <c r="L227" s="4" t="inlineStr"/>
      <c r="M227" s="4" t="inlineStr"/>
      <c r="N227" s="4" t="inlineStr">
        <is>
          <t>No</t>
        </is>
      </c>
      <c r="O227" s="4" t="inlineStr">
        <is>
          <t>Unattempted</t>
        </is>
      </c>
    </row>
    <row r="228">
      <c r="A228" s="2" t="inlineStr">
        <is>
          <t>Algorithms</t>
        </is>
      </c>
      <c r="B228" s="2" t="inlineStr">
        <is>
          <t>Advanced Arrays and Strings</t>
        </is>
      </c>
      <c r="C228" s="2" t="inlineStr">
        <is>
          <t>Solve advanced coding problems on Arrays and strings to continue learning data structures and algorithms.</t>
        </is>
      </c>
      <c r="D228" s="2" t="inlineStr">
        <is>
          <t>Arrays - advanced - Arrays</t>
        </is>
      </c>
      <c r="E228" s="2" t="n">
        <v>7</v>
      </c>
      <c r="F228" s="2" t="inlineStr">
        <is>
          <t>Next Permutation</t>
        </is>
      </c>
      <c r="G228" s="2" t="inlineStr">
        <is>
          <t>NEXTPERM</t>
        </is>
      </c>
      <c r="H228" s="2" t="inlineStr"/>
      <c r="I228" s="2" t="inlineStr">
        <is>
          <t>Hard</t>
        </is>
      </c>
      <c r="J228" s="3">
        <f>HYPERLINK("https://www.codechef.com/problems/NEXTPERM", "https://www.codechef.com/problems/NEXTPERM")</f>
        <v/>
      </c>
      <c r="K228" s="2" t="inlineStr"/>
      <c r="L228" s="2" t="inlineStr"/>
      <c r="M228" s="2" t="inlineStr"/>
      <c r="N228" s="2" t="inlineStr">
        <is>
          <t>No</t>
        </is>
      </c>
      <c r="O228" s="2" t="inlineStr">
        <is>
          <t>Unattempted</t>
        </is>
      </c>
    </row>
    <row r="229">
      <c r="A229" s="4" t="inlineStr">
        <is>
          <t>Algorithms</t>
        </is>
      </c>
      <c r="B229" s="4" t="inlineStr">
        <is>
          <t>Advanced Arrays and Strings</t>
        </is>
      </c>
      <c r="C229" s="4" t="inlineStr">
        <is>
          <t>Solve advanced coding problems on Arrays and strings to continue learning data structures and algorithms.</t>
        </is>
      </c>
      <c r="D229" s="4" t="inlineStr">
        <is>
          <t>Arrays - advanced - Arrays</t>
        </is>
      </c>
      <c r="E229" s="4" t="n">
        <v>8</v>
      </c>
      <c r="F229" s="4" t="inlineStr">
        <is>
          <t>Find the repeating and missing number</t>
        </is>
      </c>
      <c r="G229" s="4" t="inlineStr">
        <is>
          <t>MISSNDREPEAT</t>
        </is>
      </c>
      <c r="H229" s="4" t="inlineStr"/>
      <c r="I229" s="4" t="inlineStr">
        <is>
          <t>Medium</t>
        </is>
      </c>
      <c r="J229" s="5">
        <f>HYPERLINK("https://www.codechef.com/problems/MISSNDREPEAT", "https://www.codechef.com/problems/MISSNDREPEAT")</f>
        <v/>
      </c>
      <c r="K229" s="4" t="inlineStr"/>
      <c r="L229" s="4" t="inlineStr"/>
      <c r="M229" s="4" t="inlineStr"/>
      <c r="N229" s="4" t="inlineStr">
        <is>
          <t>No</t>
        </is>
      </c>
      <c r="O229" s="4" t="inlineStr">
        <is>
          <t>Unattempted</t>
        </is>
      </c>
    </row>
    <row r="230">
      <c r="A230" s="2" t="inlineStr">
        <is>
          <t>Algorithms</t>
        </is>
      </c>
      <c r="B230" s="2" t="inlineStr">
        <is>
          <t>Advanced Arrays and Strings</t>
        </is>
      </c>
      <c r="C230" s="2" t="inlineStr">
        <is>
          <t>Solve advanced coding problems on Arrays and strings to continue learning data structures and algorithms.</t>
        </is>
      </c>
      <c r="D230" s="2" t="inlineStr">
        <is>
          <t>Arrays - advanced - Arrays</t>
        </is>
      </c>
      <c r="E230" s="2" t="n">
        <v>9</v>
      </c>
      <c r="F230" s="2" t="inlineStr">
        <is>
          <t>Count Inversions</t>
        </is>
      </c>
      <c r="G230" s="2" t="inlineStr">
        <is>
          <t>CNTINVERSION</t>
        </is>
      </c>
      <c r="H230" s="2" t="inlineStr"/>
      <c r="I230" s="2" t="inlineStr">
        <is>
          <t>Hard</t>
        </is>
      </c>
      <c r="J230" s="3">
        <f>HYPERLINK("https://www.codechef.com/problems/CNTINVERSION", "https://www.codechef.com/problems/CNTINVERSION")</f>
        <v/>
      </c>
      <c r="K230" s="2" t="inlineStr"/>
      <c r="L230" s="2" t="inlineStr"/>
      <c r="M230" s="2" t="inlineStr"/>
      <c r="N230" s="2" t="inlineStr">
        <is>
          <t>No</t>
        </is>
      </c>
      <c r="O230" s="2" t="inlineStr">
        <is>
          <t>Unattempted</t>
        </is>
      </c>
    </row>
    <row r="231">
      <c r="A231" s="4" t="inlineStr">
        <is>
          <t>Algorithms</t>
        </is>
      </c>
      <c r="B231" s="4" t="inlineStr">
        <is>
          <t>Advanced Arrays and Strings</t>
        </is>
      </c>
      <c r="C231" s="4" t="inlineStr">
        <is>
          <t>Solve advanced coding problems on Arrays and strings to continue learning data structures and algorithms.</t>
        </is>
      </c>
      <c r="D231" s="4" t="inlineStr">
        <is>
          <t>Arrays - advanced - Arrays</t>
        </is>
      </c>
      <c r="E231" s="4" t="n">
        <v>10</v>
      </c>
      <c r="F231" s="4" t="inlineStr">
        <is>
          <t>Count Reverse Pairs</t>
        </is>
      </c>
      <c r="G231" s="4" t="inlineStr">
        <is>
          <t>REVERSEPAIRS</t>
        </is>
      </c>
      <c r="H231" s="4" t="inlineStr"/>
      <c r="I231" s="4" t="inlineStr">
        <is>
          <t>Hard</t>
        </is>
      </c>
      <c r="J231" s="5">
        <f>HYPERLINK("https://www.codechef.com/problems/REVERSEPAIRS", "https://www.codechef.com/problems/REVERSEPAIRS")</f>
        <v/>
      </c>
      <c r="K231" s="4" t="inlineStr"/>
      <c r="L231" s="4" t="inlineStr"/>
      <c r="M231" s="4" t="inlineStr"/>
      <c r="N231" s="4" t="inlineStr">
        <is>
          <t>No</t>
        </is>
      </c>
      <c r="O231" s="4" t="inlineStr">
        <is>
          <t>Unattempted</t>
        </is>
      </c>
    </row>
    <row r="232">
      <c r="A232" s="2" t="inlineStr">
        <is>
          <t>Algorithms</t>
        </is>
      </c>
      <c r="B232" s="2" t="inlineStr">
        <is>
          <t>Advanced Arrays and Strings</t>
        </is>
      </c>
      <c r="C232" s="2" t="inlineStr">
        <is>
          <t>Solve advanced coding problems on Arrays and strings to continue learning data structures and algorithms.</t>
        </is>
      </c>
      <c r="D232" s="2" t="inlineStr">
        <is>
          <t>Arrays - advanced - Arrays</t>
        </is>
      </c>
      <c r="E232" s="2" t="n">
        <v>11</v>
      </c>
      <c r="F232" s="2" t="inlineStr">
        <is>
          <t>Minions and Voting</t>
        </is>
      </c>
      <c r="G232" s="2" t="inlineStr">
        <is>
          <t>MINVOTE</t>
        </is>
      </c>
      <c r="H232" s="2" t="inlineStr">
        <is>
          <t>1830</t>
        </is>
      </c>
      <c r="I232" s="2" t="inlineStr">
        <is>
          <t>Medium</t>
        </is>
      </c>
      <c r="J232" s="3">
        <f>HYPERLINK("https://www.codechef.com/problems/MINVOTE", "https://www.codechef.com/problems/MINVOTE")</f>
        <v/>
      </c>
      <c r="K232" s="2" t="inlineStr"/>
      <c r="L232" s="2" t="inlineStr"/>
      <c r="M232" s="2" t="inlineStr"/>
      <c r="N232" s="2" t="inlineStr">
        <is>
          <t>No</t>
        </is>
      </c>
      <c r="O232" s="2" t="inlineStr">
        <is>
          <t>Unattempted</t>
        </is>
      </c>
    </row>
    <row r="233">
      <c r="A233" s="4" t="inlineStr">
        <is>
          <t>Algorithms</t>
        </is>
      </c>
      <c r="B233" s="4" t="inlineStr">
        <is>
          <t>Advanced Arrays and Strings</t>
        </is>
      </c>
      <c r="C233" s="4" t="inlineStr">
        <is>
          <t>Solve advanced coding problems on Arrays and strings to continue learning data structures and algorithms.</t>
        </is>
      </c>
      <c r="D233" s="4" t="inlineStr">
        <is>
          <t>Arrays - advanced - Arrays</t>
        </is>
      </c>
      <c r="E233" s="4" t="n">
        <v>12</v>
      </c>
      <c r="F233" s="4" t="inlineStr">
        <is>
          <t>Triplets</t>
        </is>
      </c>
      <c r="G233" s="4" t="inlineStr">
        <is>
          <t>SUMQ</t>
        </is>
      </c>
      <c r="H233" s="4" t="inlineStr">
        <is>
          <t>1772</t>
        </is>
      </c>
      <c r="I233" s="4" t="inlineStr">
        <is>
          <t>Medium</t>
        </is>
      </c>
      <c r="J233" s="5">
        <f>HYPERLINK("https://www.codechef.com/problems/SUMQ", "https://www.codechef.com/problems/SUMQ")</f>
        <v/>
      </c>
      <c r="K233" s="4" t="inlineStr"/>
      <c r="L233" s="4" t="inlineStr"/>
      <c r="M233" s="4" t="inlineStr"/>
      <c r="N233" s="4" t="inlineStr">
        <is>
          <t>No</t>
        </is>
      </c>
      <c r="O233" s="4" t="inlineStr">
        <is>
          <t>Unattempted</t>
        </is>
      </c>
    </row>
    <row r="234">
      <c r="A234" s="2" t="inlineStr">
        <is>
          <t>Algorithms</t>
        </is>
      </c>
      <c r="B234" s="2" t="inlineStr">
        <is>
          <t>Advanced Arrays and Strings</t>
        </is>
      </c>
      <c r="C234" s="2" t="inlineStr">
        <is>
          <t>Solve advanced coding problems on Arrays and strings to continue learning data structures and algorithms.</t>
        </is>
      </c>
      <c r="D234" s="2" t="inlineStr">
        <is>
          <t>Arrays - advanced - Arrays</t>
        </is>
      </c>
      <c r="E234" s="2" t="n">
        <v>13</v>
      </c>
      <c r="F234" s="2" t="inlineStr">
        <is>
          <t>Optimal Denomination</t>
        </is>
      </c>
      <c r="G234" s="2" t="inlineStr">
        <is>
          <t>MINNOTES</t>
        </is>
      </c>
      <c r="H234" s="2" t="inlineStr">
        <is>
          <t>1759</t>
        </is>
      </c>
      <c r="I234" s="2" t="inlineStr">
        <is>
          <t>Medium</t>
        </is>
      </c>
      <c r="J234" s="3">
        <f>HYPERLINK("https://www.codechef.com/problems/MINNOTES", "https://www.codechef.com/problems/MINNOTES")</f>
        <v/>
      </c>
      <c r="K234" s="2" t="inlineStr"/>
      <c r="L234" s="2" t="inlineStr">
        <is>
          <t>Algorithms, GCD, Mathematics, Number Theory, Prefix Sum, Simple Algos, Suffix Sum</t>
        </is>
      </c>
      <c r="M234" s="2" t="inlineStr"/>
      <c r="N234" s="2" t="inlineStr">
        <is>
          <t>No</t>
        </is>
      </c>
      <c r="O234" s="2" t="inlineStr">
        <is>
          <t>Unattempted</t>
        </is>
      </c>
    </row>
    <row r="235">
      <c r="A235" s="4" t="inlineStr">
        <is>
          <t>Algorithms</t>
        </is>
      </c>
      <c r="B235" s="4" t="inlineStr">
        <is>
          <t>Advanced Arrays and Strings</t>
        </is>
      </c>
      <c r="C235" s="4" t="inlineStr">
        <is>
          <t>Solve advanced coding problems on Arrays and strings to continue learning data structures and algorithms.</t>
        </is>
      </c>
      <c r="D235" s="4" t="inlineStr">
        <is>
          <t>Arrays - advanced - Arrays</t>
        </is>
      </c>
      <c r="E235" s="4" t="n">
        <v>14</v>
      </c>
      <c r="F235" s="4" t="inlineStr">
        <is>
          <t>Good subarrays</t>
        </is>
      </c>
      <c r="G235" s="4" t="inlineStr">
        <is>
          <t>PREFPRO3</t>
        </is>
      </c>
      <c r="H235" s="4" t="inlineStr"/>
      <c r="I235" s="4" t="inlineStr">
        <is>
          <t>Medium</t>
        </is>
      </c>
      <c r="J235" s="5">
        <f>HYPERLINK("https://www.codechef.com/problems/PREFPRO3", "https://www.codechef.com/problems/PREFPRO3")</f>
        <v/>
      </c>
      <c r="K235" s="4" t="inlineStr"/>
      <c r="L235" s="4" t="inlineStr"/>
      <c r="M235" s="4" t="inlineStr"/>
      <c r="N235" s="4" t="inlineStr">
        <is>
          <t>No</t>
        </is>
      </c>
      <c r="O235" s="4" t="inlineStr">
        <is>
          <t>Unattempted</t>
        </is>
      </c>
    </row>
    <row r="236">
      <c r="A236" s="2" t="inlineStr">
        <is>
          <t>Algorithms</t>
        </is>
      </c>
      <c r="B236" s="2" t="inlineStr">
        <is>
          <t>Advanced Arrays and Strings</t>
        </is>
      </c>
      <c r="C236" s="2" t="inlineStr">
        <is>
          <t>Solve advanced coding problems on Arrays and strings to continue learning data structures and algorithms.</t>
        </is>
      </c>
      <c r="D236" s="2" t="inlineStr">
        <is>
          <t>Arrays - advanced - Arrays</t>
        </is>
      </c>
      <c r="E236" s="2" t="n">
        <v>15</v>
      </c>
      <c r="F236" s="2" t="inlineStr">
        <is>
          <t>Good Subarrays 2</t>
        </is>
      </c>
      <c r="G236" s="2" t="inlineStr">
        <is>
          <t>PREFPRO4</t>
        </is>
      </c>
      <c r="H236" s="2" t="inlineStr">
        <is>
          <t>1300</t>
        </is>
      </c>
      <c r="I236" s="2" t="inlineStr">
        <is>
          <t>Easy</t>
        </is>
      </c>
      <c r="J236" s="3">
        <f>HYPERLINK("https://www.codechef.com/problems/PREFPRO4", "https://www.codechef.com/problems/PREFPRO4")</f>
        <v/>
      </c>
      <c r="K236" s="2" t="inlineStr"/>
      <c r="L236" s="2" t="inlineStr"/>
      <c r="M236" s="2" t="inlineStr"/>
      <c r="N236" s="2" t="inlineStr">
        <is>
          <t>No</t>
        </is>
      </c>
      <c r="O236" s="2" t="inlineStr">
        <is>
          <t>Unattempted</t>
        </is>
      </c>
    </row>
    <row r="237">
      <c r="A237" s="4" t="inlineStr">
        <is>
          <t>Algorithms</t>
        </is>
      </c>
      <c r="B237" s="4" t="inlineStr">
        <is>
          <t>Advanced Arrays and Strings</t>
        </is>
      </c>
      <c r="C237" s="4" t="inlineStr">
        <is>
          <t>Solve advanced coding problems on Arrays and strings to continue learning data structures and algorithms.</t>
        </is>
      </c>
      <c r="D237" s="4" t="inlineStr">
        <is>
          <t>Arrays - advanced - Arrays</t>
        </is>
      </c>
      <c r="E237" s="4" t="n">
        <v>16</v>
      </c>
      <c r="F237" s="4" t="inlineStr">
        <is>
          <t>Rectangular Queries</t>
        </is>
      </c>
      <c r="G237" s="4" t="inlineStr">
        <is>
          <t>RECTQUER</t>
        </is>
      </c>
      <c r="H237" s="4" t="inlineStr">
        <is>
          <t>1778</t>
        </is>
      </c>
      <c r="I237" s="4" t="inlineStr">
        <is>
          <t>Medium</t>
        </is>
      </c>
      <c r="J237" s="5">
        <f>HYPERLINK("https://www.codechef.com/problems/RECTQUER", "https://www.codechef.com/problems/RECTQUER")</f>
        <v/>
      </c>
      <c r="K237" s="4" t="inlineStr"/>
      <c r="L237" s="4" t="inlineStr"/>
      <c r="M237" s="4" t="inlineStr"/>
      <c r="N237" s="4" t="inlineStr">
        <is>
          <t>No</t>
        </is>
      </c>
      <c r="O237" s="4" t="inlineStr">
        <is>
          <t>Unattempted</t>
        </is>
      </c>
    </row>
    <row r="238">
      <c r="A238" s="2" t="inlineStr">
        <is>
          <t>Algorithms</t>
        </is>
      </c>
      <c r="B238" s="2" t="inlineStr">
        <is>
          <t>Advanced Arrays and Strings</t>
        </is>
      </c>
      <c r="C238" s="2" t="inlineStr">
        <is>
          <t>Solve advanced coding problems on Arrays and strings to continue learning data structures and algorithms.</t>
        </is>
      </c>
      <c r="D238" s="2" t="inlineStr">
        <is>
          <t>Arrays - advanced - Arrays</t>
        </is>
      </c>
      <c r="E238" s="2" t="n">
        <v>17</v>
      </c>
      <c r="F238" s="2" t="inlineStr">
        <is>
          <t>Segmentation Fault</t>
        </is>
      </c>
      <c r="G238" s="2" t="inlineStr">
        <is>
          <t>SEGFAULT</t>
        </is>
      </c>
      <c r="H238" s="2" t="inlineStr">
        <is>
          <t>1815</t>
        </is>
      </c>
      <c r="I238" s="2" t="inlineStr">
        <is>
          <t>Medium</t>
        </is>
      </c>
      <c r="J238" s="3">
        <f>HYPERLINK("https://www.codechef.com/problems/SEGFAULT", "https://www.codechef.com/problems/SEGFAULT")</f>
        <v/>
      </c>
      <c r="K238" s="2" t="inlineStr"/>
      <c r="L238" s="2" t="inlineStr"/>
      <c r="M238" s="2" t="inlineStr"/>
      <c r="N238" s="2" t="inlineStr">
        <is>
          <t>No</t>
        </is>
      </c>
      <c r="O238" s="2" t="inlineStr">
        <is>
          <t>Unattempted</t>
        </is>
      </c>
    </row>
    <row r="239">
      <c r="A239" s="4" t="inlineStr">
        <is>
          <t>Algorithms</t>
        </is>
      </c>
      <c r="B239" s="4" t="inlineStr">
        <is>
          <t>Advanced Arrays and Strings</t>
        </is>
      </c>
      <c r="C239" s="4" t="inlineStr">
        <is>
          <t>Solve advanced coding problems on Arrays and strings to continue learning data structures and algorithms.</t>
        </is>
      </c>
      <c r="D239" s="4" t="inlineStr">
        <is>
          <t>Arrays - advanced - Arrays</t>
        </is>
      </c>
      <c r="E239" s="4" t="n">
        <v>18</v>
      </c>
      <c r="F239" s="4" t="inlineStr">
        <is>
          <t>Longest Consecutive Numbers in an Array</t>
        </is>
      </c>
      <c r="G239" s="4" t="inlineStr">
        <is>
          <t>CONSECUTIVE</t>
        </is>
      </c>
      <c r="H239" s="4" t="inlineStr"/>
      <c r="I239" s="4" t="inlineStr">
        <is>
          <t>Hard</t>
        </is>
      </c>
      <c r="J239" s="5">
        <f>HYPERLINK("https://www.codechef.com/problems/CONSECUTIVE", "https://www.codechef.com/problems/CONSECUTIVE")</f>
        <v/>
      </c>
      <c r="K239" s="4" t="inlineStr"/>
      <c r="L239" s="4" t="inlineStr"/>
      <c r="M239" s="4" t="inlineStr"/>
      <c r="N239" s="4" t="inlineStr">
        <is>
          <t>No</t>
        </is>
      </c>
      <c r="O239" s="4" t="inlineStr">
        <is>
          <t>Unattempted</t>
        </is>
      </c>
    </row>
    <row r="240">
      <c r="A240" s="2" t="inlineStr">
        <is>
          <t>Algorithms</t>
        </is>
      </c>
      <c r="B240" s="2" t="inlineStr">
        <is>
          <t>Advanced Arrays and Strings</t>
        </is>
      </c>
      <c r="C240" s="2" t="inlineStr">
        <is>
          <t>Solve advanced coding problems on Arrays and strings to continue learning data structures and algorithms.</t>
        </is>
      </c>
      <c r="D240" s="2" t="inlineStr">
        <is>
          <t>Arrays - advanced - Arrays</t>
        </is>
      </c>
      <c r="E240" s="2" t="n">
        <v>19</v>
      </c>
      <c r="F240" s="2" t="inlineStr">
        <is>
          <t>Print subarray with maximum subarray sum</t>
        </is>
      </c>
      <c r="G240" s="2" t="inlineStr">
        <is>
          <t>PRINTSUBARAY</t>
        </is>
      </c>
      <c r="H240" s="2" t="inlineStr"/>
      <c r="I240" s="2" t="inlineStr">
        <is>
          <t>Hard</t>
        </is>
      </c>
      <c r="J240" s="3">
        <f>HYPERLINK("https://www.codechef.com/problems/PRINTSUBARAY", "https://www.codechef.com/problems/PRINTSUBARAY")</f>
        <v/>
      </c>
      <c r="K240" s="2" t="inlineStr"/>
      <c r="L240" s="2" t="inlineStr"/>
      <c r="M240" s="2" t="inlineStr"/>
      <c r="N240" s="2" t="inlineStr">
        <is>
          <t>No</t>
        </is>
      </c>
      <c r="O240" s="2" t="inlineStr">
        <is>
          <t>Unattempted</t>
        </is>
      </c>
    </row>
    <row r="241">
      <c r="A241" s="4" t="inlineStr">
        <is>
          <t>Algorithms</t>
        </is>
      </c>
      <c r="B241" s="4" t="inlineStr">
        <is>
          <t>Advanced Arrays and Strings</t>
        </is>
      </c>
      <c r="C241" s="4" t="inlineStr">
        <is>
          <t>Solve advanced coding problems on Arrays and strings to continue learning data structures and algorithms.</t>
        </is>
      </c>
      <c r="D241" s="4" t="inlineStr">
        <is>
          <t>Arrays - advanced - Arrays</t>
        </is>
      </c>
      <c r="E241" s="4" t="n">
        <v>20</v>
      </c>
      <c r="F241" s="4" t="inlineStr">
        <is>
          <t>Maximal square of all ones</t>
        </is>
      </c>
      <c r="G241" s="4" t="inlineStr">
        <is>
          <t>MATMAXSQ</t>
        </is>
      </c>
      <c r="H241" s="4" t="inlineStr"/>
      <c r="I241" s="4" t="inlineStr">
        <is>
          <t>Hard</t>
        </is>
      </c>
      <c r="J241" s="5">
        <f>HYPERLINK("https://www.codechef.com/problems/MATMAXSQ", "https://www.codechef.com/problems/MATMAXSQ")</f>
        <v/>
      </c>
      <c r="K241" s="4" t="inlineStr"/>
      <c r="L241" s="4" t="inlineStr"/>
      <c r="M241" s="4" t="inlineStr"/>
      <c r="N241" s="4" t="inlineStr">
        <is>
          <t>No</t>
        </is>
      </c>
      <c r="O241" s="4" t="inlineStr">
        <is>
          <t>Unattempted</t>
        </is>
      </c>
    </row>
    <row r="242">
      <c r="A242" s="2" t="inlineStr">
        <is>
          <t>Algorithms</t>
        </is>
      </c>
      <c r="B242" s="2" t="inlineStr">
        <is>
          <t>Advanced Arrays and Strings</t>
        </is>
      </c>
      <c r="C242" s="2" t="inlineStr">
        <is>
          <t>Solve advanced coding problems on Arrays and strings to continue learning data structures and algorithms.</t>
        </is>
      </c>
      <c r="D242" s="2" t="inlineStr">
        <is>
          <t>Arrays - advanced - Arrays</t>
        </is>
      </c>
      <c r="E242" s="2" t="n">
        <v>21</v>
      </c>
      <c r="F242" s="2" t="inlineStr">
        <is>
          <t>Rotting Apples</t>
        </is>
      </c>
      <c r="G242" s="2" t="inlineStr">
        <is>
          <t>MATROTAPPLE</t>
        </is>
      </c>
      <c r="H242" s="2" t="inlineStr"/>
      <c r="I242" s="2" t="inlineStr">
        <is>
          <t>Hard</t>
        </is>
      </c>
      <c r="J242" s="3">
        <f>HYPERLINK("https://www.codechef.com/problems/MATROTAPPLE", "https://www.codechef.com/problems/MATROTAPPLE")</f>
        <v/>
      </c>
      <c r="K242" s="2" t="inlineStr"/>
      <c r="L242" s="2" t="inlineStr">
        <is>
          <t>admin</t>
        </is>
      </c>
      <c r="M242" s="2" t="inlineStr"/>
      <c r="N242" s="2" t="inlineStr">
        <is>
          <t>No</t>
        </is>
      </c>
      <c r="O242" s="2" t="inlineStr">
        <is>
          <t>Unattempted</t>
        </is>
      </c>
    </row>
    <row r="243">
      <c r="A243" s="4" t="inlineStr">
        <is>
          <t>Algorithms</t>
        </is>
      </c>
      <c r="B243" s="4" t="inlineStr">
        <is>
          <t>Advanced Arrays and Strings</t>
        </is>
      </c>
      <c r="C243" s="4" t="inlineStr">
        <is>
          <t>Solve advanced coding problems on Arrays and strings to continue learning data structures and algorithms.</t>
        </is>
      </c>
      <c r="D243" s="4" t="inlineStr">
        <is>
          <t>Arrays - advanced - Arrays</t>
        </is>
      </c>
      <c r="E243" s="4" t="n">
        <v>22</v>
      </c>
      <c r="F243" s="4" t="inlineStr">
        <is>
          <t>Distance to Nearest 0</t>
        </is>
      </c>
      <c r="G243" s="4" t="inlineStr">
        <is>
          <t>MATNEARESTO</t>
        </is>
      </c>
      <c r="H243" s="4" t="inlineStr"/>
      <c r="I243" s="4" t="inlineStr">
        <is>
          <t>Hard</t>
        </is>
      </c>
      <c r="J243" s="5">
        <f>HYPERLINK("https://www.codechef.com/problems/MATNEARESTO", "https://www.codechef.com/problems/MATNEARESTO")</f>
        <v/>
      </c>
      <c r="K243" s="4" t="inlineStr"/>
      <c r="L243" s="4" t="inlineStr"/>
      <c r="M243" s="4" t="inlineStr"/>
      <c r="N243" s="4" t="inlineStr">
        <is>
          <t>No</t>
        </is>
      </c>
      <c r="O243" s="4" t="inlineStr">
        <is>
          <t>Unattempted</t>
        </is>
      </c>
    </row>
    <row r="244">
      <c r="A244" s="2" t="inlineStr">
        <is>
          <t>Algorithms</t>
        </is>
      </c>
      <c r="B244" s="2" t="inlineStr">
        <is>
          <t>Advanced Arrays and Strings</t>
        </is>
      </c>
      <c r="C244" s="2" t="inlineStr">
        <is>
          <t>Solve advanced coding problems on Arrays and strings to continue learning data structures and algorithms.</t>
        </is>
      </c>
      <c r="D244" s="2" t="inlineStr">
        <is>
          <t>Arrays - advanced - Arrays</t>
        </is>
      </c>
      <c r="E244" s="2" t="n">
        <v>23</v>
      </c>
      <c r="F244" s="2" t="inlineStr">
        <is>
          <t>Median in Matrix</t>
        </is>
      </c>
      <c r="G244" s="2" t="inlineStr">
        <is>
          <t>MATMEDIAN</t>
        </is>
      </c>
      <c r="H244" s="2" t="inlineStr"/>
      <c r="I244" s="2" t="inlineStr">
        <is>
          <t>Hard</t>
        </is>
      </c>
      <c r="J244" s="3">
        <f>HYPERLINK("https://www.codechef.com/problems/MATMEDIAN", "https://www.codechef.com/problems/MATMEDIAN")</f>
        <v/>
      </c>
      <c r="K244" s="2" t="inlineStr"/>
      <c r="L244" s="2" t="inlineStr"/>
      <c r="M244" s="2" t="inlineStr"/>
      <c r="N244" s="2" t="inlineStr">
        <is>
          <t>No</t>
        </is>
      </c>
      <c r="O244" s="2" t="inlineStr">
        <is>
          <t>Unattempted</t>
        </is>
      </c>
    </row>
    <row r="245">
      <c r="A245" s="4" t="inlineStr">
        <is>
          <t>Algorithms</t>
        </is>
      </c>
      <c r="B245" s="4" t="inlineStr">
        <is>
          <t>Advanced Arrays and Strings</t>
        </is>
      </c>
      <c r="C245" s="4" t="inlineStr">
        <is>
          <t>Solve advanced coding problems on Arrays and strings to continue learning data structures and algorithms.</t>
        </is>
      </c>
      <c r="D245" s="4" t="inlineStr">
        <is>
          <t>Arrays - advanced - Arrays</t>
        </is>
      </c>
      <c r="E245" s="4" t="n">
        <v>24</v>
      </c>
      <c r="F245" s="4" t="inlineStr">
        <is>
          <t>Sereja and Commands</t>
        </is>
      </c>
      <c r="G245" s="4" t="inlineStr">
        <is>
          <t>SEACO</t>
        </is>
      </c>
      <c r="H245" s="4" t="inlineStr">
        <is>
          <t>1990</t>
        </is>
      </c>
      <c r="I245" s="4" t="inlineStr">
        <is>
          <t>Medium</t>
        </is>
      </c>
      <c r="J245" s="5">
        <f>HYPERLINK("https://www.codechef.com/problems/SEACO", "https://www.codechef.com/problems/SEACO")</f>
        <v/>
      </c>
      <c r="K245" s="4" t="inlineStr"/>
      <c r="L245" s="4" t="inlineStr"/>
      <c r="M245" s="4" t="inlineStr"/>
      <c r="N245" s="4" t="inlineStr">
        <is>
          <t>No</t>
        </is>
      </c>
      <c r="O245" s="4" t="inlineStr">
        <is>
          <t>Unattempted</t>
        </is>
      </c>
    </row>
    <row r="246">
      <c r="A246" s="2" t="inlineStr">
        <is>
          <t>Algorithms</t>
        </is>
      </c>
      <c r="B246" s="2" t="inlineStr">
        <is>
          <t>Advanced Arrays and Strings</t>
        </is>
      </c>
      <c r="C246" s="2" t="inlineStr">
        <is>
          <t>Solve advanced coding problems on Arrays and strings to continue learning data structures and algorithms.</t>
        </is>
      </c>
      <c r="D246" s="2" t="inlineStr">
        <is>
          <t>Arrays - advanced - Arrays</t>
        </is>
      </c>
      <c r="E246" s="2" t="n">
        <v>25</v>
      </c>
      <c r="F246" s="2" t="inlineStr">
        <is>
          <t>Chef and Strings</t>
        </is>
      </c>
      <c r="G246" s="2" t="inlineStr">
        <is>
          <t>STRQ</t>
        </is>
      </c>
      <c r="H246" s="2" t="inlineStr">
        <is>
          <t>1930</t>
        </is>
      </c>
      <c r="I246" s="2" t="inlineStr">
        <is>
          <t>Medium</t>
        </is>
      </c>
      <c r="J246" s="3">
        <f>HYPERLINK("https://www.codechef.com/problems/STRQ", "https://www.codechef.com/problems/STRQ")</f>
        <v/>
      </c>
      <c r="K246" s="2" t="inlineStr"/>
      <c r="L246" s="2" t="inlineStr"/>
      <c r="M246" s="2" t="inlineStr"/>
      <c r="N246" s="2" t="inlineStr">
        <is>
          <t>No</t>
        </is>
      </c>
      <c r="O246" s="2" t="inlineStr">
        <is>
          <t>Unattempted</t>
        </is>
      </c>
    </row>
    <row r="247">
      <c r="A247" s="4" t="inlineStr">
        <is>
          <t>Algorithms</t>
        </is>
      </c>
      <c r="B247" s="4" t="inlineStr">
        <is>
          <t>Advanced Arrays and Strings</t>
        </is>
      </c>
      <c r="C247" s="4" t="inlineStr">
        <is>
          <t>Solve advanced coding problems on Arrays and strings to continue learning data structures and algorithms.</t>
        </is>
      </c>
      <c r="D247" s="4" t="inlineStr">
        <is>
          <t>Arrays - advanced - Arrays</t>
        </is>
      </c>
      <c r="E247" s="4" t="n">
        <v>26</v>
      </c>
      <c r="F247" s="4" t="inlineStr">
        <is>
          <t>Max Range Queries</t>
        </is>
      </c>
      <c r="G247" s="4" t="inlineStr">
        <is>
          <t>MAXREMOV</t>
        </is>
      </c>
      <c r="H247" s="4" t="inlineStr">
        <is>
          <t>2057</t>
        </is>
      </c>
      <c r="I247" s="4" t="inlineStr">
        <is>
          <t>Hard</t>
        </is>
      </c>
      <c r="J247" s="5">
        <f>HYPERLINK("https://www.codechef.com/problems/MAXREMOV", "https://www.codechef.com/problems/MAXREMOV")</f>
        <v/>
      </c>
      <c r="K247" s="4" t="inlineStr"/>
      <c r="L247" s="4" t="inlineStr">
        <is>
          <t>Algorithms, Arrays, Constructive, Data Structures, Difference Arrays, Prefix Sum, Simple Algos, ad-hoc</t>
        </is>
      </c>
      <c r="M247" s="4" t="inlineStr"/>
      <c r="N247" s="4" t="inlineStr">
        <is>
          <t>No</t>
        </is>
      </c>
      <c r="O247" s="4" t="inlineStr">
        <is>
          <t>Unattempted</t>
        </is>
      </c>
    </row>
    <row r="248">
      <c r="A248" s="2" t="inlineStr">
        <is>
          <t>Algorithms</t>
        </is>
      </c>
      <c r="B248" s="2" t="inlineStr">
        <is>
          <t>Advanced Arrays and Strings</t>
        </is>
      </c>
      <c r="C248" s="2" t="inlineStr">
        <is>
          <t>Solve advanced coding problems on Arrays and strings to continue learning data structures and algorithms.</t>
        </is>
      </c>
      <c r="D248" s="2" t="inlineStr">
        <is>
          <t>Arrays - advanced - Arrays</t>
        </is>
      </c>
      <c r="E248" s="2" t="n">
        <v>27</v>
      </c>
      <c r="F248" s="2" t="inlineStr">
        <is>
          <t>Angry Cyborg</t>
        </is>
      </c>
      <c r="G248" s="2" t="inlineStr">
        <is>
          <t>AGCY</t>
        </is>
      </c>
      <c r="H248" s="2" t="inlineStr">
        <is>
          <t>2072</t>
        </is>
      </c>
      <c r="I248" s="2" t="inlineStr">
        <is>
          <t>Hard</t>
        </is>
      </c>
      <c r="J248" s="3">
        <f>HYPERLINK("https://www.codechef.com/problems/AGCY", "https://www.codechef.com/problems/AGCY")</f>
        <v/>
      </c>
      <c r="K248" s="2" t="inlineStr"/>
      <c r="L248" s="2" t="inlineStr">
        <is>
          <t>AP, Algorithms, Mathematics, Queries, Range Queries, Sequences and Progression</t>
        </is>
      </c>
      <c r="M248" s="2" t="inlineStr"/>
      <c r="N248" s="2" t="inlineStr">
        <is>
          <t>No</t>
        </is>
      </c>
      <c r="O248" s="2" t="inlineStr">
        <is>
          <t>Unattempted</t>
        </is>
      </c>
    </row>
    <row r="249">
      <c r="A249" s="4" t="inlineStr">
        <is>
          <t>Algorithms</t>
        </is>
      </c>
      <c r="B249" s="4" t="inlineStr">
        <is>
          <t>Advanced Arrays and Strings</t>
        </is>
      </c>
      <c r="C249" s="4" t="inlineStr">
        <is>
          <t>Solve advanced coding problems on Arrays and strings to continue learning data structures and algorithms.</t>
        </is>
      </c>
      <c r="D249" s="4" t="inlineStr">
        <is>
          <t>Arrays - advanced - Arrays</t>
        </is>
      </c>
      <c r="E249" s="4" t="n">
        <v>28</v>
      </c>
      <c r="F249" s="4" t="inlineStr">
        <is>
          <t>Cherry and Bits</t>
        </is>
      </c>
      <c r="G249" s="4" t="inlineStr">
        <is>
          <t>CENS20A</t>
        </is>
      </c>
      <c r="H249" s="4" t="inlineStr">
        <is>
          <t>2179</t>
        </is>
      </c>
      <c r="I249" s="4" t="inlineStr">
        <is>
          <t>Hard</t>
        </is>
      </c>
      <c r="J249" s="5">
        <f>HYPERLINK("https://www.codechef.com/problems/CENS20A", "https://www.codechef.com/problems/CENS20A")</f>
        <v/>
      </c>
      <c r="K249" s="4" t="inlineStr"/>
      <c r="L249" s="4" t="inlineStr">
        <is>
          <t>2D Arrays, Arrays, Data Structures, Difference Arrays</t>
        </is>
      </c>
      <c r="M249" s="4" t="inlineStr"/>
      <c r="N249" s="4" t="inlineStr">
        <is>
          <t>No</t>
        </is>
      </c>
      <c r="O249" s="4" t="inlineStr">
        <is>
          <t>Unattempted</t>
        </is>
      </c>
    </row>
    <row r="250">
      <c r="A250" s="2" t="inlineStr">
        <is>
          <t>Algorithms</t>
        </is>
      </c>
      <c r="B250" s="2" t="inlineStr">
        <is>
          <t>Advanced Arrays and Strings</t>
        </is>
      </c>
      <c r="C250" s="2" t="inlineStr">
        <is>
          <t>Solve advanced coding problems on Arrays and strings to continue learning data structures and algorithms.</t>
        </is>
      </c>
      <c r="D250" s="2" t="inlineStr">
        <is>
          <t>Arrays - advanced - Arrays</t>
        </is>
      </c>
      <c r="E250" s="2" t="n">
        <v>29</v>
      </c>
      <c r="F250" s="2" t="inlineStr">
        <is>
          <t>Sum of Cube</t>
        </is>
      </c>
      <c r="G250" s="2" t="inlineStr">
        <is>
          <t>SUMOFCUBE</t>
        </is>
      </c>
      <c r="H250" s="2" t="inlineStr">
        <is>
          <t>2259</t>
        </is>
      </c>
      <c r="I250" s="2" t="inlineStr">
        <is>
          <t>Hard</t>
        </is>
      </c>
      <c r="J250" s="3">
        <f>HYPERLINK("https://www.codechef.com/problems/SUMOFCUBE", "https://www.codechef.com/problems/SUMOFCUBE")</f>
        <v/>
      </c>
      <c r="K250" s="2" t="inlineStr"/>
      <c r="L250" s="2" t="inlineStr"/>
      <c r="M250" s="2" t="inlineStr"/>
      <c r="N250" s="2" t="inlineStr">
        <is>
          <t>No</t>
        </is>
      </c>
      <c r="O250" s="2" t="inlineStr">
        <is>
          <t>Unattempted</t>
        </is>
      </c>
    </row>
    <row r="251">
      <c r="A251" s="4" t="inlineStr">
        <is>
          <t>Algorithms</t>
        </is>
      </c>
      <c r="B251" s="4" t="inlineStr">
        <is>
          <t>Advanced Arrays and Strings</t>
        </is>
      </c>
      <c r="C251" s="4" t="inlineStr">
        <is>
          <t>Solve advanced coding problems on Arrays and strings to continue learning data structures and algorithms.</t>
        </is>
      </c>
      <c r="D251" s="4" t="inlineStr">
        <is>
          <t>Strings - advanced - Strings</t>
        </is>
      </c>
      <c r="E251" s="4" t="n">
        <v>30</v>
      </c>
      <c r="F251" s="4" t="inlineStr">
        <is>
          <t>Check if a string is a substring of another</t>
        </is>
      </c>
      <c r="G251" s="4" t="inlineStr">
        <is>
          <t>SUBSTRINGP</t>
        </is>
      </c>
      <c r="H251" s="4" t="inlineStr">
        <is>
          <t>1000</t>
        </is>
      </c>
      <c r="I251" s="4" t="inlineStr">
        <is>
          <t>Easy</t>
        </is>
      </c>
      <c r="J251" s="5">
        <f>HYPERLINK("https://www.codechef.com/problems/SUBSTRINGP", "https://www.codechef.com/problems/SUBSTRINGP")</f>
        <v/>
      </c>
      <c r="K251" s="4" t="inlineStr"/>
      <c r="L251" s="4" t="inlineStr"/>
      <c r="M251" s="4" t="inlineStr"/>
      <c r="N251" s="4" t="inlineStr">
        <is>
          <t>No</t>
        </is>
      </c>
      <c r="O251" s="4" t="inlineStr">
        <is>
          <t>Unattempted</t>
        </is>
      </c>
    </row>
    <row r="252">
      <c r="A252" s="2" t="inlineStr">
        <is>
          <t>Algorithms</t>
        </is>
      </c>
      <c r="B252" s="2" t="inlineStr">
        <is>
          <t>Advanced Arrays and Strings</t>
        </is>
      </c>
      <c r="C252" s="2" t="inlineStr">
        <is>
          <t>Solve advanced coding problems on Arrays and strings to continue learning data structures and algorithms.</t>
        </is>
      </c>
      <c r="D252" s="2" t="inlineStr">
        <is>
          <t>Strings - advanced - Strings</t>
        </is>
      </c>
      <c r="E252" s="2" t="n">
        <v>31</v>
      </c>
      <c r="F252" s="2" t="inlineStr">
        <is>
          <t>Repeated String Match</t>
        </is>
      </c>
      <c r="G252" s="2" t="inlineStr">
        <is>
          <t>STRINGMATCH</t>
        </is>
      </c>
      <c r="H252" s="2" t="inlineStr"/>
      <c r="I252" s="2" t="inlineStr">
        <is>
          <t>Medium</t>
        </is>
      </c>
      <c r="J252" s="3">
        <f>HYPERLINK("https://www.codechef.com/problems/STRINGMATCH", "https://www.codechef.com/problems/STRINGMATCH")</f>
        <v/>
      </c>
      <c r="K252" s="2" t="inlineStr"/>
      <c r="L252" s="2" t="inlineStr"/>
      <c r="M252" s="2" t="inlineStr"/>
      <c r="N252" s="2" t="inlineStr">
        <is>
          <t>No</t>
        </is>
      </c>
      <c r="O252" s="2" t="inlineStr">
        <is>
          <t>Unattempted</t>
        </is>
      </c>
    </row>
    <row r="253">
      <c r="A253" s="4" t="inlineStr">
        <is>
          <t>Algorithms</t>
        </is>
      </c>
      <c r="B253" s="4" t="inlineStr">
        <is>
          <t>Advanced Arrays and Strings</t>
        </is>
      </c>
      <c r="C253" s="4" t="inlineStr">
        <is>
          <t>Solve advanced coding problems on Arrays and strings to continue learning data structures and algorithms.</t>
        </is>
      </c>
      <c r="D253" s="4" t="inlineStr">
        <is>
          <t>Strings - advanced - Strings</t>
        </is>
      </c>
      <c r="E253" s="4" t="n">
        <v>32</v>
      </c>
      <c r="F253" s="4" t="inlineStr">
        <is>
          <t>Count-and-Say Sequence</t>
        </is>
      </c>
      <c r="G253" s="4" t="inlineStr">
        <is>
          <t>COUNTSAY</t>
        </is>
      </c>
      <c r="H253" s="4" t="inlineStr"/>
      <c r="I253" s="4" t="inlineStr">
        <is>
          <t>Medium</t>
        </is>
      </c>
      <c r="J253" s="5">
        <f>HYPERLINK("https://www.codechef.com/problems/COUNTSAY", "https://www.codechef.com/problems/COUNTSAY")</f>
        <v/>
      </c>
      <c r="K253" s="4" t="inlineStr"/>
      <c r="L253" s="4" t="inlineStr"/>
      <c r="M253" s="4" t="inlineStr"/>
      <c r="N253" s="4" t="inlineStr">
        <is>
          <t>No</t>
        </is>
      </c>
      <c r="O253" s="4" t="inlineStr">
        <is>
          <t>Unattempted</t>
        </is>
      </c>
    </row>
    <row r="254">
      <c r="A254" s="2" t="inlineStr">
        <is>
          <t>Algorithms</t>
        </is>
      </c>
      <c r="B254" s="2" t="inlineStr">
        <is>
          <t>Advanced Arrays and Strings</t>
        </is>
      </c>
      <c r="C254" s="2" t="inlineStr">
        <is>
          <t>Solve advanced coding problems on Arrays and strings to continue learning data structures and algorithms.</t>
        </is>
      </c>
      <c r="D254" s="2" t="inlineStr">
        <is>
          <t>Strings - advanced - Strings</t>
        </is>
      </c>
      <c r="E254" s="2" t="n">
        <v>33</v>
      </c>
      <c r="F254" s="2" t="inlineStr">
        <is>
          <t>Check Isomorphic Strings</t>
        </is>
      </c>
      <c r="G254" s="2" t="inlineStr">
        <is>
          <t>ISOMORPHICST</t>
        </is>
      </c>
      <c r="H254" s="2" t="inlineStr"/>
      <c r="I254" s="2" t="inlineStr">
        <is>
          <t>Medium</t>
        </is>
      </c>
      <c r="J254" s="3">
        <f>HYPERLINK("https://www.codechef.com/problems/ISOMORPHICST", "https://www.codechef.com/problems/ISOMORPHICST")</f>
        <v/>
      </c>
      <c r="K254" s="2" t="inlineStr"/>
      <c r="L254" s="2" t="inlineStr"/>
      <c r="M254" s="2" t="inlineStr"/>
      <c r="N254" s="2" t="inlineStr">
        <is>
          <t>No</t>
        </is>
      </c>
      <c r="O254" s="2" t="inlineStr">
        <is>
          <t>Unattempted</t>
        </is>
      </c>
    </row>
    <row r="255">
      <c r="A255" s="4" t="inlineStr">
        <is>
          <t>Algorithms</t>
        </is>
      </c>
      <c r="B255" s="4" t="inlineStr">
        <is>
          <t>Advanced Arrays and Strings</t>
        </is>
      </c>
      <c r="C255" s="4" t="inlineStr">
        <is>
          <t>Solve advanced coding problems on Arrays and strings to continue learning data structures and algorithms.</t>
        </is>
      </c>
      <c r="D255" s="4" t="inlineStr">
        <is>
          <t>Strings - advanced - Strings</t>
        </is>
      </c>
      <c r="E255" s="4" t="n">
        <v>34</v>
      </c>
      <c r="F255" s="4" t="inlineStr">
        <is>
          <t>Sum of Beauty of All Substrings</t>
        </is>
      </c>
      <c r="G255" s="4" t="inlineStr">
        <is>
          <t>SUBSTRINGSUM</t>
        </is>
      </c>
      <c r="H255" s="4" t="inlineStr"/>
      <c r="I255" s="4" t="inlineStr">
        <is>
          <t>Medium</t>
        </is>
      </c>
      <c r="J255" s="5">
        <f>HYPERLINK("https://www.codechef.com/problems/SUBSTRINGSUM", "https://www.codechef.com/problems/SUBSTRINGSUM")</f>
        <v/>
      </c>
      <c r="K255" s="4" t="inlineStr"/>
      <c r="L255" s="4" t="inlineStr"/>
      <c r="M255" s="4" t="inlineStr"/>
      <c r="N255" s="4" t="inlineStr">
        <is>
          <t>No</t>
        </is>
      </c>
      <c r="O255" s="4" t="inlineStr">
        <is>
          <t>Unattempted</t>
        </is>
      </c>
    </row>
    <row r="256">
      <c r="A256" s="2" t="inlineStr">
        <is>
          <t>Algorithms</t>
        </is>
      </c>
      <c r="B256" s="2" t="inlineStr">
        <is>
          <t>Advanced Arrays and Strings</t>
        </is>
      </c>
      <c r="C256" s="2" t="inlineStr">
        <is>
          <t>Solve advanced coding problems on Arrays and strings to continue learning data structures and algorithms.</t>
        </is>
      </c>
      <c r="D256" s="2" t="inlineStr">
        <is>
          <t>Strings - advanced - Strings</t>
        </is>
      </c>
      <c r="E256" s="2" t="n">
        <v>35</v>
      </c>
      <c r="F256" s="2" t="inlineStr">
        <is>
          <t>Longest Palindromic Substring</t>
        </is>
      </c>
      <c r="G256" s="2" t="inlineStr">
        <is>
          <t>LONGESTPALIN</t>
        </is>
      </c>
      <c r="H256" s="2" t="inlineStr"/>
      <c r="I256" s="2" t="inlineStr">
        <is>
          <t>Medium</t>
        </is>
      </c>
      <c r="J256" s="3">
        <f>HYPERLINK("https://www.codechef.com/problems/LONGESTPALIN", "https://www.codechef.com/problems/LONGESTPALIN")</f>
        <v/>
      </c>
      <c r="K256" s="2" t="inlineStr"/>
      <c r="L256" s="2" t="inlineStr"/>
      <c r="M256" s="2" t="inlineStr"/>
      <c r="N256" s="2" t="inlineStr">
        <is>
          <t>No</t>
        </is>
      </c>
      <c r="O256" s="2" t="inlineStr">
        <is>
          <t>Unattempted</t>
        </is>
      </c>
    </row>
    <row r="257">
      <c r="A257" s="4" t="inlineStr">
        <is>
          <t>Algorithms</t>
        </is>
      </c>
      <c r="B257" s="4" t="inlineStr">
        <is>
          <t>Advanced Arrays and Strings</t>
        </is>
      </c>
      <c r="C257" s="4" t="inlineStr">
        <is>
          <t>Solve advanced coding problems on Arrays and strings to continue learning data structures and algorithms.</t>
        </is>
      </c>
      <c r="D257" s="4" t="inlineStr">
        <is>
          <t>Strings - advanced - Strings</t>
        </is>
      </c>
      <c r="E257" s="4" t="n">
        <v>36</v>
      </c>
      <c r="F257" s="4" t="inlineStr">
        <is>
          <t>Longest Happy Prefix</t>
        </is>
      </c>
      <c r="G257" s="4" t="inlineStr">
        <is>
          <t>HAPPYNUMBER</t>
        </is>
      </c>
      <c r="H257" s="4" t="inlineStr"/>
      <c r="I257" s="4" t="inlineStr">
        <is>
          <t>Medium</t>
        </is>
      </c>
      <c r="J257" s="5">
        <f>HYPERLINK("https://www.codechef.com/problems/HAPPYNUMBER", "https://www.codechef.com/problems/HAPPYNUMBER")</f>
        <v/>
      </c>
      <c r="K257" s="4" t="inlineStr"/>
      <c r="L257" s="4" t="inlineStr"/>
      <c r="M257" s="4" t="inlineStr"/>
      <c r="N257" s="4" t="inlineStr">
        <is>
          <t>No</t>
        </is>
      </c>
      <c r="O257" s="4" t="inlineStr">
        <is>
          <t>Unattempted</t>
        </is>
      </c>
    </row>
    <row r="258">
      <c r="A258" s="2" t="inlineStr">
        <is>
          <t>Algorithms</t>
        </is>
      </c>
      <c r="B258" s="2" t="inlineStr">
        <is>
          <t>Advanced Arrays and Strings</t>
        </is>
      </c>
      <c r="C258" s="2" t="inlineStr">
        <is>
          <t>Solve advanced coding problems on Arrays and strings to continue learning data structures and algorithms.</t>
        </is>
      </c>
      <c r="D258" s="2" t="inlineStr">
        <is>
          <t>Strings - advanced - Strings</t>
        </is>
      </c>
      <c r="E258" s="2" t="n">
        <v>37</v>
      </c>
      <c r="F258" s="2" t="inlineStr">
        <is>
          <t>First Occurrence of Substring</t>
        </is>
      </c>
      <c r="G258" s="2" t="inlineStr">
        <is>
          <t>ZFUNCTION</t>
        </is>
      </c>
      <c r="H258" s="2" t="inlineStr"/>
      <c r="I258" s="2" t="inlineStr">
        <is>
          <t>Medium</t>
        </is>
      </c>
      <c r="J258" s="3">
        <f>HYPERLINK("https://www.codechef.com/problems/ZFUNCTION", "https://www.codechef.com/problems/ZFUNCTION")</f>
        <v/>
      </c>
      <c r="K258" s="2" t="inlineStr"/>
      <c r="L258" s="2" t="inlineStr"/>
      <c r="M258" s="2" t="inlineStr"/>
      <c r="N258" s="2" t="inlineStr">
        <is>
          <t>No</t>
        </is>
      </c>
      <c r="O258" s="2" t="inlineStr">
        <is>
          <t>Unattempted</t>
        </is>
      </c>
    </row>
    <row r="259">
      <c r="A259" s="4" t="inlineStr">
        <is>
          <t>Algorithms</t>
        </is>
      </c>
      <c r="B259" s="4" t="inlineStr">
        <is>
          <t>Advanced Arrays and Strings</t>
        </is>
      </c>
      <c r="C259" s="4" t="inlineStr">
        <is>
          <t>Solve advanced coding problems on Arrays and strings to continue learning data structures and algorithms.</t>
        </is>
      </c>
      <c r="D259" s="4" t="inlineStr">
        <is>
          <t>Strings - advanced - Strings</t>
        </is>
      </c>
      <c r="E259" s="4" t="n">
        <v>38</v>
      </c>
      <c r="F259" s="4" t="inlineStr">
        <is>
          <t>Shortest Palindrome</t>
        </is>
      </c>
      <c r="G259" s="4" t="inlineStr">
        <is>
          <t>SHORTPALINDR</t>
        </is>
      </c>
      <c r="H259" s="4" t="inlineStr"/>
      <c r="I259" s="4" t="inlineStr">
        <is>
          <t>Hard</t>
        </is>
      </c>
      <c r="J259" s="5">
        <f>HYPERLINK("https://www.codechef.com/problems/SHORTPALINDR", "https://www.codechef.com/problems/SHORTPALINDR")</f>
        <v/>
      </c>
      <c r="K259" s="4" t="inlineStr"/>
      <c r="L259" s="4" t="inlineStr"/>
      <c r="M259" s="4" t="inlineStr"/>
      <c r="N259" s="4" t="inlineStr">
        <is>
          <t>No</t>
        </is>
      </c>
      <c r="O259" s="4" t="inlineStr">
        <is>
          <t>Unattempted</t>
        </is>
      </c>
    </row>
    <row r="260">
      <c r="A260" s="2" t="inlineStr">
        <is>
          <t>Algorithms</t>
        </is>
      </c>
      <c r="B260" s="2" t="inlineStr">
        <is>
          <t>Advanced Arrays and Strings</t>
        </is>
      </c>
      <c r="C260" s="2" t="inlineStr">
        <is>
          <t>Solve advanced coding problems on Arrays and strings to continue learning data structures and algorithms.</t>
        </is>
      </c>
      <c r="D260" s="2" t="inlineStr">
        <is>
          <t>Strings - advanced - Strings</t>
        </is>
      </c>
      <c r="E260" s="2" t="n">
        <v>39</v>
      </c>
      <c r="F260" s="2" t="inlineStr">
        <is>
          <t>Typing Letter</t>
        </is>
      </c>
      <c r="G260" s="2" t="inlineStr">
        <is>
          <t>TYPE</t>
        </is>
      </c>
      <c r="H260" s="2" t="inlineStr">
        <is>
          <t>1250</t>
        </is>
      </c>
      <c r="I260" s="2" t="inlineStr">
        <is>
          <t>Easy</t>
        </is>
      </c>
      <c r="J260" s="3">
        <f>HYPERLINK("https://www.codechef.com/problems/TYPE", "https://www.codechef.com/problems/TYPE")</f>
        <v/>
      </c>
      <c r="K260" s="2" t="inlineStr"/>
      <c r="L260" s="2" t="inlineStr"/>
      <c r="M260" s="2" t="inlineStr"/>
      <c r="N260" s="2" t="inlineStr">
        <is>
          <t>No</t>
        </is>
      </c>
      <c r="O260" s="2" t="inlineStr">
        <is>
          <t>Unattempted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2026-08-01T19:10:11Z</dcterms:created>
  <dcterms:modified xsi:type="dcterms:W3CDTF">2026-08-01T19:10:11Z</dcterms:modified>
</cp:coreProperties>
</file>